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Verify (BBG)" sheetId="6" state="visible" r:id="rId6"/>
    <sheet xmlns:r="http://schemas.openxmlformats.org/officeDocument/2006/relationships" name="Analogs" sheetId="7" state="visible" r:id="rId7"/>
    <sheet xmlns:r="http://schemas.openxmlformats.org/officeDocument/2006/relationships" name="SizeBench" sheetId="8" state="visible" r:id="rId8"/>
    <sheet xmlns:r="http://schemas.openxmlformats.org/officeDocument/2006/relationships" name="BBG Verify" sheetId="9" state="visible" r:id="rId9"/>
    <sheet xmlns:r="http://schemas.openxmlformats.org/officeDocument/2006/relationships" name="Taxonomy" sheetId="10" state="visible" r:id="rId10"/>
    <sheet xmlns:r="http://schemas.openxmlformats.org/officeDocument/2006/relationships" name="Verification" sheetId="11" state="visible" r:id="rId11"/>
    <sheet xmlns:r="http://schemas.openxmlformats.org/officeDocument/2006/relationships" name="Calc (scoring engine)" sheetId="12" state="visible" r:id="rId12"/>
    <sheet xmlns:r="http://schemas.openxmlformats.org/officeDocument/2006/relationships" name="Notes" sheetId="13" state="visible" r:id="rId13"/>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Notes!$B$24</definedName>
    <definedName name="W_SEC">Notes!$B$25</definedName>
    <definedName name="W_SIZE">Notes!$B$26</definedName>
    <definedName name="W_PROF">Notes!$B$27</definedName>
    <definedName name="W_AH">Notes!$B$28</definedName>
    <definedName name="W_REC">Notes!$B$29</definedName>
    <definedName name="W_CS">Notes!$B$30</definedName>
    <definedName name="W_PE">Notes!$B$31</definedName>
    <definedName name="W_PEHW">Notes!$B$32</definedName>
    <definedName name="W_SIZEHW">Notes!$B$33</definedName>
    <definedName name="W_RECD">Notes!$B$34</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4" fontId="4" fillId="0" borderId="1" pivotButton="0" quotePrefix="0" xfId="0"/>
    <xf numFmtId="165" fontId="4" fillId="0" borderId="1" pivotButton="0" quotePrefix="0" xfId="0"/>
    <xf numFmtId="3"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I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1" customWidth="1" min="20" max="20"/>
    <col width="46" customWidth="1" min="21" max="21"/>
    <col width="9" customWidth="1" min="22" max="22"/>
    <col width="17" customWidth="1" min="23" max="23"/>
    <col width="9" customWidth="1" min="24" max="24"/>
    <col width="10" customWidth="1" min="25" max="25"/>
    <col width="11" customWidth="1" min="26" max="26"/>
    <col width="9" customWidth="1" min="27" max="27"/>
    <col width="9" customWidth="1" min="28" max="28"/>
    <col width="9" customWidth="1" min="29" max="29"/>
    <col width="9" customWidth="1" min="30" max="30"/>
    <col width="9" customWidth="1" min="31" max="31"/>
    <col width="9" customWidth="1" min="32" max="32"/>
    <col width="10" customWidth="1" min="33" max="33"/>
    <col width="10" customWidth="1" min="34" max="34"/>
    <col width="10" customWidth="1" min="35" max="35"/>
    <col width="10" customWidth="1" min="36" max="36"/>
    <col width="11" customWidth="1" min="37" max="37"/>
    <col width="11" customWidth="1" min="38" max="38"/>
    <col width="10" customWidth="1" min="39" max="39"/>
    <col width="11" customWidth="1" min="40" max="40"/>
    <col width="11" customWidth="1" min="41" max="41"/>
    <col width="8" customWidth="1" min="42" max="42"/>
    <col width="8" customWidth="1" min="43" max="43"/>
    <col width="10" customWidth="1" min="44" max="44"/>
    <col width="10" customWidth="1" min="45" max="45"/>
    <col width="8" customWidth="1" min="46" max="46"/>
    <col width="8" customWidth="1" min="47" max="47"/>
    <col width="11" customWidth="1" min="48" max="48"/>
    <col width="11" customWidth="1" min="49" max="49"/>
    <col width="10" customWidth="1" min="50" max="50"/>
    <col width="11" customWidth="1" min="51" max="51"/>
    <col width="11" customWidth="1" min="52" max="52"/>
    <col width="11" customWidth="1" min="53" max="53"/>
    <col width="30" customWidth="1" min="54" max="54"/>
    <col width="34" customWidth="1" min="55" max="55"/>
    <col width="10" customWidth="1" min="56" max="56"/>
    <col width="10" customWidth="1" min="57" max="57"/>
    <col width="9" customWidth="1" min="58" max="58"/>
    <col width="14" customWidth="1" min="59" max="59"/>
    <col width="8" customWidth="1" min="60" max="60"/>
    <col width="46" customWidth="1" min="61" max="61"/>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5" t="n"/>
      <c r="X19" s="12" t="inlineStr">
        <is>
          <t>PERFORMANCE</t>
        </is>
      </c>
      <c r="Y19" s="34" t="n"/>
      <c r="Z19" s="34" t="n"/>
      <c r="AA19" s="34" t="n"/>
      <c r="AB19" s="34" t="n"/>
      <c r="AC19" s="34" t="n"/>
      <c r="AD19" s="34" t="n"/>
      <c r="AE19" s="34" t="n"/>
      <c r="AF19" s="34" t="n"/>
      <c r="AG19" s="34" t="n"/>
      <c r="AH19" s="34" t="n"/>
      <c r="AI19" s="34" t="n"/>
      <c r="AJ19" s="34" t="n"/>
      <c r="AK19" s="34" t="n"/>
      <c r="AL19" s="34" t="n"/>
      <c r="AM19" s="35" t="n"/>
      <c r="AN19" s="12" t="inlineStr">
        <is>
          <t>FUNDAMENTALS</t>
        </is>
      </c>
      <c r="AO19" s="34" t="n"/>
      <c r="AP19" s="34" t="n"/>
      <c r="AQ19" s="34" t="n"/>
      <c r="AR19" s="34" t="n"/>
      <c r="AS19" s="34" t="n"/>
      <c r="AT19" s="35" t="n"/>
      <c r="AU19" s="12" t="inlineStr">
        <is>
          <t>A / H</t>
        </is>
      </c>
      <c r="AV19" s="34" t="n"/>
      <c r="AW19" s="34" t="n"/>
      <c r="AX19" s="34" t="n"/>
      <c r="AY19" s="34" t="n"/>
      <c r="AZ19" s="34" t="n"/>
      <c r="BA19" s="35" t="n"/>
      <c r="BB19" s="12" t="inlineStr">
        <is>
          <t>BANKS &amp; DOCS</t>
        </is>
      </c>
      <c r="BC19" s="34" t="n"/>
      <c r="BD19" s="34" t="n"/>
      <c r="BE19" s="35" t="n"/>
      <c r="BF19" s="12" t="inlineStr">
        <is>
          <t>SCORING</t>
        </is>
      </c>
      <c r="BG19" s="34" t="n"/>
      <c r="BH19" s="34" t="n"/>
      <c r="BI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 of cap)</t>
        </is>
      </c>
      <c r="U20" s="36" t="inlineStr">
        <is>
          <t>Cornerstone investors</t>
        </is>
      </c>
      <c r="V20" s="36" t="inlineStr">
        <is>
          <t>Greenshoe size (%)</t>
        </is>
      </c>
      <c r="W20" s="36" t="inlineStr">
        <is>
          <t>Shoe outcome (final)</t>
        </is>
      </c>
      <c r="X20" s="36" t="inlineStr">
        <is>
          <t>Day-1</t>
        </is>
      </c>
      <c r="Y20" s="36" t="inlineStr">
        <is>
          <t>Day-1 open pop</t>
        </is>
      </c>
      <c r="Z20" s="36" t="inlineStr">
        <is>
          <t>Day-1 open→close</t>
        </is>
      </c>
      <c r="AA20" s="36" t="inlineStr">
        <is>
          <t>1-week</t>
        </is>
      </c>
      <c r="AB20" s="36" t="inlineStr">
        <is>
          <t>1-month</t>
        </is>
      </c>
      <c r="AC20" s="36" t="inlineStr">
        <is>
          <t>3-month</t>
        </is>
      </c>
      <c r="AD20" s="37" t="inlineStr">
        <is>
          <t>1w ex-pop</t>
        </is>
      </c>
      <c r="AE20" s="37" t="inlineStr">
        <is>
          <t>1m ex-pop</t>
        </is>
      </c>
      <c r="AF20" s="37" t="inlineStr">
        <is>
          <t>3m ex-pop</t>
        </is>
      </c>
      <c r="AG20" s="36" t="inlineStr">
        <is>
          <t>Alpha 1w vs index</t>
        </is>
      </c>
      <c r="AH20" s="36" t="inlineStr">
        <is>
          <t>Alpha 1m vs index</t>
        </is>
      </c>
      <c r="AI20" s="36" t="inlineStr">
        <is>
          <t>Alpha 3m vs index</t>
        </is>
      </c>
      <c r="AJ20" s="37" t="inlineStr">
        <is>
          <t>Alpha 1m ex-pop</t>
        </is>
      </c>
      <c r="AK20" s="36" t="inlineStr">
        <is>
          <t>Index, IPO→1m</t>
        </is>
      </c>
      <c r="AL20" s="36" t="inlineStr">
        <is>
          <t>Index, d1→1m</t>
        </is>
      </c>
      <c r="AM20" s="36" t="inlineStr">
        <is>
          <t>Since IPO</t>
        </is>
      </c>
      <c r="AN20" s="36" t="inlineStr">
        <is>
          <t>Latest FY rev (HK$m)</t>
        </is>
      </c>
      <c r="AO20" s="36" t="inlineStr">
        <is>
          <t>Latest FY NI (HK$m)</t>
        </is>
      </c>
      <c r="AP20" s="36" t="inlineStr">
        <is>
          <t>Profitable</t>
        </is>
      </c>
      <c r="AQ20" s="36" t="inlineStr">
        <is>
          <t>P/E at IPO</t>
        </is>
      </c>
      <c r="AR20" s="36" t="inlineStr">
        <is>
          <t>P/E at IPO (BBG)</t>
        </is>
      </c>
      <c r="AS20" s="36" t="inlineStr">
        <is>
          <t>P/E today (BBG)</t>
        </is>
      </c>
      <c r="AT20" s="36" t="inlineStr">
        <is>
          <t>P/S at IPO</t>
        </is>
      </c>
      <c r="AU20" s="36" t="inlineStr">
        <is>
          <t>A/H pair</t>
        </is>
      </c>
      <c r="AV20" s="36" t="inlineStr">
        <is>
          <t>A-share code</t>
        </is>
      </c>
      <c r="AW20" s="36" t="inlineStr">
        <is>
          <t>A prem vs H at IPO</t>
        </is>
      </c>
      <c r="AX20" s="36" t="inlineStr">
        <is>
          <t>A close used (HK$)</t>
        </is>
      </c>
      <c r="AY20" s="36" t="inlineStr">
        <is>
          <t>A premium (today)</t>
        </is>
      </c>
      <c r="AZ20" s="36" t="inlineStr">
        <is>
          <t>A P/E @H-IPO (BBG)</t>
        </is>
      </c>
      <c r="BA20" s="36" t="inlineStr">
        <is>
          <t>HSAHP @IPO (BBG)</t>
        </is>
      </c>
      <c r="BB20" s="36" t="inlineStr">
        <is>
          <t>Sponsors</t>
        </is>
      </c>
      <c r="BC20" s="36" t="inlineStr">
        <is>
          <t>Bookrunners</t>
        </is>
      </c>
      <c r="BD20" s="36" t="inlineStr">
        <is>
          <t>P/E now (x)</t>
        </is>
      </c>
      <c r="BE20" s="36" t="inlineStr">
        <is>
          <t>P/S now (x)</t>
        </is>
      </c>
      <c r="BF20" s="36" t="inlineStr">
        <is>
          <t>Shared CS</t>
        </is>
      </c>
      <c r="BG20" s="36" t="inlineStr">
        <is>
          <t>Match</t>
        </is>
      </c>
      <c r="BH20" s="36" t="inlineStr">
        <is>
          <t>Score</t>
        </is>
      </c>
      <c r="BI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39">
        <f>IF(OR(1&gt;MAX(3,MIN(15,N($D$18))),IFERROR(LARGE('Calc (scoring engine)'!$K$5:$K$515,1),-999999)&lt;=-900000),"",IFERROR(IF(INDEX(Database!$A$5:$A$515,MATCH(LARGE('Calc (scoring engine)'!$K$5:$K$515,1),'Calc (scoring engine)'!$K$5:$K$515,0))="","—",INDEX(Database!$A$5:$A$515,MATCH(LARGE('Calc (scoring engine)'!$K$5:$K$515,1),'Calc (scoring engine)'!$K$5:$K$515,0))),""))</f>
        <v/>
      </c>
      <c r="D21" s="10">
        <f>IF(OR(1&gt;MAX(3,MIN(15,N($D$18))),IFERROR(LARGE('Calc (scoring engine)'!$K$5:$K$515,1),-999999)&lt;=-900000),"",IFERROR(IF(INDEX(Database!$D$5:$D$515,MATCH(LARGE('Calc (scoring engine)'!$K$5:$K$515,1),'Calc (scoring engine)'!$K$5:$K$515,0))="","—",INDEX(Database!$D$5:$D$515,MATCH(LARGE('Calc (scoring engine)'!$K$5:$K$515,1),'Calc (scoring engine)'!$K$5:$K$515,0))),""))</f>
        <v/>
      </c>
      <c r="E21" s="10">
        <f>IF(OR(1&gt;MAX(3,MIN(15,N($D$18))),IFERROR(LARGE('Calc (scoring engine)'!$K$5:$K$515,1),-999999)&lt;=-900000),"",IFERROR(IF(INDEX(Database!$E$5:$E$515,MATCH(LARGE('Calc (scoring engine)'!$K$5:$K$515,1),'Calc (scoring engine)'!$K$5:$K$515,0))="","—",INDEX(Database!$E$5:$E$515,MATCH(LARGE('Calc (scoring engine)'!$K$5:$K$515,1),'Calc (scoring engine)'!$K$5:$K$515,0))),""))</f>
        <v/>
      </c>
      <c r="F21" s="10">
        <f>IF(OR(1&gt;MAX(3,MIN(15,N($D$18))),IFERROR(LARGE('Calc (scoring engine)'!$K$5:$K$515,1),-999999)&lt;=-900000),"",IFERROR(IF(INDEX(Database!$F$5:$F$515,MATCH(LARGE('Calc (scoring engine)'!$K$5:$K$515,1),'Calc (scoring engine)'!$K$5:$K$515,0))="","—",INDEX(Database!$F$5:$F$515,MATCH(LARGE('Calc (scoring engine)'!$K$5:$K$515,1),'Calc (scoring engine)'!$K$5:$K$515,0))),""))</f>
        <v/>
      </c>
      <c r="G21" s="10">
        <f>IF(OR(1&gt;MAX(3,MIN(15,N($D$18))),IFERROR(LARGE('Calc (scoring engine)'!$K$5:$K$515,1),-999999)&lt;=-900000),"",IFERROR(IF(INDEX(Database!$G$5:$G$515,MATCH(LARGE('Calc (scoring engine)'!$K$5:$K$515,1),'Calc (scoring engine)'!$K$5:$K$515,0))="","—",INDEX(Database!$G$5:$G$515,MATCH(LARGE('Calc (scoring engine)'!$K$5:$K$515,1),'Calc (scoring engine)'!$K$5:$K$515,0))),""))</f>
        <v/>
      </c>
      <c r="H21" s="21">
        <f>IF(OR(1&gt;MAX(3,MIN(15,N($D$18))),IFERROR(LARGE('Calc (scoring engine)'!$K$5:$K$515,1),-999999)&lt;=-900000),"",IFERROR(IF(INDEX(Database!$H$5:$H$515,MATCH(LARGE('Calc (scoring engine)'!$K$5:$K$515,1),'Calc (scoring engine)'!$K$5:$K$515,0))="","—",INDEX(Database!$H$5:$H$515,MATCH(LARGE('Calc (scoring engine)'!$K$5:$K$515,1),'Calc (scoring engine)'!$K$5:$K$515,0))),""))</f>
        <v/>
      </c>
      <c r="I21" s="18">
        <f>IF(OR(1&gt;MAX(3,MIN(15,N($D$18))),IFERROR(LARGE('Calc (scoring engine)'!$K$5:$K$515,1),-999999)&lt;=-900000),"",IFERROR(IF(INDEX(Database!$I$5:$I$515,MATCH(LARGE('Calc (scoring engine)'!$K$5:$K$515,1),'Calc (scoring engine)'!$K$5:$K$515,0))="","—",INDEX(Database!$I$5:$I$515,MATCH(LARGE('Calc (scoring engine)'!$K$5:$K$515,1),'Calc (scoring engine)'!$K$5:$K$515,0))),""))</f>
        <v/>
      </c>
      <c r="J21" s="40">
        <f>IF(OR(1&gt;MAX(3,MIN(15,N($D$18))),IFERROR(LARGE('Calc (scoring engine)'!$K$5:$K$515,1),-999999)&lt;=-900000),"",IFERROR(IF(INDEX(Database!$K$5:$K$515,MATCH(LARGE('Calc (scoring engine)'!$K$5:$K$515,1),'Calc (scoring engine)'!$K$5:$K$515,0))="","—",INDEX(Database!$K$5:$K$515,MATCH(LARGE('Calc (scoring engine)'!$K$5:$K$515,1),'Calc (scoring engine)'!$K$5:$K$515,0))),""))</f>
        <v/>
      </c>
      <c r="K21" s="40">
        <f>IF(OR(1&gt;MAX(3,MIN(15,N($D$18))),IFERROR(LARGE('Calc (scoring engine)'!$K$5:$K$515,1),-999999)&lt;=-900000),"",IFERROR(IF(INDEX(Database!$L$5:$L$515,MATCH(LARGE('Calc (scoring engine)'!$K$5:$K$515,1),'Calc (scoring engine)'!$K$5:$K$515,0))="","—",INDEX(Database!$L$5:$L$515,MATCH(LARGE('Calc (scoring engine)'!$K$5:$K$515,1),'Calc (scoring engine)'!$K$5:$K$515,0))),""))</f>
        <v/>
      </c>
      <c r="L21" s="40">
        <f>IF(OR(1&gt;MAX(3,MIN(15,N($D$18))),IFERROR(LARGE('Calc (scoring engine)'!$K$5:$K$515,1),-999999)&lt;=-900000),"",IFERROR(IF(INDEX(Database!$M$5:$M$515,MATCH(LARGE('Calc (scoring engine)'!$K$5:$K$515,1),'Calc (scoring engine)'!$K$5:$K$515,0))="","—",INDEX(Database!$M$5:$M$515,MATCH(LARGE('Calc (scoring engine)'!$K$5:$K$515,1),'Calc (scoring engine)'!$K$5:$K$515,0))),""))</f>
        <v/>
      </c>
      <c r="M21" s="10">
        <f>IF(OR(1&gt;MAX(3,MIN(15,N($D$18))),IFERROR(LARGE('Calc (scoring engine)'!$K$5:$K$515,1),-999999)&lt;=-900000),"",IFERROR(IF(INDEX(Database!$N$5:$N$515,MATCH(LARGE('Calc (scoring engine)'!$K$5:$K$515,1),'Calc (scoring engine)'!$K$5:$K$515,0))="","—",INDEX(Database!$N$5:$N$515,MATCH(LARGE('Calc (scoring engine)'!$K$5:$K$515,1),'Calc (scoring engine)'!$K$5:$K$515,0))),""))</f>
        <v/>
      </c>
      <c r="N21" s="28">
        <f>IF(OR(1&gt;MAX(3,MIN(15,N($D$18))),IFERROR(LARGE('Calc (scoring engine)'!$K$5:$K$515,1),-999999)&lt;=-900000),"",IFERROR(IF(INDEX(Database!$O$5:$O$515,MATCH(LARGE('Calc (scoring engine)'!$K$5:$K$515,1),'Calc (scoring engine)'!$K$5:$K$515,0))="","—",INDEX(Database!$O$5:$O$515,MATCH(LARGE('Calc (scoring engine)'!$K$5:$K$515,1),'Calc (scoring engine)'!$K$5:$K$515,0))),""))</f>
        <v/>
      </c>
      <c r="O21" s="28">
        <f>IF(OR(1&gt;MAX(3,MIN(15,N($D$18))),IFERROR(LARGE('Calc (scoring engine)'!$K$5:$K$515,1),-999999)&lt;=-900000),"",IFERROR(IF(INDEX(Database!$P$5:$P$515,MATCH(LARGE('Calc (scoring engine)'!$K$5:$K$515,1),'Calc (scoring engine)'!$K$5:$K$515,0))="","—",INDEX(Database!$P$5:$P$515,MATCH(LARGE('Calc (scoring engine)'!$K$5:$K$515,1),'Calc (scoring engine)'!$K$5:$K$515,0))),""))</f>
        <v/>
      </c>
      <c r="P21" s="18">
        <f>IF(OR(1&gt;MAX(3,MIN(15,N($D$18))),IFERROR(LARGE('Calc (scoring engine)'!$K$5:$K$515,1),-999999)&lt;=-900000),"",IFERROR(IF(INDEX(Database!$Q$5:$Q$515,MATCH(LARGE('Calc (scoring engine)'!$K$5:$K$515,1),'Calc (scoring engine)'!$K$5:$K$515,0))="","—",INDEX(Database!$Q$5:$Q$515,MATCH(LARGE('Calc (scoring engine)'!$K$5:$K$515,1),'Calc (scoring engine)'!$K$5:$K$515,0))),""))</f>
        <v/>
      </c>
      <c r="Q21" s="26">
        <f>IF(OR(1&gt;MAX(3,MIN(15,N($D$18))),IFERROR(LARGE('Calc (scoring engine)'!$K$5:$K$515,1),-999999)&lt;=-900000),"",IFERROR(IF(INDEX(Database!$S$5:$S$515,MATCH(LARGE('Calc (scoring engine)'!$K$5:$K$515,1),'Calc (scoring engine)'!$K$5:$K$515,0))="","—",INDEX(Database!$S$5:$S$515,MATCH(LARGE('Calc (scoring engine)'!$K$5:$K$515,1),'Calc (scoring engine)'!$K$5:$K$515,0))),""))</f>
        <v/>
      </c>
      <c r="R21" s="41">
        <f>IF(OR(1&gt;MAX(3,MIN(15,N($D$18))),IFERROR(LARGE('Calc (scoring engine)'!$K$5:$K$515,1),-999999)&lt;=-900000),"",IFERROR(IF(INDEX(Database!$T$5:$T$515,MATCH(LARGE('Calc (scoring engine)'!$K$5:$K$515,1),'Calc (scoring engine)'!$K$5:$K$515,0))="","—",INDEX(Database!$T$5:$T$515,MATCH(LARGE('Calc (scoring engine)'!$K$5:$K$515,1),'Calc (scoring engine)'!$K$5:$K$515,0))),""))</f>
        <v/>
      </c>
      <c r="S21" s="42">
        <f>IF(OR(1&gt;MAX(3,MIN(15,N($D$18))),IFERROR(LARGE('Calc (scoring engine)'!$K$5:$K$515,1),-999999)&lt;=-900000),"",IFERROR(IF(INDEX(Database!$U$5:$U$515,MATCH(LARGE('Calc (scoring engine)'!$K$5:$K$515,1),'Calc (scoring engine)'!$K$5:$K$515,0))="","—",INDEX(Database!$U$5:$U$515,MATCH(LARGE('Calc (scoring engine)'!$K$5:$K$515,1),'Calc (scoring engine)'!$K$5:$K$515,0))),""))</f>
        <v/>
      </c>
      <c r="T21" s="28">
        <f>IF(OR(1&gt;MAX(3,MIN(15,N($D$18))),IFERROR(LARGE('Calc (scoring engine)'!$K$5:$K$515,1),-999999)&lt;=-900000),"",IFERROR(IF(INDEX(Database!$V$5:$V$515,MATCH(LARGE('Calc (scoring engine)'!$K$5:$K$515,1),'Calc (scoring engine)'!$K$5:$K$515,0))="","—",INDEX(Database!$V$5:$V$515,MATCH(LARGE('Calc (scoring engine)'!$K$5:$K$515,1),'Calc (scoring engine)'!$K$5:$K$515,0))),""))</f>
        <v/>
      </c>
      <c r="U21" s="10">
        <f>IF(OR(1&gt;MAX(3,MIN(15,N($D$18))),IFERROR(LARGE('Calc (scoring engine)'!$K$5:$K$515,1),-999999)&lt;=-900000),"",IFERROR(IF(INDEX(Database!$W$5:$W$515,MATCH(LARGE('Calc (scoring engine)'!$K$5:$K$515,1),'Calc (scoring engine)'!$K$5:$K$515,0))="","—",INDEX(Database!$W$5:$W$515,MATCH(LARGE('Calc (scoring engine)'!$K$5:$K$515,1),'Calc (scoring engine)'!$K$5:$K$515,0))),""))</f>
        <v/>
      </c>
      <c r="V21" s="28">
        <f>IF(OR(1&gt;MAX(3,MIN(15,N($D$18))),IFERROR(LARGE('Calc (scoring engine)'!$K$5:$K$515,1),-999999)&lt;=-900000),"",IFERROR(IF(INDEX(Database!$Y$5:$Y$515,MATCH(LARGE('Calc (scoring engine)'!$K$5:$K$515,1),'Calc (scoring engine)'!$K$5:$K$515,0))="","—",INDEX(Database!$Y$5:$Y$515,MATCH(LARGE('Calc (scoring engine)'!$K$5:$K$515,1),'Calc (scoring engine)'!$K$5:$K$515,0))),""))</f>
        <v/>
      </c>
      <c r="W21" s="10">
        <f>IF(OR(1&gt;MAX(3,MIN(15,N($D$18))),IFERROR(LARGE('Calc (scoring engine)'!$K$5:$K$515,1),-999999)&lt;=-900000),"",IFERROR(IF(INDEX(Database!$Z$5:$Z$515,MATCH(LARGE('Calc (scoring engine)'!$K$5:$K$515,1),'Calc (scoring engine)'!$K$5:$K$515,0))="","—",INDEX(Database!$Z$5:$Z$515,MATCH(LARGE('Calc (scoring engine)'!$K$5:$K$515,1),'Calc (scoring engine)'!$K$5:$K$515,0))),""))</f>
        <v/>
      </c>
      <c r="X21" s="23">
        <f>IF(OR(1&gt;MAX(3,MIN(15,N($D$18))),IFERROR(LARGE('Calc (scoring engine)'!$K$5:$K$515,1),-999999)&lt;=-900000),"",IFERROR(IF(INDEX(Database!$AA$5:$AA$515,MATCH(LARGE('Calc (scoring engine)'!$K$5:$K$515,1),'Calc (scoring engine)'!$K$5:$K$515,0))="","—",INDEX(Database!$AA$5:$AA$515,MATCH(LARGE('Calc (scoring engine)'!$K$5:$K$515,1),'Calc (scoring engine)'!$K$5:$K$515,0))),""))</f>
        <v/>
      </c>
      <c r="Y21" s="23">
        <f>IF(OR(1&gt;MAX(3,MIN(15,N($D$18))),IFERROR(LARGE('Calc (scoring engine)'!$K$5:$K$515,1),-999999)&lt;=-900000),"",IFERROR(IF(INDEX(Database!$AB$5:$AB$515,MATCH(LARGE('Calc (scoring engine)'!$K$5:$K$515,1),'Calc (scoring engine)'!$K$5:$K$515,0))="","—",INDEX(Database!$AB$5:$AB$515,MATCH(LARGE('Calc (scoring engine)'!$K$5:$K$515,1),'Calc (scoring engine)'!$K$5:$K$515,0))),""))</f>
        <v/>
      </c>
      <c r="Z21" s="23">
        <f>IF(OR(1&gt;MAX(3,MIN(15,N($D$18))),IFERROR(LARGE('Calc (scoring engine)'!$K$5:$K$515,1),-999999)&lt;=-900000),"",IFERROR(IF(INDEX(Database!$AC$5:$AC$515,MATCH(LARGE('Calc (scoring engine)'!$K$5:$K$515,1),'Calc (scoring engine)'!$K$5:$K$515,0))="","—",INDEX(Database!$AC$5:$AC$515,MATCH(LARGE('Calc (scoring engine)'!$K$5:$K$515,1),'Calc (scoring engine)'!$K$5:$K$515,0))),""))</f>
        <v/>
      </c>
      <c r="AA21" s="23">
        <f>IF(OR(1&gt;MAX(3,MIN(15,N($D$18))),IFERROR(LARGE('Calc (scoring engine)'!$K$5:$K$515,1),-999999)&lt;=-900000),"",IFERROR(IF(INDEX(Database!$AD$5:$AD$515,MATCH(LARGE('Calc (scoring engine)'!$K$5:$K$515,1),'Calc (scoring engine)'!$K$5:$K$515,0))="","—",INDEX(Database!$AD$5:$AD$515,MATCH(LARGE('Calc (scoring engine)'!$K$5:$K$515,1),'Calc (scoring engine)'!$K$5:$K$515,0))),""))</f>
        <v/>
      </c>
      <c r="AB21" s="23">
        <f>IF(OR(1&gt;MAX(3,MIN(15,N($D$18))),IFERROR(LARGE('Calc (scoring engine)'!$K$5:$K$515,1),-999999)&lt;=-900000),"",IFERROR(IF(INDEX(Database!$AE$5:$AE$515,MATCH(LARGE('Calc (scoring engine)'!$K$5:$K$515,1),'Calc (scoring engine)'!$K$5:$K$515,0))="","—",INDEX(Database!$AE$5:$AE$515,MATCH(LARGE('Calc (scoring engine)'!$K$5:$K$515,1),'Calc (scoring engine)'!$K$5:$K$515,0))),""))</f>
        <v/>
      </c>
      <c r="AC21" s="23">
        <f>IF(OR(1&gt;MAX(3,MIN(15,N($D$18))),IFERROR(LARGE('Calc (scoring engine)'!$K$5:$K$515,1),-999999)&lt;=-900000),"",IFERROR(IF(INDEX(Database!$AF$5:$AF$515,MATCH(LARGE('Calc (scoring engine)'!$K$5:$K$515,1),'Calc (scoring engine)'!$K$5:$K$515,0))="","—",INDEX(Database!$AF$5:$AF$515,MATCH(LARGE('Calc (scoring engine)'!$K$5:$K$515,1),'Calc (scoring engine)'!$K$5:$K$515,0))),""))</f>
        <v/>
      </c>
      <c r="AD21" s="23">
        <f>IF(OR(1&gt;MAX(3,MIN(15,N($D$18))),IFERROR(LARGE('Calc (scoring engine)'!$K$5:$K$515,1),-999999)&lt;=-900000),"",IFERROR(IF(INDEX(Database!$AG$5:$AG$515,MATCH(LARGE('Calc (scoring engine)'!$K$5:$K$515,1),'Calc (scoring engine)'!$K$5:$K$515,0))="","—",INDEX(Database!$AG$5:$AG$515,MATCH(LARGE('Calc (scoring engine)'!$K$5:$K$515,1),'Calc (scoring engine)'!$K$5:$K$515,0))),""))</f>
        <v/>
      </c>
      <c r="AE21" s="23">
        <f>IF(OR(1&gt;MAX(3,MIN(15,N($D$18))),IFERROR(LARGE('Calc (scoring engine)'!$K$5:$K$515,1),-999999)&lt;=-900000),"",IFERROR(IF(INDEX(Database!$AH$5:$AH$515,MATCH(LARGE('Calc (scoring engine)'!$K$5:$K$515,1),'Calc (scoring engine)'!$K$5:$K$515,0))="","—",INDEX(Database!$AH$5:$AH$515,MATCH(LARGE('Calc (scoring engine)'!$K$5:$K$515,1),'Calc (scoring engine)'!$K$5:$K$515,0))),""))</f>
        <v/>
      </c>
      <c r="AF21" s="23">
        <f>IF(OR(1&gt;MAX(3,MIN(15,N($D$18))),IFERROR(LARGE('Calc (scoring engine)'!$K$5:$K$515,1),-999999)&lt;=-900000),"",IFERROR(IF(INDEX(Database!$AI$5:$AI$515,MATCH(LARGE('Calc (scoring engine)'!$K$5:$K$515,1),'Calc (scoring engine)'!$K$5:$K$515,0))="","—",INDEX(Database!$AI$5:$AI$515,MATCH(LARGE('Calc (scoring engine)'!$K$5:$K$515,1),'Calc (scoring engine)'!$K$5:$K$515,0))),""))</f>
        <v/>
      </c>
      <c r="AG21" s="23">
        <f>IF(OR(1&gt;MAX(3,MIN(15,N($D$18))),IFERROR(LARGE('Calc (scoring engine)'!$K$5:$K$515,1),-999999)&lt;=-900000),"",IFERROR(IF(INDEX(Database!$AJ$5:$AJ$515,MATCH(LARGE('Calc (scoring engine)'!$K$5:$K$515,1),'Calc (scoring engine)'!$K$5:$K$515,0))="","—",INDEX(Database!$AJ$5:$AJ$515,MATCH(LARGE('Calc (scoring engine)'!$K$5:$K$515,1),'Calc (scoring engine)'!$K$5:$K$515,0))),""))</f>
        <v/>
      </c>
      <c r="AH21" s="23">
        <f>IF(OR(1&gt;MAX(3,MIN(15,N($D$18))),IFERROR(LARGE('Calc (scoring engine)'!$K$5:$K$515,1),-999999)&lt;=-900000),"",IFERROR(IF(INDEX(Database!$AK$5:$AK$515,MATCH(LARGE('Calc (scoring engine)'!$K$5:$K$515,1),'Calc (scoring engine)'!$K$5:$K$515,0))="","—",INDEX(Database!$AK$5:$AK$515,MATCH(LARGE('Calc (scoring engine)'!$K$5:$K$515,1),'Calc (scoring engine)'!$K$5:$K$515,0))),""))</f>
        <v/>
      </c>
      <c r="AI21" s="23">
        <f>IF(OR(1&gt;MAX(3,MIN(15,N($D$18))),IFERROR(LARGE('Calc (scoring engine)'!$K$5:$K$515,1),-999999)&lt;=-900000),"",IFERROR(IF(INDEX(Database!$AL$5:$AL$515,MATCH(LARGE('Calc (scoring engine)'!$K$5:$K$515,1),'Calc (scoring engine)'!$K$5:$K$515,0))="","—",INDEX(Database!$AL$5:$AL$515,MATCH(LARGE('Calc (scoring engine)'!$K$5:$K$515,1),'Calc (scoring engine)'!$K$5:$K$515,0))),""))</f>
        <v/>
      </c>
      <c r="AJ21" s="23">
        <f>IF(OR(1&gt;MAX(3,MIN(15,N($D$18))),IFERROR(LARGE('Calc (scoring engine)'!$K$5:$K$515,1),-999999)&lt;=-900000),"",IFERROR(IF(INDEX(Database!$AM$5:$AM$515,MATCH(LARGE('Calc (scoring engine)'!$K$5:$K$515,1),'Calc (scoring engine)'!$K$5:$K$515,0))="","—",INDEX(Database!$AM$5:$AM$515,MATCH(LARGE('Calc (scoring engine)'!$K$5:$K$515,1),'Calc (scoring engine)'!$K$5:$K$515,0))),""))</f>
        <v/>
      </c>
      <c r="AK21" s="23">
        <f>IF(OR(1&gt;MAX(3,MIN(15,N($D$18))),IFERROR(LARGE('Calc (scoring engine)'!$K$5:$K$515,1),-999999)&lt;=-900000),"",IFERROR(IF(INDEX(Database!$AN$5:$AN$515,MATCH(LARGE('Calc (scoring engine)'!$K$5:$K$515,1),'Calc (scoring engine)'!$K$5:$K$515,0))="","—",INDEX(Database!$AN$5:$AN$515,MATCH(LARGE('Calc (scoring engine)'!$K$5:$K$515,1),'Calc (scoring engine)'!$K$5:$K$515,0))),""))</f>
        <v/>
      </c>
      <c r="AL21" s="23">
        <f>IF(OR(1&gt;MAX(3,MIN(15,N($D$18))),IFERROR(LARGE('Calc (scoring engine)'!$K$5:$K$515,1),-999999)&lt;=-900000),"",IFERROR(IF(INDEX(Database!$AO$5:$AO$515,MATCH(LARGE('Calc (scoring engine)'!$K$5:$K$515,1),'Calc (scoring engine)'!$K$5:$K$515,0))="","—",INDEX(Database!$AO$5:$AO$515,MATCH(LARGE('Calc (scoring engine)'!$K$5:$K$515,1),'Calc (scoring engine)'!$K$5:$K$515,0))),""))</f>
        <v/>
      </c>
      <c r="AM21" s="23">
        <f>IF(OR(1&gt;MAX(3,MIN(15,N($D$18))),IFERROR(LARGE('Calc (scoring engine)'!$K$5:$K$515,1),-999999)&lt;=-900000),"",IFERROR(IF(INDEX(Database!$AQ$5:$AQ$515,MATCH(LARGE('Calc (scoring engine)'!$K$5:$K$515,1),'Calc (scoring engine)'!$K$5:$K$515,0))="","—",INDEX(Database!$AQ$5:$AQ$515,MATCH(LARGE('Calc (scoring engine)'!$K$5:$K$515,1),'Calc (scoring engine)'!$K$5:$K$515,0))),""))</f>
        <v/>
      </c>
      <c r="AN21" s="18">
        <f>IF(OR(1&gt;MAX(3,MIN(15,N($D$18))),IFERROR(LARGE('Calc (scoring engine)'!$K$5:$K$515,1),-999999)&lt;=-900000),"",IFERROR(IF(INDEX(Database!$AS$5:$AS$515,MATCH(LARGE('Calc (scoring engine)'!$K$5:$K$515,1),'Calc (scoring engine)'!$K$5:$K$515,0))="","—",INDEX(Database!$AS$5:$AS$515,MATCH(LARGE('Calc (scoring engine)'!$K$5:$K$515,1),'Calc (scoring engine)'!$K$5:$K$515,0))),""))</f>
        <v/>
      </c>
      <c r="AO21" s="18">
        <f>IF(OR(1&gt;MAX(3,MIN(15,N($D$18))),IFERROR(LARGE('Calc (scoring engine)'!$K$5:$K$515,1),-999999)&lt;=-900000),"",IFERROR(IF(INDEX(Database!$AT$5:$AT$515,MATCH(LARGE('Calc (scoring engine)'!$K$5:$K$515,1),'Calc (scoring engine)'!$K$5:$K$515,0))="","—",INDEX(Database!$AT$5:$AT$515,MATCH(LARGE('Calc (scoring engine)'!$K$5:$K$515,1),'Calc (scoring engine)'!$K$5:$K$515,0))),""))</f>
        <v/>
      </c>
      <c r="AP21" s="10">
        <f>IF(OR(1&gt;MAX(3,MIN(15,N($D$18))),IFERROR(LARGE('Calc (scoring engine)'!$K$5:$K$515,1),-999999)&lt;=-900000),"",IFERROR(IF(INDEX(Database!$AU$5:$AU$515,MATCH(LARGE('Calc (scoring engine)'!$K$5:$K$515,1),'Calc (scoring engine)'!$K$5:$K$515,0))="","—",INDEX(Database!$AU$5:$AU$515,MATCH(LARGE('Calc (scoring engine)'!$K$5:$K$515,1),'Calc (scoring engine)'!$K$5:$K$515,0))),""))</f>
        <v/>
      </c>
      <c r="AQ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R21" s="24">
        <f>IF(OR(1&gt;MAX(3,MIN(15,N($D$18))),IFERROR(LARGE('Calc (scoring engine)'!$K$5:$K$515,1),-999999)&lt;=-900000),"",IFERROR(IF(INDEX(Database!$AW$5:$AW$515,MATCH(LARGE('Calc (scoring engine)'!$K$5:$K$515,1),'Calc (scoring engine)'!$K$5:$K$515,0))="","—",INDEX(Database!$AW$5:$AW$515,MATCH(LARGE('Calc (scoring engine)'!$K$5:$K$515,1),'Calc (scoring engine)'!$K$5:$K$515,0))),""))</f>
        <v/>
      </c>
      <c r="AS21" s="24">
        <f>IF(OR(1&gt;MAX(3,MIN(15,N($D$18))),IFERROR(LARGE('Calc (scoring engine)'!$K$5:$K$515,1),-999999)&lt;=-900000),"",IFERROR(IF(INDEX(Database!$AX$5:$AX$515,MATCH(LARGE('Calc (scoring engine)'!$K$5:$K$515,1),'Calc (scoring engine)'!$K$5:$K$515,0))="","—",INDEX(Database!$AX$5:$AX$515,MATCH(LARGE('Calc (scoring engine)'!$K$5:$K$515,1),'Calc (scoring engine)'!$K$5:$K$515,0))),""))</f>
        <v/>
      </c>
      <c r="AT21" s="24">
        <f>IF(OR(1&gt;MAX(3,MIN(15,N($D$18))),IFERROR(LARGE('Calc (scoring engine)'!$K$5:$K$515,1),-999999)&lt;=-900000),"",IFERROR(IF(INDEX(Database!$AY$5:$AY$515,MATCH(LARGE('Calc (scoring engine)'!$K$5:$K$515,1),'Calc (scoring engine)'!$K$5:$K$515,0))="","—",INDEX(Database!$AY$5:$AY$515,MATCH(LARGE('Calc (scoring engine)'!$K$5:$K$515,1),'Calc (scoring engine)'!$K$5:$K$515,0))),""))</f>
        <v/>
      </c>
      <c r="AU21" s="10">
        <f>IF(OR(1&gt;MAX(3,MIN(15,N($D$18))),IFERROR(LARGE('Calc (scoring engine)'!$K$5:$K$515,1),-999999)&lt;=-900000),"",IFERROR(IF(INDEX(Database!$AZ$5:$AZ$515,MATCH(LARGE('Calc (scoring engine)'!$K$5:$K$515,1),'Calc (scoring engine)'!$K$5:$K$515,0))="","—",INDEX(Database!$AZ$5:$AZ$515,MATCH(LARGE('Calc (scoring engine)'!$K$5:$K$515,1),'Calc (scoring engine)'!$K$5:$K$515,0))),""))</f>
        <v/>
      </c>
      <c r="AV21" s="10">
        <f>IF(OR(1&gt;MAX(3,MIN(15,N($D$18))),IFERROR(LARGE('Calc (scoring engine)'!$K$5:$K$515,1),-999999)&lt;=-900000),"",IFERROR(IF(INDEX(Database!$BA$5:$BA$515,MATCH(LARGE('Calc (scoring engine)'!$K$5:$K$515,1),'Calc (scoring engine)'!$K$5:$K$515,0))="","—",INDEX(Database!$BA$5:$BA$515,MATCH(LARGE('Calc (scoring engine)'!$K$5:$K$515,1),'Calc (scoring engine)'!$K$5:$K$515,0))),""))</f>
        <v/>
      </c>
      <c r="AW21" s="23">
        <f>IF(OR(1&gt;MAX(3,MIN(15,N($D$18))),IFERROR(LARGE('Calc (scoring engine)'!$K$5:$K$515,1),-999999)&lt;=-900000),"",IFERROR(IF(INDEX(Database!$BB$5:$BB$515,MATCH(LARGE('Calc (scoring engine)'!$K$5:$K$515,1),'Calc (scoring engine)'!$K$5:$K$515,0))="","—",INDEX(Database!$BB$5:$BB$515,MATCH(LARGE('Calc (scoring engine)'!$K$5:$K$515,1),'Calc (scoring engine)'!$K$5:$K$515,0))),""))</f>
        <v/>
      </c>
      <c r="AX21" s="40">
        <f>IF(OR(1&gt;MAX(3,MIN(15,N($D$18))),IFERROR(LARGE('Calc (scoring engine)'!$K$5:$K$515,1),-999999)&lt;=-900000),"",IFERROR(IF(INDEX(Database!$BC$5:$BC$515,MATCH(LARGE('Calc (scoring engine)'!$K$5:$K$515,1),'Calc (scoring engine)'!$K$5:$K$515,0))="","—",INDEX(Database!$BC$5:$BC$515,MATCH(LARGE('Calc (scoring engine)'!$K$5:$K$515,1),'Calc (scoring engine)'!$K$5:$K$515,0))),""))</f>
        <v/>
      </c>
      <c r="AY21" s="43">
        <f>IF(OR(1&gt;MAX(3,MIN(15,N($D$18))),IFERROR(LARGE('Calc (scoring engine)'!$K$5:$K$515,1),-999999)&lt;=-900000),"",IFERROR(IF(INDEX(Database!$BD$5:$BD$515,MATCH(LARGE('Calc (scoring engine)'!$K$5:$K$515,1),'Calc (scoring engine)'!$K$5:$K$515,0))="","—",INDEX(Database!$BD$5:$BD$515,MATCH(LARGE('Calc (scoring engine)'!$K$5:$K$515,1),'Calc (scoring engine)'!$K$5:$K$515,0))),""))</f>
        <v/>
      </c>
      <c r="AZ21" s="24">
        <f>IF(OR(1&gt;MAX(3,MIN(15,N($D$18))),IFERROR(LARGE('Calc (scoring engine)'!$K$5:$K$515,1),-999999)&lt;=-900000),"",IFERROR(IF(INDEX(Database!$BE$5:$BE$515,MATCH(LARGE('Calc (scoring engine)'!$K$5:$K$515,1),'Calc (scoring engine)'!$K$5:$K$515,0))="","—",INDEX(Database!$BE$5:$BE$515,MATCH(LARGE('Calc (scoring engine)'!$K$5:$K$515,1),'Calc (scoring engine)'!$K$5:$K$515,0))),""))</f>
        <v/>
      </c>
      <c r="BA21" s="24">
        <f>IF(OR(1&gt;MAX(3,MIN(15,N($D$18))),IFERROR(LARGE('Calc (scoring engine)'!$K$5:$K$515,1),-999999)&lt;=-900000),"",IFERROR(IF(INDEX(Database!$BF$5:$BF$515,MATCH(LARGE('Calc (scoring engine)'!$K$5:$K$515,1),'Calc (scoring engine)'!$K$5:$K$515,0))="","—",INDEX(Database!$BF$5:$BF$515,MATCH(LARGE('Calc (scoring engine)'!$K$5:$K$515,1),'Calc (scoring engine)'!$K$5:$K$515,0))),""))</f>
        <v/>
      </c>
      <c r="BB21" s="10">
        <f>IF(OR(1&gt;MAX(3,MIN(15,N($D$18))),IFERROR(LARGE('Calc (scoring engine)'!$K$5:$K$515,1),-999999)&lt;=-900000),"",IFERROR(IF(INDEX(Database!$BG$5:$BG$515,MATCH(LARGE('Calc (scoring engine)'!$K$5:$K$515,1),'Calc (scoring engine)'!$K$5:$K$515,0))="","—",INDEX(Database!$BG$5:$BG$515,MATCH(LARGE('Calc (scoring engine)'!$K$5:$K$515,1),'Calc (scoring engine)'!$K$5:$K$515,0))),""))</f>
        <v/>
      </c>
      <c r="BC21" s="10">
        <f>IF(OR(1&gt;MAX(3,MIN(15,N($D$18))),IFERROR(LARGE('Calc (scoring engine)'!$K$5:$K$515,1),-999999)&lt;=-900000),"",IFERROR(IF(INDEX(Database!$BI$5:$BI$515,MATCH(LARGE('Calc (scoring engine)'!$K$5:$K$515,1),'Calc (scoring engine)'!$K$5:$K$515,0))="","—",INDEX(Database!$BI$5:$BI$515,MATCH(LARGE('Calc (scoring engine)'!$K$5:$K$515,1),'Calc (scoring engine)'!$K$5:$K$515,0))),""))</f>
        <v/>
      </c>
      <c r="BD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E21" s="24">
        <f>IF(OR(1&gt;MAX(3,MIN(15,N($D$18))),IFERROR(LARGE('Calc (scoring engine)'!$K$5:$K$515,1),-999999)&lt;=-900000),"",IFERROR(IFERROR(BDP(TEXT(INDEX(Database!$A$5:$A$515,MATCH(LARGE('Calc (scoring engine)'!$K$5:$K$515,1),'Calc (scoring engine)'!$K$5:$K$515,0)),"0")&amp;" HK Equity","PX_TO_SALES_RATIO"),IF(INDEX(Database!$AY$5:$AY$515,MATCH(LARGE('Calc (scoring engine)'!$K$5:$K$515,1),'Calc (scoring engine)'!$K$5:$K$515,0))="","—",INDEX(Database!$AY$5:$AY$515,MATCH(LARGE('Calc (scoring engine)'!$K$5:$K$515,1),'Calc (scoring engine)'!$K$5:$K$515,0)))),""))</f>
        <v/>
      </c>
      <c r="BF21" s="44">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G21" s="10">
        <f>IF(OR(1&gt;MAX(3,MIN(15,N($D$18))),IFERROR(LARGE('Calc (scoring engine)'!$K$5:$K$515,1),-999999)&lt;=-900000),"",IF(IFERROR(INDEX('Calc (scoring engine)'!$B$5:$B$515,MATCH(LARGE('Calc (scoring engine)'!$K$5:$K$515,1),'Calc (scoring engine)'!$K$5:$K$515,0)),0)=1,"same subsector","sector only"))</f>
        <v/>
      </c>
      <c r="BH21" s="44">
        <f>IF(OR(1&gt;MAX(3,MIN(15,N($D$18))),IFERROR(LARGE('Calc (scoring engine)'!$K$5:$K$515,1),-999999)&lt;=-900000),"",ROUND(IFERROR(LARGE('Calc (scoring engine)'!$K$5:$K$515,1),0),0))</f>
        <v/>
      </c>
      <c r="BI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39">
        <f>IF(OR(2&gt;MAX(3,MIN(15,N($D$18))),IFERROR(LARGE('Calc (scoring engine)'!$K$5:$K$515,2),-999999)&lt;=-900000),"",IFERROR(IF(INDEX(Database!$A$5:$A$515,MATCH(LARGE('Calc (scoring engine)'!$K$5:$K$515,2),'Calc (scoring engine)'!$K$5:$K$515,0))="","—",INDEX(Database!$A$5:$A$515,MATCH(LARGE('Calc (scoring engine)'!$K$5:$K$515,2),'Calc (scoring engine)'!$K$5:$K$515,0))),""))</f>
        <v/>
      </c>
      <c r="D22" s="10">
        <f>IF(OR(2&gt;MAX(3,MIN(15,N($D$18))),IFERROR(LARGE('Calc (scoring engine)'!$K$5:$K$515,2),-999999)&lt;=-900000),"",IFERROR(IF(INDEX(Database!$D$5:$D$515,MATCH(LARGE('Calc (scoring engine)'!$K$5:$K$515,2),'Calc (scoring engine)'!$K$5:$K$515,0))="","—",INDEX(Database!$D$5:$D$515,MATCH(LARGE('Calc (scoring engine)'!$K$5:$K$515,2),'Calc (scoring engine)'!$K$5:$K$515,0))),""))</f>
        <v/>
      </c>
      <c r="E22" s="10">
        <f>IF(OR(2&gt;MAX(3,MIN(15,N($D$18))),IFERROR(LARGE('Calc (scoring engine)'!$K$5:$K$515,2),-999999)&lt;=-900000),"",IFERROR(IF(INDEX(Database!$E$5:$E$515,MATCH(LARGE('Calc (scoring engine)'!$K$5:$K$515,2),'Calc (scoring engine)'!$K$5:$K$515,0))="","—",INDEX(Database!$E$5:$E$515,MATCH(LARGE('Calc (scoring engine)'!$K$5:$K$515,2),'Calc (scoring engine)'!$K$5:$K$515,0))),""))</f>
        <v/>
      </c>
      <c r="F22" s="10">
        <f>IF(OR(2&gt;MAX(3,MIN(15,N($D$18))),IFERROR(LARGE('Calc (scoring engine)'!$K$5:$K$515,2),-999999)&lt;=-900000),"",IFERROR(IF(INDEX(Database!$F$5:$F$515,MATCH(LARGE('Calc (scoring engine)'!$K$5:$K$515,2),'Calc (scoring engine)'!$K$5:$K$515,0))="","—",INDEX(Database!$F$5:$F$515,MATCH(LARGE('Calc (scoring engine)'!$K$5:$K$515,2),'Calc (scoring engine)'!$K$5:$K$515,0))),""))</f>
        <v/>
      </c>
      <c r="G22" s="10">
        <f>IF(OR(2&gt;MAX(3,MIN(15,N($D$18))),IFERROR(LARGE('Calc (scoring engine)'!$K$5:$K$515,2),-999999)&lt;=-900000),"",IFERROR(IF(INDEX(Database!$G$5:$G$515,MATCH(LARGE('Calc (scoring engine)'!$K$5:$K$515,2),'Calc (scoring engine)'!$K$5:$K$515,0))="","—",INDEX(Database!$G$5:$G$515,MATCH(LARGE('Calc (scoring engine)'!$K$5:$K$515,2),'Calc (scoring engine)'!$K$5:$K$515,0))),""))</f>
        <v/>
      </c>
      <c r="H22" s="21">
        <f>IF(OR(2&gt;MAX(3,MIN(15,N($D$18))),IFERROR(LARGE('Calc (scoring engine)'!$K$5:$K$515,2),-999999)&lt;=-900000),"",IFERROR(IF(INDEX(Database!$H$5:$H$515,MATCH(LARGE('Calc (scoring engine)'!$K$5:$K$515,2),'Calc (scoring engine)'!$K$5:$K$515,0))="","—",INDEX(Database!$H$5:$H$515,MATCH(LARGE('Calc (scoring engine)'!$K$5:$K$515,2),'Calc (scoring engine)'!$K$5:$K$515,0))),""))</f>
        <v/>
      </c>
      <c r="I22" s="18">
        <f>IF(OR(2&gt;MAX(3,MIN(15,N($D$18))),IFERROR(LARGE('Calc (scoring engine)'!$K$5:$K$515,2),-999999)&lt;=-900000),"",IFERROR(IF(INDEX(Database!$I$5:$I$515,MATCH(LARGE('Calc (scoring engine)'!$K$5:$K$515,2),'Calc (scoring engine)'!$K$5:$K$515,0))="","—",INDEX(Database!$I$5:$I$515,MATCH(LARGE('Calc (scoring engine)'!$K$5:$K$515,2),'Calc (scoring engine)'!$K$5:$K$515,0))),""))</f>
        <v/>
      </c>
      <c r="J22" s="40">
        <f>IF(OR(2&gt;MAX(3,MIN(15,N($D$18))),IFERROR(LARGE('Calc (scoring engine)'!$K$5:$K$515,2),-999999)&lt;=-900000),"",IFERROR(IF(INDEX(Database!$K$5:$K$515,MATCH(LARGE('Calc (scoring engine)'!$K$5:$K$515,2),'Calc (scoring engine)'!$K$5:$K$515,0))="","—",INDEX(Database!$K$5:$K$515,MATCH(LARGE('Calc (scoring engine)'!$K$5:$K$515,2),'Calc (scoring engine)'!$K$5:$K$515,0))),""))</f>
        <v/>
      </c>
      <c r="K22" s="40">
        <f>IF(OR(2&gt;MAX(3,MIN(15,N($D$18))),IFERROR(LARGE('Calc (scoring engine)'!$K$5:$K$515,2),-999999)&lt;=-900000),"",IFERROR(IF(INDEX(Database!$L$5:$L$515,MATCH(LARGE('Calc (scoring engine)'!$K$5:$K$515,2),'Calc (scoring engine)'!$K$5:$K$515,0))="","—",INDEX(Database!$L$5:$L$515,MATCH(LARGE('Calc (scoring engine)'!$K$5:$K$515,2),'Calc (scoring engine)'!$K$5:$K$515,0))),""))</f>
        <v/>
      </c>
      <c r="L22" s="40">
        <f>IF(OR(2&gt;MAX(3,MIN(15,N($D$18))),IFERROR(LARGE('Calc (scoring engine)'!$K$5:$K$515,2),-999999)&lt;=-900000),"",IFERROR(IF(INDEX(Database!$M$5:$M$515,MATCH(LARGE('Calc (scoring engine)'!$K$5:$K$515,2),'Calc (scoring engine)'!$K$5:$K$515,0))="","—",INDEX(Database!$M$5:$M$515,MATCH(LARGE('Calc (scoring engine)'!$K$5:$K$515,2),'Calc (scoring engine)'!$K$5:$K$515,0))),""))</f>
        <v/>
      </c>
      <c r="M22" s="10">
        <f>IF(OR(2&gt;MAX(3,MIN(15,N($D$18))),IFERROR(LARGE('Calc (scoring engine)'!$K$5:$K$515,2),-999999)&lt;=-900000),"",IFERROR(IF(INDEX(Database!$N$5:$N$515,MATCH(LARGE('Calc (scoring engine)'!$K$5:$K$515,2),'Calc (scoring engine)'!$K$5:$K$515,0))="","—",INDEX(Database!$N$5:$N$515,MATCH(LARGE('Calc (scoring engine)'!$K$5:$K$515,2),'Calc (scoring engine)'!$K$5:$K$515,0))),""))</f>
        <v/>
      </c>
      <c r="N22" s="28">
        <f>IF(OR(2&gt;MAX(3,MIN(15,N($D$18))),IFERROR(LARGE('Calc (scoring engine)'!$K$5:$K$515,2),-999999)&lt;=-900000),"",IFERROR(IF(INDEX(Database!$O$5:$O$515,MATCH(LARGE('Calc (scoring engine)'!$K$5:$K$515,2),'Calc (scoring engine)'!$K$5:$K$515,0))="","—",INDEX(Database!$O$5:$O$515,MATCH(LARGE('Calc (scoring engine)'!$K$5:$K$515,2),'Calc (scoring engine)'!$K$5:$K$515,0))),""))</f>
        <v/>
      </c>
      <c r="O22" s="28">
        <f>IF(OR(2&gt;MAX(3,MIN(15,N($D$18))),IFERROR(LARGE('Calc (scoring engine)'!$K$5:$K$515,2),-999999)&lt;=-900000),"",IFERROR(IF(INDEX(Database!$P$5:$P$515,MATCH(LARGE('Calc (scoring engine)'!$K$5:$K$515,2),'Calc (scoring engine)'!$K$5:$K$515,0))="","—",INDEX(Database!$P$5:$P$515,MATCH(LARGE('Calc (scoring engine)'!$K$5:$K$515,2),'Calc (scoring engine)'!$K$5:$K$515,0))),""))</f>
        <v/>
      </c>
      <c r="P22" s="18">
        <f>IF(OR(2&gt;MAX(3,MIN(15,N($D$18))),IFERROR(LARGE('Calc (scoring engine)'!$K$5:$K$515,2),-999999)&lt;=-900000),"",IFERROR(IF(INDEX(Database!$Q$5:$Q$515,MATCH(LARGE('Calc (scoring engine)'!$K$5:$K$515,2),'Calc (scoring engine)'!$K$5:$K$515,0))="","—",INDEX(Database!$Q$5:$Q$515,MATCH(LARGE('Calc (scoring engine)'!$K$5:$K$515,2),'Calc (scoring engine)'!$K$5:$K$515,0))),""))</f>
        <v/>
      </c>
      <c r="Q22" s="26">
        <f>IF(OR(2&gt;MAX(3,MIN(15,N($D$18))),IFERROR(LARGE('Calc (scoring engine)'!$K$5:$K$515,2),-999999)&lt;=-900000),"",IFERROR(IF(INDEX(Database!$S$5:$S$515,MATCH(LARGE('Calc (scoring engine)'!$K$5:$K$515,2),'Calc (scoring engine)'!$K$5:$K$515,0))="","—",INDEX(Database!$S$5:$S$515,MATCH(LARGE('Calc (scoring engine)'!$K$5:$K$515,2),'Calc (scoring engine)'!$K$5:$K$515,0))),""))</f>
        <v/>
      </c>
      <c r="R22" s="41">
        <f>IF(OR(2&gt;MAX(3,MIN(15,N($D$18))),IFERROR(LARGE('Calc (scoring engine)'!$K$5:$K$515,2),-999999)&lt;=-900000),"",IFERROR(IF(INDEX(Database!$T$5:$T$515,MATCH(LARGE('Calc (scoring engine)'!$K$5:$K$515,2),'Calc (scoring engine)'!$K$5:$K$515,0))="","—",INDEX(Database!$T$5:$T$515,MATCH(LARGE('Calc (scoring engine)'!$K$5:$K$515,2),'Calc (scoring engine)'!$K$5:$K$515,0))),""))</f>
        <v/>
      </c>
      <c r="S22" s="42">
        <f>IF(OR(2&gt;MAX(3,MIN(15,N($D$18))),IFERROR(LARGE('Calc (scoring engine)'!$K$5:$K$515,2),-999999)&lt;=-900000),"",IFERROR(IF(INDEX(Database!$U$5:$U$515,MATCH(LARGE('Calc (scoring engine)'!$K$5:$K$515,2),'Calc (scoring engine)'!$K$5:$K$515,0))="","—",INDEX(Database!$U$5:$U$515,MATCH(LARGE('Calc (scoring engine)'!$K$5:$K$515,2),'Calc (scoring engine)'!$K$5:$K$515,0))),""))</f>
        <v/>
      </c>
      <c r="T22" s="28">
        <f>IF(OR(2&gt;MAX(3,MIN(15,N($D$18))),IFERROR(LARGE('Calc (scoring engine)'!$K$5:$K$515,2),-999999)&lt;=-900000),"",IFERROR(IF(INDEX(Database!$V$5:$V$515,MATCH(LARGE('Calc (scoring engine)'!$K$5:$K$515,2),'Calc (scoring engine)'!$K$5:$K$515,0))="","—",INDEX(Database!$V$5:$V$515,MATCH(LARGE('Calc (scoring engine)'!$K$5:$K$515,2),'Calc (scoring engine)'!$K$5:$K$515,0))),""))</f>
        <v/>
      </c>
      <c r="U22" s="10">
        <f>IF(OR(2&gt;MAX(3,MIN(15,N($D$18))),IFERROR(LARGE('Calc (scoring engine)'!$K$5:$K$515,2),-999999)&lt;=-900000),"",IFERROR(IF(INDEX(Database!$W$5:$W$515,MATCH(LARGE('Calc (scoring engine)'!$K$5:$K$515,2),'Calc (scoring engine)'!$K$5:$K$515,0))="","—",INDEX(Database!$W$5:$W$515,MATCH(LARGE('Calc (scoring engine)'!$K$5:$K$515,2),'Calc (scoring engine)'!$K$5:$K$515,0))),""))</f>
        <v/>
      </c>
      <c r="V22" s="28">
        <f>IF(OR(2&gt;MAX(3,MIN(15,N($D$18))),IFERROR(LARGE('Calc (scoring engine)'!$K$5:$K$515,2),-999999)&lt;=-900000),"",IFERROR(IF(INDEX(Database!$Y$5:$Y$515,MATCH(LARGE('Calc (scoring engine)'!$K$5:$K$515,2),'Calc (scoring engine)'!$K$5:$K$515,0))="","—",INDEX(Database!$Y$5:$Y$515,MATCH(LARGE('Calc (scoring engine)'!$K$5:$K$515,2),'Calc (scoring engine)'!$K$5:$K$515,0))),""))</f>
        <v/>
      </c>
      <c r="W22" s="10">
        <f>IF(OR(2&gt;MAX(3,MIN(15,N($D$18))),IFERROR(LARGE('Calc (scoring engine)'!$K$5:$K$515,2),-999999)&lt;=-900000),"",IFERROR(IF(INDEX(Database!$Z$5:$Z$515,MATCH(LARGE('Calc (scoring engine)'!$K$5:$K$515,2),'Calc (scoring engine)'!$K$5:$K$515,0))="","—",INDEX(Database!$Z$5:$Z$515,MATCH(LARGE('Calc (scoring engine)'!$K$5:$K$515,2),'Calc (scoring engine)'!$K$5:$K$515,0))),""))</f>
        <v/>
      </c>
      <c r="X22" s="23">
        <f>IF(OR(2&gt;MAX(3,MIN(15,N($D$18))),IFERROR(LARGE('Calc (scoring engine)'!$K$5:$K$515,2),-999999)&lt;=-900000),"",IFERROR(IF(INDEX(Database!$AA$5:$AA$515,MATCH(LARGE('Calc (scoring engine)'!$K$5:$K$515,2),'Calc (scoring engine)'!$K$5:$K$515,0))="","—",INDEX(Database!$AA$5:$AA$515,MATCH(LARGE('Calc (scoring engine)'!$K$5:$K$515,2),'Calc (scoring engine)'!$K$5:$K$515,0))),""))</f>
        <v/>
      </c>
      <c r="Y22" s="23">
        <f>IF(OR(2&gt;MAX(3,MIN(15,N($D$18))),IFERROR(LARGE('Calc (scoring engine)'!$K$5:$K$515,2),-999999)&lt;=-900000),"",IFERROR(IF(INDEX(Database!$AB$5:$AB$515,MATCH(LARGE('Calc (scoring engine)'!$K$5:$K$515,2),'Calc (scoring engine)'!$K$5:$K$515,0))="","—",INDEX(Database!$AB$5:$AB$515,MATCH(LARGE('Calc (scoring engine)'!$K$5:$K$515,2),'Calc (scoring engine)'!$K$5:$K$515,0))),""))</f>
        <v/>
      </c>
      <c r="Z22" s="23">
        <f>IF(OR(2&gt;MAX(3,MIN(15,N($D$18))),IFERROR(LARGE('Calc (scoring engine)'!$K$5:$K$515,2),-999999)&lt;=-900000),"",IFERROR(IF(INDEX(Database!$AC$5:$AC$515,MATCH(LARGE('Calc (scoring engine)'!$K$5:$K$515,2),'Calc (scoring engine)'!$K$5:$K$515,0))="","—",INDEX(Database!$AC$5:$AC$515,MATCH(LARGE('Calc (scoring engine)'!$K$5:$K$515,2),'Calc (scoring engine)'!$K$5:$K$515,0))),""))</f>
        <v/>
      </c>
      <c r="AA22" s="23">
        <f>IF(OR(2&gt;MAX(3,MIN(15,N($D$18))),IFERROR(LARGE('Calc (scoring engine)'!$K$5:$K$515,2),-999999)&lt;=-900000),"",IFERROR(IF(INDEX(Database!$AD$5:$AD$515,MATCH(LARGE('Calc (scoring engine)'!$K$5:$K$515,2),'Calc (scoring engine)'!$K$5:$K$515,0))="","—",INDEX(Database!$AD$5:$AD$515,MATCH(LARGE('Calc (scoring engine)'!$K$5:$K$515,2),'Calc (scoring engine)'!$K$5:$K$515,0))),""))</f>
        <v/>
      </c>
      <c r="AB22" s="23">
        <f>IF(OR(2&gt;MAX(3,MIN(15,N($D$18))),IFERROR(LARGE('Calc (scoring engine)'!$K$5:$K$515,2),-999999)&lt;=-900000),"",IFERROR(IF(INDEX(Database!$AE$5:$AE$515,MATCH(LARGE('Calc (scoring engine)'!$K$5:$K$515,2),'Calc (scoring engine)'!$K$5:$K$515,0))="","—",INDEX(Database!$AE$5:$AE$515,MATCH(LARGE('Calc (scoring engine)'!$K$5:$K$515,2),'Calc (scoring engine)'!$K$5:$K$515,0))),""))</f>
        <v/>
      </c>
      <c r="AC22" s="23">
        <f>IF(OR(2&gt;MAX(3,MIN(15,N($D$18))),IFERROR(LARGE('Calc (scoring engine)'!$K$5:$K$515,2),-999999)&lt;=-900000),"",IFERROR(IF(INDEX(Database!$AF$5:$AF$515,MATCH(LARGE('Calc (scoring engine)'!$K$5:$K$515,2),'Calc (scoring engine)'!$K$5:$K$515,0))="","—",INDEX(Database!$AF$5:$AF$515,MATCH(LARGE('Calc (scoring engine)'!$K$5:$K$515,2),'Calc (scoring engine)'!$K$5:$K$515,0))),""))</f>
        <v/>
      </c>
      <c r="AD22" s="23">
        <f>IF(OR(2&gt;MAX(3,MIN(15,N($D$18))),IFERROR(LARGE('Calc (scoring engine)'!$K$5:$K$515,2),-999999)&lt;=-900000),"",IFERROR(IF(INDEX(Database!$AG$5:$AG$515,MATCH(LARGE('Calc (scoring engine)'!$K$5:$K$515,2),'Calc (scoring engine)'!$K$5:$K$515,0))="","—",INDEX(Database!$AG$5:$AG$515,MATCH(LARGE('Calc (scoring engine)'!$K$5:$K$515,2),'Calc (scoring engine)'!$K$5:$K$515,0))),""))</f>
        <v/>
      </c>
      <c r="AE22" s="23">
        <f>IF(OR(2&gt;MAX(3,MIN(15,N($D$18))),IFERROR(LARGE('Calc (scoring engine)'!$K$5:$K$515,2),-999999)&lt;=-900000),"",IFERROR(IF(INDEX(Database!$AH$5:$AH$515,MATCH(LARGE('Calc (scoring engine)'!$K$5:$K$515,2),'Calc (scoring engine)'!$K$5:$K$515,0))="","—",INDEX(Database!$AH$5:$AH$515,MATCH(LARGE('Calc (scoring engine)'!$K$5:$K$515,2),'Calc (scoring engine)'!$K$5:$K$515,0))),""))</f>
        <v/>
      </c>
      <c r="AF22" s="23">
        <f>IF(OR(2&gt;MAX(3,MIN(15,N($D$18))),IFERROR(LARGE('Calc (scoring engine)'!$K$5:$K$515,2),-999999)&lt;=-900000),"",IFERROR(IF(INDEX(Database!$AI$5:$AI$515,MATCH(LARGE('Calc (scoring engine)'!$K$5:$K$515,2),'Calc (scoring engine)'!$K$5:$K$515,0))="","—",INDEX(Database!$AI$5:$AI$515,MATCH(LARGE('Calc (scoring engine)'!$K$5:$K$515,2),'Calc (scoring engine)'!$K$5:$K$515,0))),""))</f>
        <v/>
      </c>
      <c r="AG22" s="23">
        <f>IF(OR(2&gt;MAX(3,MIN(15,N($D$18))),IFERROR(LARGE('Calc (scoring engine)'!$K$5:$K$515,2),-999999)&lt;=-900000),"",IFERROR(IF(INDEX(Database!$AJ$5:$AJ$515,MATCH(LARGE('Calc (scoring engine)'!$K$5:$K$515,2),'Calc (scoring engine)'!$K$5:$K$515,0))="","—",INDEX(Database!$AJ$5:$AJ$515,MATCH(LARGE('Calc (scoring engine)'!$K$5:$K$515,2),'Calc (scoring engine)'!$K$5:$K$515,0))),""))</f>
        <v/>
      </c>
      <c r="AH22" s="23">
        <f>IF(OR(2&gt;MAX(3,MIN(15,N($D$18))),IFERROR(LARGE('Calc (scoring engine)'!$K$5:$K$515,2),-999999)&lt;=-900000),"",IFERROR(IF(INDEX(Database!$AK$5:$AK$515,MATCH(LARGE('Calc (scoring engine)'!$K$5:$K$515,2),'Calc (scoring engine)'!$K$5:$K$515,0))="","—",INDEX(Database!$AK$5:$AK$515,MATCH(LARGE('Calc (scoring engine)'!$K$5:$K$515,2),'Calc (scoring engine)'!$K$5:$K$515,0))),""))</f>
        <v/>
      </c>
      <c r="AI22" s="23">
        <f>IF(OR(2&gt;MAX(3,MIN(15,N($D$18))),IFERROR(LARGE('Calc (scoring engine)'!$K$5:$K$515,2),-999999)&lt;=-900000),"",IFERROR(IF(INDEX(Database!$AL$5:$AL$515,MATCH(LARGE('Calc (scoring engine)'!$K$5:$K$515,2),'Calc (scoring engine)'!$K$5:$K$515,0))="","—",INDEX(Database!$AL$5:$AL$515,MATCH(LARGE('Calc (scoring engine)'!$K$5:$K$515,2),'Calc (scoring engine)'!$K$5:$K$515,0))),""))</f>
        <v/>
      </c>
      <c r="AJ22" s="23">
        <f>IF(OR(2&gt;MAX(3,MIN(15,N($D$18))),IFERROR(LARGE('Calc (scoring engine)'!$K$5:$K$515,2),-999999)&lt;=-900000),"",IFERROR(IF(INDEX(Database!$AM$5:$AM$515,MATCH(LARGE('Calc (scoring engine)'!$K$5:$K$515,2),'Calc (scoring engine)'!$K$5:$K$515,0))="","—",INDEX(Database!$AM$5:$AM$515,MATCH(LARGE('Calc (scoring engine)'!$K$5:$K$515,2),'Calc (scoring engine)'!$K$5:$K$515,0))),""))</f>
        <v/>
      </c>
      <c r="AK22" s="23">
        <f>IF(OR(2&gt;MAX(3,MIN(15,N($D$18))),IFERROR(LARGE('Calc (scoring engine)'!$K$5:$K$515,2),-999999)&lt;=-900000),"",IFERROR(IF(INDEX(Database!$AN$5:$AN$515,MATCH(LARGE('Calc (scoring engine)'!$K$5:$K$515,2),'Calc (scoring engine)'!$K$5:$K$515,0))="","—",INDEX(Database!$AN$5:$AN$515,MATCH(LARGE('Calc (scoring engine)'!$K$5:$K$515,2),'Calc (scoring engine)'!$K$5:$K$515,0))),""))</f>
        <v/>
      </c>
      <c r="AL22" s="23">
        <f>IF(OR(2&gt;MAX(3,MIN(15,N($D$18))),IFERROR(LARGE('Calc (scoring engine)'!$K$5:$K$515,2),-999999)&lt;=-900000),"",IFERROR(IF(INDEX(Database!$AO$5:$AO$515,MATCH(LARGE('Calc (scoring engine)'!$K$5:$K$515,2),'Calc (scoring engine)'!$K$5:$K$515,0))="","—",INDEX(Database!$AO$5:$AO$515,MATCH(LARGE('Calc (scoring engine)'!$K$5:$K$515,2),'Calc (scoring engine)'!$K$5:$K$515,0))),""))</f>
        <v/>
      </c>
      <c r="AM22" s="23">
        <f>IF(OR(2&gt;MAX(3,MIN(15,N($D$18))),IFERROR(LARGE('Calc (scoring engine)'!$K$5:$K$515,2),-999999)&lt;=-900000),"",IFERROR(IF(INDEX(Database!$AQ$5:$AQ$515,MATCH(LARGE('Calc (scoring engine)'!$K$5:$K$515,2),'Calc (scoring engine)'!$K$5:$K$515,0))="","—",INDEX(Database!$AQ$5:$AQ$515,MATCH(LARGE('Calc (scoring engine)'!$K$5:$K$515,2),'Calc (scoring engine)'!$K$5:$K$515,0))),""))</f>
        <v/>
      </c>
      <c r="AN22" s="18">
        <f>IF(OR(2&gt;MAX(3,MIN(15,N($D$18))),IFERROR(LARGE('Calc (scoring engine)'!$K$5:$K$515,2),-999999)&lt;=-900000),"",IFERROR(IF(INDEX(Database!$AS$5:$AS$515,MATCH(LARGE('Calc (scoring engine)'!$K$5:$K$515,2),'Calc (scoring engine)'!$K$5:$K$515,0))="","—",INDEX(Database!$AS$5:$AS$515,MATCH(LARGE('Calc (scoring engine)'!$K$5:$K$515,2),'Calc (scoring engine)'!$K$5:$K$515,0))),""))</f>
        <v/>
      </c>
      <c r="AO22" s="18">
        <f>IF(OR(2&gt;MAX(3,MIN(15,N($D$18))),IFERROR(LARGE('Calc (scoring engine)'!$K$5:$K$515,2),-999999)&lt;=-900000),"",IFERROR(IF(INDEX(Database!$AT$5:$AT$515,MATCH(LARGE('Calc (scoring engine)'!$K$5:$K$515,2),'Calc (scoring engine)'!$K$5:$K$515,0))="","—",INDEX(Database!$AT$5:$AT$515,MATCH(LARGE('Calc (scoring engine)'!$K$5:$K$515,2),'Calc (scoring engine)'!$K$5:$K$515,0))),""))</f>
        <v/>
      </c>
      <c r="AP22" s="10">
        <f>IF(OR(2&gt;MAX(3,MIN(15,N($D$18))),IFERROR(LARGE('Calc (scoring engine)'!$K$5:$K$515,2),-999999)&lt;=-900000),"",IFERROR(IF(INDEX(Database!$AU$5:$AU$515,MATCH(LARGE('Calc (scoring engine)'!$K$5:$K$515,2),'Calc (scoring engine)'!$K$5:$K$515,0))="","—",INDEX(Database!$AU$5:$AU$515,MATCH(LARGE('Calc (scoring engine)'!$K$5:$K$515,2),'Calc (scoring engine)'!$K$5:$K$515,0))),""))</f>
        <v/>
      </c>
      <c r="AQ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R22" s="24">
        <f>IF(OR(2&gt;MAX(3,MIN(15,N($D$18))),IFERROR(LARGE('Calc (scoring engine)'!$K$5:$K$515,2),-999999)&lt;=-900000),"",IFERROR(IF(INDEX(Database!$AW$5:$AW$515,MATCH(LARGE('Calc (scoring engine)'!$K$5:$K$515,2),'Calc (scoring engine)'!$K$5:$K$515,0))="","—",INDEX(Database!$AW$5:$AW$515,MATCH(LARGE('Calc (scoring engine)'!$K$5:$K$515,2),'Calc (scoring engine)'!$K$5:$K$515,0))),""))</f>
        <v/>
      </c>
      <c r="AS22" s="24">
        <f>IF(OR(2&gt;MAX(3,MIN(15,N($D$18))),IFERROR(LARGE('Calc (scoring engine)'!$K$5:$K$515,2),-999999)&lt;=-900000),"",IFERROR(IF(INDEX(Database!$AX$5:$AX$515,MATCH(LARGE('Calc (scoring engine)'!$K$5:$K$515,2),'Calc (scoring engine)'!$K$5:$K$515,0))="","—",INDEX(Database!$AX$5:$AX$515,MATCH(LARGE('Calc (scoring engine)'!$K$5:$K$515,2),'Calc (scoring engine)'!$K$5:$K$515,0))),""))</f>
        <v/>
      </c>
      <c r="AT22" s="24">
        <f>IF(OR(2&gt;MAX(3,MIN(15,N($D$18))),IFERROR(LARGE('Calc (scoring engine)'!$K$5:$K$515,2),-999999)&lt;=-900000),"",IFERROR(IF(INDEX(Database!$AY$5:$AY$515,MATCH(LARGE('Calc (scoring engine)'!$K$5:$K$515,2),'Calc (scoring engine)'!$K$5:$K$515,0))="","—",INDEX(Database!$AY$5:$AY$515,MATCH(LARGE('Calc (scoring engine)'!$K$5:$K$515,2),'Calc (scoring engine)'!$K$5:$K$515,0))),""))</f>
        <v/>
      </c>
      <c r="AU22" s="10">
        <f>IF(OR(2&gt;MAX(3,MIN(15,N($D$18))),IFERROR(LARGE('Calc (scoring engine)'!$K$5:$K$515,2),-999999)&lt;=-900000),"",IFERROR(IF(INDEX(Database!$AZ$5:$AZ$515,MATCH(LARGE('Calc (scoring engine)'!$K$5:$K$515,2),'Calc (scoring engine)'!$K$5:$K$515,0))="","—",INDEX(Database!$AZ$5:$AZ$515,MATCH(LARGE('Calc (scoring engine)'!$K$5:$K$515,2),'Calc (scoring engine)'!$K$5:$K$515,0))),""))</f>
        <v/>
      </c>
      <c r="AV22" s="10">
        <f>IF(OR(2&gt;MAX(3,MIN(15,N($D$18))),IFERROR(LARGE('Calc (scoring engine)'!$K$5:$K$515,2),-999999)&lt;=-900000),"",IFERROR(IF(INDEX(Database!$BA$5:$BA$515,MATCH(LARGE('Calc (scoring engine)'!$K$5:$K$515,2),'Calc (scoring engine)'!$K$5:$K$515,0))="","—",INDEX(Database!$BA$5:$BA$515,MATCH(LARGE('Calc (scoring engine)'!$K$5:$K$515,2),'Calc (scoring engine)'!$K$5:$K$515,0))),""))</f>
        <v/>
      </c>
      <c r="AW22" s="23">
        <f>IF(OR(2&gt;MAX(3,MIN(15,N($D$18))),IFERROR(LARGE('Calc (scoring engine)'!$K$5:$K$515,2),-999999)&lt;=-900000),"",IFERROR(IF(INDEX(Database!$BB$5:$BB$515,MATCH(LARGE('Calc (scoring engine)'!$K$5:$K$515,2),'Calc (scoring engine)'!$K$5:$K$515,0))="","—",INDEX(Database!$BB$5:$BB$515,MATCH(LARGE('Calc (scoring engine)'!$K$5:$K$515,2),'Calc (scoring engine)'!$K$5:$K$515,0))),""))</f>
        <v/>
      </c>
      <c r="AX22" s="40">
        <f>IF(OR(2&gt;MAX(3,MIN(15,N($D$18))),IFERROR(LARGE('Calc (scoring engine)'!$K$5:$K$515,2),-999999)&lt;=-900000),"",IFERROR(IF(INDEX(Database!$BC$5:$BC$515,MATCH(LARGE('Calc (scoring engine)'!$K$5:$K$515,2),'Calc (scoring engine)'!$K$5:$K$515,0))="","—",INDEX(Database!$BC$5:$BC$515,MATCH(LARGE('Calc (scoring engine)'!$K$5:$K$515,2),'Calc (scoring engine)'!$K$5:$K$515,0))),""))</f>
        <v/>
      </c>
      <c r="AY22" s="43">
        <f>IF(OR(2&gt;MAX(3,MIN(15,N($D$18))),IFERROR(LARGE('Calc (scoring engine)'!$K$5:$K$515,2),-999999)&lt;=-900000),"",IFERROR(IF(INDEX(Database!$BD$5:$BD$515,MATCH(LARGE('Calc (scoring engine)'!$K$5:$K$515,2),'Calc (scoring engine)'!$K$5:$K$515,0))="","—",INDEX(Database!$BD$5:$BD$515,MATCH(LARGE('Calc (scoring engine)'!$K$5:$K$515,2),'Calc (scoring engine)'!$K$5:$K$515,0))),""))</f>
        <v/>
      </c>
      <c r="AZ22" s="24">
        <f>IF(OR(2&gt;MAX(3,MIN(15,N($D$18))),IFERROR(LARGE('Calc (scoring engine)'!$K$5:$K$515,2),-999999)&lt;=-900000),"",IFERROR(IF(INDEX(Database!$BE$5:$BE$515,MATCH(LARGE('Calc (scoring engine)'!$K$5:$K$515,2),'Calc (scoring engine)'!$K$5:$K$515,0))="","—",INDEX(Database!$BE$5:$BE$515,MATCH(LARGE('Calc (scoring engine)'!$K$5:$K$515,2),'Calc (scoring engine)'!$K$5:$K$515,0))),""))</f>
        <v/>
      </c>
      <c r="BA22" s="24">
        <f>IF(OR(2&gt;MAX(3,MIN(15,N($D$18))),IFERROR(LARGE('Calc (scoring engine)'!$K$5:$K$515,2),-999999)&lt;=-900000),"",IFERROR(IF(INDEX(Database!$BF$5:$BF$515,MATCH(LARGE('Calc (scoring engine)'!$K$5:$K$515,2),'Calc (scoring engine)'!$K$5:$K$515,0))="","—",INDEX(Database!$BF$5:$BF$515,MATCH(LARGE('Calc (scoring engine)'!$K$5:$K$515,2),'Calc (scoring engine)'!$K$5:$K$515,0))),""))</f>
        <v/>
      </c>
      <c r="BB22" s="10">
        <f>IF(OR(2&gt;MAX(3,MIN(15,N($D$18))),IFERROR(LARGE('Calc (scoring engine)'!$K$5:$K$515,2),-999999)&lt;=-900000),"",IFERROR(IF(INDEX(Database!$BG$5:$BG$515,MATCH(LARGE('Calc (scoring engine)'!$K$5:$K$515,2),'Calc (scoring engine)'!$K$5:$K$515,0))="","—",INDEX(Database!$BG$5:$BG$515,MATCH(LARGE('Calc (scoring engine)'!$K$5:$K$515,2),'Calc (scoring engine)'!$K$5:$K$515,0))),""))</f>
        <v/>
      </c>
      <c r="BC22" s="10">
        <f>IF(OR(2&gt;MAX(3,MIN(15,N($D$18))),IFERROR(LARGE('Calc (scoring engine)'!$K$5:$K$515,2),-999999)&lt;=-900000),"",IFERROR(IF(INDEX(Database!$BI$5:$BI$515,MATCH(LARGE('Calc (scoring engine)'!$K$5:$K$515,2),'Calc (scoring engine)'!$K$5:$K$515,0))="","—",INDEX(Database!$BI$5:$BI$515,MATCH(LARGE('Calc (scoring engine)'!$K$5:$K$515,2),'Calc (scoring engine)'!$K$5:$K$515,0))),""))</f>
        <v/>
      </c>
      <c r="BD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E22" s="24">
        <f>IF(OR(2&gt;MAX(3,MIN(15,N($D$18))),IFERROR(LARGE('Calc (scoring engine)'!$K$5:$K$515,2),-999999)&lt;=-900000),"",IFERROR(IFERROR(BDP(TEXT(INDEX(Database!$A$5:$A$515,MATCH(LARGE('Calc (scoring engine)'!$K$5:$K$515,2),'Calc (scoring engine)'!$K$5:$K$515,0)),"0")&amp;" HK Equity","PX_TO_SALES_RATIO"),IF(INDEX(Database!$AY$5:$AY$515,MATCH(LARGE('Calc (scoring engine)'!$K$5:$K$515,2),'Calc (scoring engine)'!$K$5:$K$515,0))="","—",INDEX(Database!$AY$5:$AY$515,MATCH(LARGE('Calc (scoring engine)'!$K$5:$K$515,2),'Calc (scoring engine)'!$K$5:$K$515,0)))),""))</f>
        <v/>
      </c>
      <c r="BF22" s="44">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G22" s="10">
        <f>IF(OR(2&gt;MAX(3,MIN(15,N($D$18))),IFERROR(LARGE('Calc (scoring engine)'!$K$5:$K$515,2),-999999)&lt;=-900000),"",IF(IFERROR(INDEX('Calc (scoring engine)'!$B$5:$B$515,MATCH(LARGE('Calc (scoring engine)'!$K$5:$K$515,2),'Calc (scoring engine)'!$K$5:$K$515,0)),0)=1,"same subsector","sector only"))</f>
        <v/>
      </c>
      <c r="BH22" s="44">
        <f>IF(OR(2&gt;MAX(3,MIN(15,N($D$18))),IFERROR(LARGE('Calc (scoring engine)'!$K$5:$K$515,2),-999999)&lt;=-900000),"",ROUND(IFERROR(LARGE('Calc (scoring engine)'!$K$5:$K$515,2),0),0))</f>
        <v/>
      </c>
      <c r="BI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39">
        <f>IF(OR(3&gt;MAX(3,MIN(15,N($D$18))),IFERROR(LARGE('Calc (scoring engine)'!$K$5:$K$515,3),-999999)&lt;=-900000),"",IFERROR(IF(INDEX(Database!$A$5:$A$515,MATCH(LARGE('Calc (scoring engine)'!$K$5:$K$515,3),'Calc (scoring engine)'!$K$5:$K$515,0))="","—",INDEX(Database!$A$5:$A$515,MATCH(LARGE('Calc (scoring engine)'!$K$5:$K$515,3),'Calc (scoring engine)'!$K$5:$K$515,0))),""))</f>
        <v/>
      </c>
      <c r="D23" s="10">
        <f>IF(OR(3&gt;MAX(3,MIN(15,N($D$18))),IFERROR(LARGE('Calc (scoring engine)'!$K$5:$K$515,3),-999999)&lt;=-900000),"",IFERROR(IF(INDEX(Database!$D$5:$D$515,MATCH(LARGE('Calc (scoring engine)'!$K$5:$K$515,3),'Calc (scoring engine)'!$K$5:$K$515,0))="","—",INDEX(Database!$D$5:$D$515,MATCH(LARGE('Calc (scoring engine)'!$K$5:$K$515,3),'Calc (scoring engine)'!$K$5:$K$515,0))),""))</f>
        <v/>
      </c>
      <c r="E23" s="10">
        <f>IF(OR(3&gt;MAX(3,MIN(15,N($D$18))),IFERROR(LARGE('Calc (scoring engine)'!$K$5:$K$515,3),-999999)&lt;=-900000),"",IFERROR(IF(INDEX(Database!$E$5:$E$515,MATCH(LARGE('Calc (scoring engine)'!$K$5:$K$515,3),'Calc (scoring engine)'!$K$5:$K$515,0))="","—",INDEX(Database!$E$5:$E$515,MATCH(LARGE('Calc (scoring engine)'!$K$5:$K$515,3),'Calc (scoring engine)'!$K$5:$K$515,0))),""))</f>
        <v/>
      </c>
      <c r="F23" s="10">
        <f>IF(OR(3&gt;MAX(3,MIN(15,N($D$18))),IFERROR(LARGE('Calc (scoring engine)'!$K$5:$K$515,3),-999999)&lt;=-900000),"",IFERROR(IF(INDEX(Database!$F$5:$F$515,MATCH(LARGE('Calc (scoring engine)'!$K$5:$K$515,3),'Calc (scoring engine)'!$K$5:$K$515,0))="","—",INDEX(Database!$F$5:$F$515,MATCH(LARGE('Calc (scoring engine)'!$K$5:$K$515,3),'Calc (scoring engine)'!$K$5:$K$515,0))),""))</f>
        <v/>
      </c>
      <c r="G23" s="10">
        <f>IF(OR(3&gt;MAX(3,MIN(15,N($D$18))),IFERROR(LARGE('Calc (scoring engine)'!$K$5:$K$515,3),-999999)&lt;=-900000),"",IFERROR(IF(INDEX(Database!$G$5:$G$515,MATCH(LARGE('Calc (scoring engine)'!$K$5:$K$515,3),'Calc (scoring engine)'!$K$5:$K$515,0))="","—",INDEX(Database!$G$5:$G$515,MATCH(LARGE('Calc (scoring engine)'!$K$5:$K$515,3),'Calc (scoring engine)'!$K$5:$K$515,0))),""))</f>
        <v/>
      </c>
      <c r="H23" s="21">
        <f>IF(OR(3&gt;MAX(3,MIN(15,N($D$18))),IFERROR(LARGE('Calc (scoring engine)'!$K$5:$K$515,3),-999999)&lt;=-900000),"",IFERROR(IF(INDEX(Database!$H$5:$H$515,MATCH(LARGE('Calc (scoring engine)'!$K$5:$K$515,3),'Calc (scoring engine)'!$K$5:$K$515,0))="","—",INDEX(Database!$H$5:$H$515,MATCH(LARGE('Calc (scoring engine)'!$K$5:$K$515,3),'Calc (scoring engine)'!$K$5:$K$515,0))),""))</f>
        <v/>
      </c>
      <c r="I23" s="18">
        <f>IF(OR(3&gt;MAX(3,MIN(15,N($D$18))),IFERROR(LARGE('Calc (scoring engine)'!$K$5:$K$515,3),-999999)&lt;=-900000),"",IFERROR(IF(INDEX(Database!$I$5:$I$515,MATCH(LARGE('Calc (scoring engine)'!$K$5:$K$515,3),'Calc (scoring engine)'!$K$5:$K$515,0))="","—",INDEX(Database!$I$5:$I$515,MATCH(LARGE('Calc (scoring engine)'!$K$5:$K$515,3),'Calc (scoring engine)'!$K$5:$K$515,0))),""))</f>
        <v/>
      </c>
      <c r="J23" s="40">
        <f>IF(OR(3&gt;MAX(3,MIN(15,N($D$18))),IFERROR(LARGE('Calc (scoring engine)'!$K$5:$K$515,3),-999999)&lt;=-900000),"",IFERROR(IF(INDEX(Database!$K$5:$K$515,MATCH(LARGE('Calc (scoring engine)'!$K$5:$K$515,3),'Calc (scoring engine)'!$K$5:$K$515,0))="","—",INDEX(Database!$K$5:$K$515,MATCH(LARGE('Calc (scoring engine)'!$K$5:$K$515,3),'Calc (scoring engine)'!$K$5:$K$515,0))),""))</f>
        <v/>
      </c>
      <c r="K23" s="40">
        <f>IF(OR(3&gt;MAX(3,MIN(15,N($D$18))),IFERROR(LARGE('Calc (scoring engine)'!$K$5:$K$515,3),-999999)&lt;=-900000),"",IFERROR(IF(INDEX(Database!$L$5:$L$515,MATCH(LARGE('Calc (scoring engine)'!$K$5:$K$515,3),'Calc (scoring engine)'!$K$5:$K$515,0))="","—",INDEX(Database!$L$5:$L$515,MATCH(LARGE('Calc (scoring engine)'!$K$5:$K$515,3),'Calc (scoring engine)'!$K$5:$K$515,0))),""))</f>
        <v/>
      </c>
      <c r="L23" s="40">
        <f>IF(OR(3&gt;MAX(3,MIN(15,N($D$18))),IFERROR(LARGE('Calc (scoring engine)'!$K$5:$K$515,3),-999999)&lt;=-900000),"",IFERROR(IF(INDEX(Database!$M$5:$M$515,MATCH(LARGE('Calc (scoring engine)'!$K$5:$K$515,3),'Calc (scoring engine)'!$K$5:$K$515,0))="","—",INDEX(Database!$M$5:$M$515,MATCH(LARGE('Calc (scoring engine)'!$K$5:$K$515,3),'Calc (scoring engine)'!$K$5:$K$515,0))),""))</f>
        <v/>
      </c>
      <c r="M23" s="10">
        <f>IF(OR(3&gt;MAX(3,MIN(15,N($D$18))),IFERROR(LARGE('Calc (scoring engine)'!$K$5:$K$515,3),-999999)&lt;=-900000),"",IFERROR(IF(INDEX(Database!$N$5:$N$515,MATCH(LARGE('Calc (scoring engine)'!$K$5:$K$515,3),'Calc (scoring engine)'!$K$5:$K$515,0))="","—",INDEX(Database!$N$5:$N$515,MATCH(LARGE('Calc (scoring engine)'!$K$5:$K$515,3),'Calc (scoring engine)'!$K$5:$K$515,0))),""))</f>
        <v/>
      </c>
      <c r="N23" s="28">
        <f>IF(OR(3&gt;MAX(3,MIN(15,N($D$18))),IFERROR(LARGE('Calc (scoring engine)'!$K$5:$K$515,3),-999999)&lt;=-900000),"",IFERROR(IF(INDEX(Database!$O$5:$O$515,MATCH(LARGE('Calc (scoring engine)'!$K$5:$K$515,3),'Calc (scoring engine)'!$K$5:$K$515,0))="","—",INDEX(Database!$O$5:$O$515,MATCH(LARGE('Calc (scoring engine)'!$K$5:$K$515,3),'Calc (scoring engine)'!$K$5:$K$515,0))),""))</f>
        <v/>
      </c>
      <c r="O23" s="28">
        <f>IF(OR(3&gt;MAX(3,MIN(15,N($D$18))),IFERROR(LARGE('Calc (scoring engine)'!$K$5:$K$515,3),-999999)&lt;=-900000),"",IFERROR(IF(INDEX(Database!$P$5:$P$515,MATCH(LARGE('Calc (scoring engine)'!$K$5:$K$515,3),'Calc (scoring engine)'!$K$5:$K$515,0))="","—",INDEX(Database!$P$5:$P$515,MATCH(LARGE('Calc (scoring engine)'!$K$5:$K$515,3),'Calc (scoring engine)'!$K$5:$K$515,0))),""))</f>
        <v/>
      </c>
      <c r="P23" s="18">
        <f>IF(OR(3&gt;MAX(3,MIN(15,N($D$18))),IFERROR(LARGE('Calc (scoring engine)'!$K$5:$K$515,3),-999999)&lt;=-900000),"",IFERROR(IF(INDEX(Database!$Q$5:$Q$515,MATCH(LARGE('Calc (scoring engine)'!$K$5:$K$515,3),'Calc (scoring engine)'!$K$5:$K$515,0))="","—",INDEX(Database!$Q$5:$Q$515,MATCH(LARGE('Calc (scoring engine)'!$K$5:$K$515,3),'Calc (scoring engine)'!$K$5:$K$515,0))),""))</f>
        <v/>
      </c>
      <c r="Q23" s="26">
        <f>IF(OR(3&gt;MAX(3,MIN(15,N($D$18))),IFERROR(LARGE('Calc (scoring engine)'!$K$5:$K$515,3),-999999)&lt;=-900000),"",IFERROR(IF(INDEX(Database!$S$5:$S$515,MATCH(LARGE('Calc (scoring engine)'!$K$5:$K$515,3),'Calc (scoring engine)'!$K$5:$K$515,0))="","—",INDEX(Database!$S$5:$S$515,MATCH(LARGE('Calc (scoring engine)'!$K$5:$K$515,3),'Calc (scoring engine)'!$K$5:$K$515,0))),""))</f>
        <v/>
      </c>
      <c r="R23" s="41">
        <f>IF(OR(3&gt;MAX(3,MIN(15,N($D$18))),IFERROR(LARGE('Calc (scoring engine)'!$K$5:$K$515,3),-999999)&lt;=-900000),"",IFERROR(IF(INDEX(Database!$T$5:$T$515,MATCH(LARGE('Calc (scoring engine)'!$K$5:$K$515,3),'Calc (scoring engine)'!$K$5:$K$515,0))="","—",INDEX(Database!$T$5:$T$515,MATCH(LARGE('Calc (scoring engine)'!$K$5:$K$515,3),'Calc (scoring engine)'!$K$5:$K$515,0))),""))</f>
        <v/>
      </c>
      <c r="S23" s="42">
        <f>IF(OR(3&gt;MAX(3,MIN(15,N($D$18))),IFERROR(LARGE('Calc (scoring engine)'!$K$5:$K$515,3),-999999)&lt;=-900000),"",IFERROR(IF(INDEX(Database!$U$5:$U$515,MATCH(LARGE('Calc (scoring engine)'!$K$5:$K$515,3),'Calc (scoring engine)'!$K$5:$K$515,0))="","—",INDEX(Database!$U$5:$U$515,MATCH(LARGE('Calc (scoring engine)'!$K$5:$K$515,3),'Calc (scoring engine)'!$K$5:$K$515,0))),""))</f>
        <v/>
      </c>
      <c r="T23" s="28">
        <f>IF(OR(3&gt;MAX(3,MIN(15,N($D$18))),IFERROR(LARGE('Calc (scoring engine)'!$K$5:$K$515,3),-999999)&lt;=-900000),"",IFERROR(IF(INDEX(Database!$V$5:$V$515,MATCH(LARGE('Calc (scoring engine)'!$K$5:$K$515,3),'Calc (scoring engine)'!$K$5:$K$515,0))="","—",INDEX(Database!$V$5:$V$515,MATCH(LARGE('Calc (scoring engine)'!$K$5:$K$515,3),'Calc (scoring engine)'!$K$5:$K$515,0))),""))</f>
        <v/>
      </c>
      <c r="U23" s="10">
        <f>IF(OR(3&gt;MAX(3,MIN(15,N($D$18))),IFERROR(LARGE('Calc (scoring engine)'!$K$5:$K$515,3),-999999)&lt;=-900000),"",IFERROR(IF(INDEX(Database!$W$5:$W$515,MATCH(LARGE('Calc (scoring engine)'!$K$5:$K$515,3),'Calc (scoring engine)'!$K$5:$K$515,0))="","—",INDEX(Database!$W$5:$W$515,MATCH(LARGE('Calc (scoring engine)'!$K$5:$K$515,3),'Calc (scoring engine)'!$K$5:$K$515,0))),""))</f>
        <v/>
      </c>
      <c r="V23" s="28">
        <f>IF(OR(3&gt;MAX(3,MIN(15,N($D$18))),IFERROR(LARGE('Calc (scoring engine)'!$K$5:$K$515,3),-999999)&lt;=-900000),"",IFERROR(IF(INDEX(Database!$Y$5:$Y$515,MATCH(LARGE('Calc (scoring engine)'!$K$5:$K$515,3),'Calc (scoring engine)'!$K$5:$K$515,0))="","—",INDEX(Database!$Y$5:$Y$515,MATCH(LARGE('Calc (scoring engine)'!$K$5:$K$515,3),'Calc (scoring engine)'!$K$5:$K$515,0))),""))</f>
        <v/>
      </c>
      <c r="W23" s="10">
        <f>IF(OR(3&gt;MAX(3,MIN(15,N($D$18))),IFERROR(LARGE('Calc (scoring engine)'!$K$5:$K$515,3),-999999)&lt;=-900000),"",IFERROR(IF(INDEX(Database!$Z$5:$Z$515,MATCH(LARGE('Calc (scoring engine)'!$K$5:$K$515,3),'Calc (scoring engine)'!$K$5:$K$515,0))="","—",INDEX(Database!$Z$5:$Z$515,MATCH(LARGE('Calc (scoring engine)'!$K$5:$K$515,3),'Calc (scoring engine)'!$K$5:$K$515,0))),""))</f>
        <v/>
      </c>
      <c r="X23" s="23">
        <f>IF(OR(3&gt;MAX(3,MIN(15,N($D$18))),IFERROR(LARGE('Calc (scoring engine)'!$K$5:$K$515,3),-999999)&lt;=-900000),"",IFERROR(IF(INDEX(Database!$AA$5:$AA$515,MATCH(LARGE('Calc (scoring engine)'!$K$5:$K$515,3),'Calc (scoring engine)'!$K$5:$K$515,0))="","—",INDEX(Database!$AA$5:$AA$515,MATCH(LARGE('Calc (scoring engine)'!$K$5:$K$515,3),'Calc (scoring engine)'!$K$5:$K$515,0))),""))</f>
        <v/>
      </c>
      <c r="Y23" s="23">
        <f>IF(OR(3&gt;MAX(3,MIN(15,N($D$18))),IFERROR(LARGE('Calc (scoring engine)'!$K$5:$K$515,3),-999999)&lt;=-900000),"",IFERROR(IF(INDEX(Database!$AB$5:$AB$515,MATCH(LARGE('Calc (scoring engine)'!$K$5:$K$515,3),'Calc (scoring engine)'!$K$5:$K$515,0))="","—",INDEX(Database!$AB$5:$AB$515,MATCH(LARGE('Calc (scoring engine)'!$K$5:$K$515,3),'Calc (scoring engine)'!$K$5:$K$515,0))),""))</f>
        <v/>
      </c>
      <c r="Z23" s="23">
        <f>IF(OR(3&gt;MAX(3,MIN(15,N($D$18))),IFERROR(LARGE('Calc (scoring engine)'!$K$5:$K$515,3),-999999)&lt;=-900000),"",IFERROR(IF(INDEX(Database!$AC$5:$AC$515,MATCH(LARGE('Calc (scoring engine)'!$K$5:$K$515,3),'Calc (scoring engine)'!$K$5:$K$515,0))="","—",INDEX(Database!$AC$5:$AC$515,MATCH(LARGE('Calc (scoring engine)'!$K$5:$K$515,3),'Calc (scoring engine)'!$K$5:$K$515,0))),""))</f>
        <v/>
      </c>
      <c r="AA23" s="23">
        <f>IF(OR(3&gt;MAX(3,MIN(15,N($D$18))),IFERROR(LARGE('Calc (scoring engine)'!$K$5:$K$515,3),-999999)&lt;=-900000),"",IFERROR(IF(INDEX(Database!$AD$5:$AD$515,MATCH(LARGE('Calc (scoring engine)'!$K$5:$K$515,3),'Calc (scoring engine)'!$K$5:$K$515,0))="","—",INDEX(Database!$AD$5:$AD$515,MATCH(LARGE('Calc (scoring engine)'!$K$5:$K$515,3),'Calc (scoring engine)'!$K$5:$K$515,0))),""))</f>
        <v/>
      </c>
      <c r="AB23" s="23">
        <f>IF(OR(3&gt;MAX(3,MIN(15,N($D$18))),IFERROR(LARGE('Calc (scoring engine)'!$K$5:$K$515,3),-999999)&lt;=-900000),"",IFERROR(IF(INDEX(Database!$AE$5:$AE$515,MATCH(LARGE('Calc (scoring engine)'!$K$5:$K$515,3),'Calc (scoring engine)'!$K$5:$K$515,0))="","—",INDEX(Database!$AE$5:$AE$515,MATCH(LARGE('Calc (scoring engine)'!$K$5:$K$515,3),'Calc (scoring engine)'!$K$5:$K$515,0))),""))</f>
        <v/>
      </c>
      <c r="AC23" s="23">
        <f>IF(OR(3&gt;MAX(3,MIN(15,N($D$18))),IFERROR(LARGE('Calc (scoring engine)'!$K$5:$K$515,3),-999999)&lt;=-900000),"",IFERROR(IF(INDEX(Database!$AF$5:$AF$515,MATCH(LARGE('Calc (scoring engine)'!$K$5:$K$515,3),'Calc (scoring engine)'!$K$5:$K$515,0))="","—",INDEX(Database!$AF$5:$AF$515,MATCH(LARGE('Calc (scoring engine)'!$K$5:$K$515,3),'Calc (scoring engine)'!$K$5:$K$515,0))),""))</f>
        <v/>
      </c>
      <c r="AD23" s="23">
        <f>IF(OR(3&gt;MAX(3,MIN(15,N($D$18))),IFERROR(LARGE('Calc (scoring engine)'!$K$5:$K$515,3),-999999)&lt;=-900000),"",IFERROR(IF(INDEX(Database!$AG$5:$AG$515,MATCH(LARGE('Calc (scoring engine)'!$K$5:$K$515,3),'Calc (scoring engine)'!$K$5:$K$515,0))="","—",INDEX(Database!$AG$5:$AG$515,MATCH(LARGE('Calc (scoring engine)'!$K$5:$K$515,3),'Calc (scoring engine)'!$K$5:$K$515,0))),""))</f>
        <v/>
      </c>
      <c r="AE23" s="23">
        <f>IF(OR(3&gt;MAX(3,MIN(15,N($D$18))),IFERROR(LARGE('Calc (scoring engine)'!$K$5:$K$515,3),-999999)&lt;=-900000),"",IFERROR(IF(INDEX(Database!$AH$5:$AH$515,MATCH(LARGE('Calc (scoring engine)'!$K$5:$K$515,3),'Calc (scoring engine)'!$K$5:$K$515,0))="","—",INDEX(Database!$AH$5:$AH$515,MATCH(LARGE('Calc (scoring engine)'!$K$5:$K$515,3),'Calc (scoring engine)'!$K$5:$K$515,0))),""))</f>
        <v/>
      </c>
      <c r="AF23" s="23">
        <f>IF(OR(3&gt;MAX(3,MIN(15,N($D$18))),IFERROR(LARGE('Calc (scoring engine)'!$K$5:$K$515,3),-999999)&lt;=-900000),"",IFERROR(IF(INDEX(Database!$AI$5:$AI$515,MATCH(LARGE('Calc (scoring engine)'!$K$5:$K$515,3),'Calc (scoring engine)'!$K$5:$K$515,0))="","—",INDEX(Database!$AI$5:$AI$515,MATCH(LARGE('Calc (scoring engine)'!$K$5:$K$515,3),'Calc (scoring engine)'!$K$5:$K$515,0))),""))</f>
        <v/>
      </c>
      <c r="AG23" s="23">
        <f>IF(OR(3&gt;MAX(3,MIN(15,N($D$18))),IFERROR(LARGE('Calc (scoring engine)'!$K$5:$K$515,3),-999999)&lt;=-900000),"",IFERROR(IF(INDEX(Database!$AJ$5:$AJ$515,MATCH(LARGE('Calc (scoring engine)'!$K$5:$K$515,3),'Calc (scoring engine)'!$K$5:$K$515,0))="","—",INDEX(Database!$AJ$5:$AJ$515,MATCH(LARGE('Calc (scoring engine)'!$K$5:$K$515,3),'Calc (scoring engine)'!$K$5:$K$515,0))),""))</f>
        <v/>
      </c>
      <c r="AH23" s="23">
        <f>IF(OR(3&gt;MAX(3,MIN(15,N($D$18))),IFERROR(LARGE('Calc (scoring engine)'!$K$5:$K$515,3),-999999)&lt;=-900000),"",IFERROR(IF(INDEX(Database!$AK$5:$AK$515,MATCH(LARGE('Calc (scoring engine)'!$K$5:$K$515,3),'Calc (scoring engine)'!$K$5:$K$515,0))="","—",INDEX(Database!$AK$5:$AK$515,MATCH(LARGE('Calc (scoring engine)'!$K$5:$K$515,3),'Calc (scoring engine)'!$K$5:$K$515,0))),""))</f>
        <v/>
      </c>
      <c r="AI23" s="23">
        <f>IF(OR(3&gt;MAX(3,MIN(15,N($D$18))),IFERROR(LARGE('Calc (scoring engine)'!$K$5:$K$515,3),-999999)&lt;=-900000),"",IFERROR(IF(INDEX(Database!$AL$5:$AL$515,MATCH(LARGE('Calc (scoring engine)'!$K$5:$K$515,3),'Calc (scoring engine)'!$K$5:$K$515,0))="","—",INDEX(Database!$AL$5:$AL$515,MATCH(LARGE('Calc (scoring engine)'!$K$5:$K$515,3),'Calc (scoring engine)'!$K$5:$K$515,0))),""))</f>
        <v/>
      </c>
      <c r="AJ23" s="23">
        <f>IF(OR(3&gt;MAX(3,MIN(15,N($D$18))),IFERROR(LARGE('Calc (scoring engine)'!$K$5:$K$515,3),-999999)&lt;=-900000),"",IFERROR(IF(INDEX(Database!$AM$5:$AM$515,MATCH(LARGE('Calc (scoring engine)'!$K$5:$K$515,3),'Calc (scoring engine)'!$K$5:$K$515,0))="","—",INDEX(Database!$AM$5:$AM$515,MATCH(LARGE('Calc (scoring engine)'!$K$5:$K$515,3),'Calc (scoring engine)'!$K$5:$K$515,0))),""))</f>
        <v/>
      </c>
      <c r="AK23" s="23">
        <f>IF(OR(3&gt;MAX(3,MIN(15,N($D$18))),IFERROR(LARGE('Calc (scoring engine)'!$K$5:$K$515,3),-999999)&lt;=-900000),"",IFERROR(IF(INDEX(Database!$AN$5:$AN$515,MATCH(LARGE('Calc (scoring engine)'!$K$5:$K$515,3),'Calc (scoring engine)'!$K$5:$K$515,0))="","—",INDEX(Database!$AN$5:$AN$515,MATCH(LARGE('Calc (scoring engine)'!$K$5:$K$515,3),'Calc (scoring engine)'!$K$5:$K$515,0))),""))</f>
        <v/>
      </c>
      <c r="AL23" s="23">
        <f>IF(OR(3&gt;MAX(3,MIN(15,N($D$18))),IFERROR(LARGE('Calc (scoring engine)'!$K$5:$K$515,3),-999999)&lt;=-900000),"",IFERROR(IF(INDEX(Database!$AO$5:$AO$515,MATCH(LARGE('Calc (scoring engine)'!$K$5:$K$515,3),'Calc (scoring engine)'!$K$5:$K$515,0))="","—",INDEX(Database!$AO$5:$AO$515,MATCH(LARGE('Calc (scoring engine)'!$K$5:$K$515,3),'Calc (scoring engine)'!$K$5:$K$515,0))),""))</f>
        <v/>
      </c>
      <c r="AM23" s="23">
        <f>IF(OR(3&gt;MAX(3,MIN(15,N($D$18))),IFERROR(LARGE('Calc (scoring engine)'!$K$5:$K$515,3),-999999)&lt;=-900000),"",IFERROR(IF(INDEX(Database!$AQ$5:$AQ$515,MATCH(LARGE('Calc (scoring engine)'!$K$5:$K$515,3),'Calc (scoring engine)'!$K$5:$K$515,0))="","—",INDEX(Database!$AQ$5:$AQ$515,MATCH(LARGE('Calc (scoring engine)'!$K$5:$K$515,3),'Calc (scoring engine)'!$K$5:$K$515,0))),""))</f>
        <v/>
      </c>
      <c r="AN23" s="18">
        <f>IF(OR(3&gt;MAX(3,MIN(15,N($D$18))),IFERROR(LARGE('Calc (scoring engine)'!$K$5:$K$515,3),-999999)&lt;=-900000),"",IFERROR(IF(INDEX(Database!$AS$5:$AS$515,MATCH(LARGE('Calc (scoring engine)'!$K$5:$K$515,3),'Calc (scoring engine)'!$K$5:$K$515,0))="","—",INDEX(Database!$AS$5:$AS$515,MATCH(LARGE('Calc (scoring engine)'!$K$5:$K$515,3),'Calc (scoring engine)'!$K$5:$K$515,0))),""))</f>
        <v/>
      </c>
      <c r="AO23" s="18">
        <f>IF(OR(3&gt;MAX(3,MIN(15,N($D$18))),IFERROR(LARGE('Calc (scoring engine)'!$K$5:$K$515,3),-999999)&lt;=-900000),"",IFERROR(IF(INDEX(Database!$AT$5:$AT$515,MATCH(LARGE('Calc (scoring engine)'!$K$5:$K$515,3),'Calc (scoring engine)'!$K$5:$K$515,0))="","—",INDEX(Database!$AT$5:$AT$515,MATCH(LARGE('Calc (scoring engine)'!$K$5:$K$515,3),'Calc (scoring engine)'!$K$5:$K$515,0))),""))</f>
        <v/>
      </c>
      <c r="AP23" s="10">
        <f>IF(OR(3&gt;MAX(3,MIN(15,N($D$18))),IFERROR(LARGE('Calc (scoring engine)'!$K$5:$K$515,3),-999999)&lt;=-900000),"",IFERROR(IF(INDEX(Database!$AU$5:$AU$515,MATCH(LARGE('Calc (scoring engine)'!$K$5:$K$515,3),'Calc (scoring engine)'!$K$5:$K$515,0))="","—",INDEX(Database!$AU$5:$AU$515,MATCH(LARGE('Calc (scoring engine)'!$K$5:$K$515,3),'Calc (scoring engine)'!$K$5:$K$515,0))),""))</f>
        <v/>
      </c>
      <c r="AQ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R23" s="24">
        <f>IF(OR(3&gt;MAX(3,MIN(15,N($D$18))),IFERROR(LARGE('Calc (scoring engine)'!$K$5:$K$515,3),-999999)&lt;=-900000),"",IFERROR(IF(INDEX(Database!$AW$5:$AW$515,MATCH(LARGE('Calc (scoring engine)'!$K$5:$K$515,3),'Calc (scoring engine)'!$K$5:$K$515,0))="","—",INDEX(Database!$AW$5:$AW$515,MATCH(LARGE('Calc (scoring engine)'!$K$5:$K$515,3),'Calc (scoring engine)'!$K$5:$K$515,0))),""))</f>
        <v/>
      </c>
      <c r="AS23" s="24">
        <f>IF(OR(3&gt;MAX(3,MIN(15,N($D$18))),IFERROR(LARGE('Calc (scoring engine)'!$K$5:$K$515,3),-999999)&lt;=-900000),"",IFERROR(IF(INDEX(Database!$AX$5:$AX$515,MATCH(LARGE('Calc (scoring engine)'!$K$5:$K$515,3),'Calc (scoring engine)'!$K$5:$K$515,0))="","—",INDEX(Database!$AX$5:$AX$515,MATCH(LARGE('Calc (scoring engine)'!$K$5:$K$515,3),'Calc (scoring engine)'!$K$5:$K$515,0))),""))</f>
        <v/>
      </c>
      <c r="AT23" s="24">
        <f>IF(OR(3&gt;MAX(3,MIN(15,N($D$18))),IFERROR(LARGE('Calc (scoring engine)'!$K$5:$K$515,3),-999999)&lt;=-900000),"",IFERROR(IF(INDEX(Database!$AY$5:$AY$515,MATCH(LARGE('Calc (scoring engine)'!$K$5:$K$515,3),'Calc (scoring engine)'!$K$5:$K$515,0))="","—",INDEX(Database!$AY$5:$AY$515,MATCH(LARGE('Calc (scoring engine)'!$K$5:$K$515,3),'Calc (scoring engine)'!$K$5:$K$515,0))),""))</f>
        <v/>
      </c>
      <c r="AU23" s="10">
        <f>IF(OR(3&gt;MAX(3,MIN(15,N($D$18))),IFERROR(LARGE('Calc (scoring engine)'!$K$5:$K$515,3),-999999)&lt;=-900000),"",IFERROR(IF(INDEX(Database!$AZ$5:$AZ$515,MATCH(LARGE('Calc (scoring engine)'!$K$5:$K$515,3),'Calc (scoring engine)'!$K$5:$K$515,0))="","—",INDEX(Database!$AZ$5:$AZ$515,MATCH(LARGE('Calc (scoring engine)'!$K$5:$K$515,3),'Calc (scoring engine)'!$K$5:$K$515,0))),""))</f>
        <v/>
      </c>
      <c r="AV23" s="10">
        <f>IF(OR(3&gt;MAX(3,MIN(15,N($D$18))),IFERROR(LARGE('Calc (scoring engine)'!$K$5:$K$515,3),-999999)&lt;=-900000),"",IFERROR(IF(INDEX(Database!$BA$5:$BA$515,MATCH(LARGE('Calc (scoring engine)'!$K$5:$K$515,3),'Calc (scoring engine)'!$K$5:$K$515,0))="","—",INDEX(Database!$BA$5:$BA$515,MATCH(LARGE('Calc (scoring engine)'!$K$5:$K$515,3),'Calc (scoring engine)'!$K$5:$K$515,0))),""))</f>
        <v/>
      </c>
      <c r="AW23" s="23">
        <f>IF(OR(3&gt;MAX(3,MIN(15,N($D$18))),IFERROR(LARGE('Calc (scoring engine)'!$K$5:$K$515,3),-999999)&lt;=-900000),"",IFERROR(IF(INDEX(Database!$BB$5:$BB$515,MATCH(LARGE('Calc (scoring engine)'!$K$5:$K$515,3),'Calc (scoring engine)'!$K$5:$K$515,0))="","—",INDEX(Database!$BB$5:$BB$515,MATCH(LARGE('Calc (scoring engine)'!$K$5:$K$515,3),'Calc (scoring engine)'!$K$5:$K$515,0))),""))</f>
        <v/>
      </c>
      <c r="AX23" s="40">
        <f>IF(OR(3&gt;MAX(3,MIN(15,N($D$18))),IFERROR(LARGE('Calc (scoring engine)'!$K$5:$K$515,3),-999999)&lt;=-900000),"",IFERROR(IF(INDEX(Database!$BC$5:$BC$515,MATCH(LARGE('Calc (scoring engine)'!$K$5:$K$515,3),'Calc (scoring engine)'!$K$5:$K$515,0))="","—",INDEX(Database!$BC$5:$BC$515,MATCH(LARGE('Calc (scoring engine)'!$K$5:$K$515,3),'Calc (scoring engine)'!$K$5:$K$515,0))),""))</f>
        <v/>
      </c>
      <c r="AY23" s="43">
        <f>IF(OR(3&gt;MAX(3,MIN(15,N($D$18))),IFERROR(LARGE('Calc (scoring engine)'!$K$5:$K$515,3),-999999)&lt;=-900000),"",IFERROR(IF(INDEX(Database!$BD$5:$BD$515,MATCH(LARGE('Calc (scoring engine)'!$K$5:$K$515,3),'Calc (scoring engine)'!$K$5:$K$515,0))="","—",INDEX(Database!$BD$5:$BD$515,MATCH(LARGE('Calc (scoring engine)'!$K$5:$K$515,3),'Calc (scoring engine)'!$K$5:$K$515,0))),""))</f>
        <v/>
      </c>
      <c r="AZ23" s="24">
        <f>IF(OR(3&gt;MAX(3,MIN(15,N($D$18))),IFERROR(LARGE('Calc (scoring engine)'!$K$5:$K$515,3),-999999)&lt;=-900000),"",IFERROR(IF(INDEX(Database!$BE$5:$BE$515,MATCH(LARGE('Calc (scoring engine)'!$K$5:$K$515,3),'Calc (scoring engine)'!$K$5:$K$515,0))="","—",INDEX(Database!$BE$5:$BE$515,MATCH(LARGE('Calc (scoring engine)'!$K$5:$K$515,3),'Calc (scoring engine)'!$K$5:$K$515,0))),""))</f>
        <v/>
      </c>
      <c r="BA23" s="24">
        <f>IF(OR(3&gt;MAX(3,MIN(15,N($D$18))),IFERROR(LARGE('Calc (scoring engine)'!$K$5:$K$515,3),-999999)&lt;=-900000),"",IFERROR(IF(INDEX(Database!$BF$5:$BF$515,MATCH(LARGE('Calc (scoring engine)'!$K$5:$K$515,3),'Calc (scoring engine)'!$K$5:$K$515,0))="","—",INDEX(Database!$BF$5:$BF$515,MATCH(LARGE('Calc (scoring engine)'!$K$5:$K$515,3),'Calc (scoring engine)'!$K$5:$K$515,0))),""))</f>
        <v/>
      </c>
      <c r="BB23" s="10">
        <f>IF(OR(3&gt;MAX(3,MIN(15,N($D$18))),IFERROR(LARGE('Calc (scoring engine)'!$K$5:$K$515,3),-999999)&lt;=-900000),"",IFERROR(IF(INDEX(Database!$BG$5:$BG$515,MATCH(LARGE('Calc (scoring engine)'!$K$5:$K$515,3),'Calc (scoring engine)'!$K$5:$K$515,0))="","—",INDEX(Database!$BG$5:$BG$515,MATCH(LARGE('Calc (scoring engine)'!$K$5:$K$515,3),'Calc (scoring engine)'!$K$5:$K$515,0))),""))</f>
        <v/>
      </c>
      <c r="BC23" s="10">
        <f>IF(OR(3&gt;MAX(3,MIN(15,N($D$18))),IFERROR(LARGE('Calc (scoring engine)'!$K$5:$K$515,3),-999999)&lt;=-900000),"",IFERROR(IF(INDEX(Database!$BI$5:$BI$515,MATCH(LARGE('Calc (scoring engine)'!$K$5:$K$515,3),'Calc (scoring engine)'!$K$5:$K$515,0))="","—",INDEX(Database!$BI$5:$BI$515,MATCH(LARGE('Calc (scoring engine)'!$K$5:$K$515,3),'Calc (scoring engine)'!$K$5:$K$515,0))),""))</f>
        <v/>
      </c>
      <c r="BD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E23" s="24">
        <f>IF(OR(3&gt;MAX(3,MIN(15,N($D$18))),IFERROR(LARGE('Calc (scoring engine)'!$K$5:$K$515,3),-999999)&lt;=-900000),"",IFERROR(IFERROR(BDP(TEXT(INDEX(Database!$A$5:$A$515,MATCH(LARGE('Calc (scoring engine)'!$K$5:$K$515,3),'Calc (scoring engine)'!$K$5:$K$515,0)),"0")&amp;" HK Equity","PX_TO_SALES_RATIO"),IF(INDEX(Database!$AY$5:$AY$515,MATCH(LARGE('Calc (scoring engine)'!$K$5:$K$515,3),'Calc (scoring engine)'!$K$5:$K$515,0))="","—",INDEX(Database!$AY$5:$AY$515,MATCH(LARGE('Calc (scoring engine)'!$K$5:$K$515,3),'Calc (scoring engine)'!$K$5:$K$515,0)))),""))</f>
        <v/>
      </c>
      <c r="BF23" s="44">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G23" s="10">
        <f>IF(OR(3&gt;MAX(3,MIN(15,N($D$18))),IFERROR(LARGE('Calc (scoring engine)'!$K$5:$K$515,3),-999999)&lt;=-900000),"",IF(IFERROR(INDEX('Calc (scoring engine)'!$B$5:$B$515,MATCH(LARGE('Calc (scoring engine)'!$K$5:$K$515,3),'Calc (scoring engine)'!$K$5:$K$515,0)),0)=1,"same subsector","sector only"))</f>
        <v/>
      </c>
      <c r="BH23" s="44">
        <f>IF(OR(3&gt;MAX(3,MIN(15,N($D$18))),IFERROR(LARGE('Calc (scoring engine)'!$K$5:$K$515,3),-999999)&lt;=-900000),"",ROUND(IFERROR(LARGE('Calc (scoring engine)'!$K$5:$K$515,3),0),0))</f>
        <v/>
      </c>
      <c r="BI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39">
        <f>IF(OR(4&gt;MAX(3,MIN(15,N($D$18))),IFERROR(LARGE('Calc (scoring engine)'!$K$5:$K$515,4),-999999)&lt;=-900000),"",IFERROR(IF(INDEX(Database!$A$5:$A$515,MATCH(LARGE('Calc (scoring engine)'!$K$5:$K$515,4),'Calc (scoring engine)'!$K$5:$K$515,0))="","—",INDEX(Database!$A$5:$A$515,MATCH(LARGE('Calc (scoring engine)'!$K$5:$K$515,4),'Calc (scoring engine)'!$K$5:$K$515,0))),""))</f>
        <v/>
      </c>
      <c r="D24" s="10">
        <f>IF(OR(4&gt;MAX(3,MIN(15,N($D$18))),IFERROR(LARGE('Calc (scoring engine)'!$K$5:$K$515,4),-999999)&lt;=-900000),"",IFERROR(IF(INDEX(Database!$D$5:$D$515,MATCH(LARGE('Calc (scoring engine)'!$K$5:$K$515,4),'Calc (scoring engine)'!$K$5:$K$515,0))="","—",INDEX(Database!$D$5:$D$515,MATCH(LARGE('Calc (scoring engine)'!$K$5:$K$515,4),'Calc (scoring engine)'!$K$5:$K$515,0))),""))</f>
        <v/>
      </c>
      <c r="E24" s="10">
        <f>IF(OR(4&gt;MAX(3,MIN(15,N($D$18))),IFERROR(LARGE('Calc (scoring engine)'!$K$5:$K$515,4),-999999)&lt;=-900000),"",IFERROR(IF(INDEX(Database!$E$5:$E$515,MATCH(LARGE('Calc (scoring engine)'!$K$5:$K$515,4),'Calc (scoring engine)'!$K$5:$K$515,0))="","—",INDEX(Database!$E$5:$E$515,MATCH(LARGE('Calc (scoring engine)'!$K$5:$K$515,4),'Calc (scoring engine)'!$K$5:$K$515,0))),""))</f>
        <v/>
      </c>
      <c r="F24" s="10">
        <f>IF(OR(4&gt;MAX(3,MIN(15,N($D$18))),IFERROR(LARGE('Calc (scoring engine)'!$K$5:$K$515,4),-999999)&lt;=-900000),"",IFERROR(IF(INDEX(Database!$F$5:$F$515,MATCH(LARGE('Calc (scoring engine)'!$K$5:$K$515,4),'Calc (scoring engine)'!$K$5:$K$515,0))="","—",INDEX(Database!$F$5:$F$515,MATCH(LARGE('Calc (scoring engine)'!$K$5:$K$515,4),'Calc (scoring engine)'!$K$5:$K$515,0))),""))</f>
        <v/>
      </c>
      <c r="G24" s="10">
        <f>IF(OR(4&gt;MAX(3,MIN(15,N($D$18))),IFERROR(LARGE('Calc (scoring engine)'!$K$5:$K$515,4),-999999)&lt;=-900000),"",IFERROR(IF(INDEX(Database!$G$5:$G$515,MATCH(LARGE('Calc (scoring engine)'!$K$5:$K$515,4),'Calc (scoring engine)'!$K$5:$K$515,0))="","—",INDEX(Database!$G$5:$G$515,MATCH(LARGE('Calc (scoring engine)'!$K$5:$K$515,4),'Calc (scoring engine)'!$K$5:$K$515,0))),""))</f>
        <v/>
      </c>
      <c r="H24" s="21">
        <f>IF(OR(4&gt;MAX(3,MIN(15,N($D$18))),IFERROR(LARGE('Calc (scoring engine)'!$K$5:$K$515,4),-999999)&lt;=-900000),"",IFERROR(IF(INDEX(Database!$H$5:$H$515,MATCH(LARGE('Calc (scoring engine)'!$K$5:$K$515,4),'Calc (scoring engine)'!$K$5:$K$515,0))="","—",INDEX(Database!$H$5:$H$515,MATCH(LARGE('Calc (scoring engine)'!$K$5:$K$515,4),'Calc (scoring engine)'!$K$5:$K$515,0))),""))</f>
        <v/>
      </c>
      <c r="I24" s="18">
        <f>IF(OR(4&gt;MAX(3,MIN(15,N($D$18))),IFERROR(LARGE('Calc (scoring engine)'!$K$5:$K$515,4),-999999)&lt;=-900000),"",IFERROR(IF(INDEX(Database!$I$5:$I$515,MATCH(LARGE('Calc (scoring engine)'!$K$5:$K$515,4),'Calc (scoring engine)'!$K$5:$K$515,0))="","—",INDEX(Database!$I$5:$I$515,MATCH(LARGE('Calc (scoring engine)'!$K$5:$K$515,4),'Calc (scoring engine)'!$K$5:$K$515,0))),""))</f>
        <v/>
      </c>
      <c r="J24" s="40">
        <f>IF(OR(4&gt;MAX(3,MIN(15,N($D$18))),IFERROR(LARGE('Calc (scoring engine)'!$K$5:$K$515,4),-999999)&lt;=-900000),"",IFERROR(IF(INDEX(Database!$K$5:$K$515,MATCH(LARGE('Calc (scoring engine)'!$K$5:$K$515,4),'Calc (scoring engine)'!$K$5:$K$515,0))="","—",INDEX(Database!$K$5:$K$515,MATCH(LARGE('Calc (scoring engine)'!$K$5:$K$515,4),'Calc (scoring engine)'!$K$5:$K$515,0))),""))</f>
        <v/>
      </c>
      <c r="K24" s="40">
        <f>IF(OR(4&gt;MAX(3,MIN(15,N($D$18))),IFERROR(LARGE('Calc (scoring engine)'!$K$5:$K$515,4),-999999)&lt;=-900000),"",IFERROR(IF(INDEX(Database!$L$5:$L$515,MATCH(LARGE('Calc (scoring engine)'!$K$5:$K$515,4),'Calc (scoring engine)'!$K$5:$K$515,0))="","—",INDEX(Database!$L$5:$L$515,MATCH(LARGE('Calc (scoring engine)'!$K$5:$K$515,4),'Calc (scoring engine)'!$K$5:$K$515,0))),""))</f>
        <v/>
      </c>
      <c r="L24" s="40">
        <f>IF(OR(4&gt;MAX(3,MIN(15,N($D$18))),IFERROR(LARGE('Calc (scoring engine)'!$K$5:$K$515,4),-999999)&lt;=-900000),"",IFERROR(IF(INDEX(Database!$M$5:$M$515,MATCH(LARGE('Calc (scoring engine)'!$K$5:$K$515,4),'Calc (scoring engine)'!$K$5:$K$515,0))="","—",INDEX(Database!$M$5:$M$515,MATCH(LARGE('Calc (scoring engine)'!$K$5:$K$515,4),'Calc (scoring engine)'!$K$5:$K$515,0))),""))</f>
        <v/>
      </c>
      <c r="M24" s="10">
        <f>IF(OR(4&gt;MAX(3,MIN(15,N($D$18))),IFERROR(LARGE('Calc (scoring engine)'!$K$5:$K$515,4),-999999)&lt;=-900000),"",IFERROR(IF(INDEX(Database!$N$5:$N$515,MATCH(LARGE('Calc (scoring engine)'!$K$5:$K$515,4),'Calc (scoring engine)'!$K$5:$K$515,0))="","—",INDEX(Database!$N$5:$N$515,MATCH(LARGE('Calc (scoring engine)'!$K$5:$K$515,4),'Calc (scoring engine)'!$K$5:$K$515,0))),""))</f>
        <v/>
      </c>
      <c r="N24" s="28">
        <f>IF(OR(4&gt;MAX(3,MIN(15,N($D$18))),IFERROR(LARGE('Calc (scoring engine)'!$K$5:$K$515,4),-999999)&lt;=-900000),"",IFERROR(IF(INDEX(Database!$O$5:$O$515,MATCH(LARGE('Calc (scoring engine)'!$K$5:$K$515,4),'Calc (scoring engine)'!$K$5:$K$515,0))="","—",INDEX(Database!$O$5:$O$515,MATCH(LARGE('Calc (scoring engine)'!$K$5:$K$515,4),'Calc (scoring engine)'!$K$5:$K$515,0))),""))</f>
        <v/>
      </c>
      <c r="O24" s="28">
        <f>IF(OR(4&gt;MAX(3,MIN(15,N($D$18))),IFERROR(LARGE('Calc (scoring engine)'!$K$5:$K$515,4),-999999)&lt;=-900000),"",IFERROR(IF(INDEX(Database!$P$5:$P$515,MATCH(LARGE('Calc (scoring engine)'!$K$5:$K$515,4),'Calc (scoring engine)'!$K$5:$K$515,0))="","—",INDEX(Database!$P$5:$P$515,MATCH(LARGE('Calc (scoring engine)'!$K$5:$K$515,4),'Calc (scoring engine)'!$K$5:$K$515,0))),""))</f>
        <v/>
      </c>
      <c r="P24" s="18">
        <f>IF(OR(4&gt;MAX(3,MIN(15,N($D$18))),IFERROR(LARGE('Calc (scoring engine)'!$K$5:$K$515,4),-999999)&lt;=-900000),"",IFERROR(IF(INDEX(Database!$Q$5:$Q$515,MATCH(LARGE('Calc (scoring engine)'!$K$5:$K$515,4),'Calc (scoring engine)'!$K$5:$K$515,0))="","—",INDEX(Database!$Q$5:$Q$515,MATCH(LARGE('Calc (scoring engine)'!$K$5:$K$515,4),'Calc (scoring engine)'!$K$5:$K$515,0))),""))</f>
        <v/>
      </c>
      <c r="Q24" s="26">
        <f>IF(OR(4&gt;MAX(3,MIN(15,N($D$18))),IFERROR(LARGE('Calc (scoring engine)'!$K$5:$K$515,4),-999999)&lt;=-900000),"",IFERROR(IF(INDEX(Database!$S$5:$S$515,MATCH(LARGE('Calc (scoring engine)'!$K$5:$K$515,4),'Calc (scoring engine)'!$K$5:$K$515,0))="","—",INDEX(Database!$S$5:$S$515,MATCH(LARGE('Calc (scoring engine)'!$K$5:$K$515,4),'Calc (scoring engine)'!$K$5:$K$515,0))),""))</f>
        <v/>
      </c>
      <c r="R24" s="41">
        <f>IF(OR(4&gt;MAX(3,MIN(15,N($D$18))),IFERROR(LARGE('Calc (scoring engine)'!$K$5:$K$515,4),-999999)&lt;=-900000),"",IFERROR(IF(INDEX(Database!$T$5:$T$515,MATCH(LARGE('Calc (scoring engine)'!$K$5:$K$515,4),'Calc (scoring engine)'!$K$5:$K$515,0))="","—",INDEX(Database!$T$5:$T$515,MATCH(LARGE('Calc (scoring engine)'!$K$5:$K$515,4),'Calc (scoring engine)'!$K$5:$K$515,0))),""))</f>
        <v/>
      </c>
      <c r="S24" s="42">
        <f>IF(OR(4&gt;MAX(3,MIN(15,N($D$18))),IFERROR(LARGE('Calc (scoring engine)'!$K$5:$K$515,4),-999999)&lt;=-900000),"",IFERROR(IF(INDEX(Database!$U$5:$U$515,MATCH(LARGE('Calc (scoring engine)'!$K$5:$K$515,4),'Calc (scoring engine)'!$K$5:$K$515,0))="","—",INDEX(Database!$U$5:$U$515,MATCH(LARGE('Calc (scoring engine)'!$K$5:$K$515,4),'Calc (scoring engine)'!$K$5:$K$515,0))),""))</f>
        <v/>
      </c>
      <c r="T24" s="28">
        <f>IF(OR(4&gt;MAX(3,MIN(15,N($D$18))),IFERROR(LARGE('Calc (scoring engine)'!$K$5:$K$515,4),-999999)&lt;=-900000),"",IFERROR(IF(INDEX(Database!$V$5:$V$515,MATCH(LARGE('Calc (scoring engine)'!$K$5:$K$515,4),'Calc (scoring engine)'!$K$5:$K$515,0))="","—",INDEX(Database!$V$5:$V$515,MATCH(LARGE('Calc (scoring engine)'!$K$5:$K$515,4),'Calc (scoring engine)'!$K$5:$K$515,0))),""))</f>
        <v/>
      </c>
      <c r="U24" s="10">
        <f>IF(OR(4&gt;MAX(3,MIN(15,N($D$18))),IFERROR(LARGE('Calc (scoring engine)'!$K$5:$K$515,4),-999999)&lt;=-900000),"",IFERROR(IF(INDEX(Database!$W$5:$W$515,MATCH(LARGE('Calc (scoring engine)'!$K$5:$K$515,4),'Calc (scoring engine)'!$K$5:$K$515,0))="","—",INDEX(Database!$W$5:$W$515,MATCH(LARGE('Calc (scoring engine)'!$K$5:$K$515,4),'Calc (scoring engine)'!$K$5:$K$515,0))),""))</f>
        <v/>
      </c>
      <c r="V24" s="28">
        <f>IF(OR(4&gt;MAX(3,MIN(15,N($D$18))),IFERROR(LARGE('Calc (scoring engine)'!$K$5:$K$515,4),-999999)&lt;=-900000),"",IFERROR(IF(INDEX(Database!$Y$5:$Y$515,MATCH(LARGE('Calc (scoring engine)'!$K$5:$K$515,4),'Calc (scoring engine)'!$K$5:$K$515,0))="","—",INDEX(Database!$Y$5:$Y$515,MATCH(LARGE('Calc (scoring engine)'!$K$5:$K$515,4),'Calc (scoring engine)'!$K$5:$K$515,0))),""))</f>
        <v/>
      </c>
      <c r="W24" s="10">
        <f>IF(OR(4&gt;MAX(3,MIN(15,N($D$18))),IFERROR(LARGE('Calc (scoring engine)'!$K$5:$K$515,4),-999999)&lt;=-900000),"",IFERROR(IF(INDEX(Database!$Z$5:$Z$515,MATCH(LARGE('Calc (scoring engine)'!$K$5:$K$515,4),'Calc (scoring engine)'!$K$5:$K$515,0))="","—",INDEX(Database!$Z$5:$Z$515,MATCH(LARGE('Calc (scoring engine)'!$K$5:$K$515,4),'Calc (scoring engine)'!$K$5:$K$515,0))),""))</f>
        <v/>
      </c>
      <c r="X24" s="23">
        <f>IF(OR(4&gt;MAX(3,MIN(15,N($D$18))),IFERROR(LARGE('Calc (scoring engine)'!$K$5:$K$515,4),-999999)&lt;=-900000),"",IFERROR(IF(INDEX(Database!$AA$5:$AA$515,MATCH(LARGE('Calc (scoring engine)'!$K$5:$K$515,4),'Calc (scoring engine)'!$K$5:$K$515,0))="","—",INDEX(Database!$AA$5:$AA$515,MATCH(LARGE('Calc (scoring engine)'!$K$5:$K$515,4),'Calc (scoring engine)'!$K$5:$K$515,0))),""))</f>
        <v/>
      </c>
      <c r="Y24" s="23">
        <f>IF(OR(4&gt;MAX(3,MIN(15,N($D$18))),IFERROR(LARGE('Calc (scoring engine)'!$K$5:$K$515,4),-999999)&lt;=-900000),"",IFERROR(IF(INDEX(Database!$AB$5:$AB$515,MATCH(LARGE('Calc (scoring engine)'!$K$5:$K$515,4),'Calc (scoring engine)'!$K$5:$K$515,0))="","—",INDEX(Database!$AB$5:$AB$515,MATCH(LARGE('Calc (scoring engine)'!$K$5:$K$515,4),'Calc (scoring engine)'!$K$5:$K$515,0))),""))</f>
        <v/>
      </c>
      <c r="Z24" s="23">
        <f>IF(OR(4&gt;MAX(3,MIN(15,N($D$18))),IFERROR(LARGE('Calc (scoring engine)'!$K$5:$K$515,4),-999999)&lt;=-900000),"",IFERROR(IF(INDEX(Database!$AC$5:$AC$515,MATCH(LARGE('Calc (scoring engine)'!$K$5:$K$515,4),'Calc (scoring engine)'!$K$5:$K$515,0))="","—",INDEX(Database!$AC$5:$AC$515,MATCH(LARGE('Calc (scoring engine)'!$K$5:$K$515,4),'Calc (scoring engine)'!$K$5:$K$515,0))),""))</f>
        <v/>
      </c>
      <c r="AA24" s="23">
        <f>IF(OR(4&gt;MAX(3,MIN(15,N($D$18))),IFERROR(LARGE('Calc (scoring engine)'!$K$5:$K$515,4),-999999)&lt;=-900000),"",IFERROR(IF(INDEX(Database!$AD$5:$AD$515,MATCH(LARGE('Calc (scoring engine)'!$K$5:$K$515,4),'Calc (scoring engine)'!$K$5:$K$515,0))="","—",INDEX(Database!$AD$5:$AD$515,MATCH(LARGE('Calc (scoring engine)'!$K$5:$K$515,4),'Calc (scoring engine)'!$K$5:$K$515,0))),""))</f>
        <v/>
      </c>
      <c r="AB24" s="23">
        <f>IF(OR(4&gt;MAX(3,MIN(15,N($D$18))),IFERROR(LARGE('Calc (scoring engine)'!$K$5:$K$515,4),-999999)&lt;=-900000),"",IFERROR(IF(INDEX(Database!$AE$5:$AE$515,MATCH(LARGE('Calc (scoring engine)'!$K$5:$K$515,4),'Calc (scoring engine)'!$K$5:$K$515,0))="","—",INDEX(Database!$AE$5:$AE$515,MATCH(LARGE('Calc (scoring engine)'!$K$5:$K$515,4),'Calc (scoring engine)'!$K$5:$K$515,0))),""))</f>
        <v/>
      </c>
      <c r="AC24" s="23">
        <f>IF(OR(4&gt;MAX(3,MIN(15,N($D$18))),IFERROR(LARGE('Calc (scoring engine)'!$K$5:$K$515,4),-999999)&lt;=-900000),"",IFERROR(IF(INDEX(Database!$AF$5:$AF$515,MATCH(LARGE('Calc (scoring engine)'!$K$5:$K$515,4),'Calc (scoring engine)'!$K$5:$K$515,0))="","—",INDEX(Database!$AF$5:$AF$515,MATCH(LARGE('Calc (scoring engine)'!$K$5:$K$515,4),'Calc (scoring engine)'!$K$5:$K$515,0))),""))</f>
        <v/>
      </c>
      <c r="AD24" s="23">
        <f>IF(OR(4&gt;MAX(3,MIN(15,N($D$18))),IFERROR(LARGE('Calc (scoring engine)'!$K$5:$K$515,4),-999999)&lt;=-900000),"",IFERROR(IF(INDEX(Database!$AG$5:$AG$515,MATCH(LARGE('Calc (scoring engine)'!$K$5:$K$515,4),'Calc (scoring engine)'!$K$5:$K$515,0))="","—",INDEX(Database!$AG$5:$AG$515,MATCH(LARGE('Calc (scoring engine)'!$K$5:$K$515,4),'Calc (scoring engine)'!$K$5:$K$515,0))),""))</f>
        <v/>
      </c>
      <c r="AE24" s="23">
        <f>IF(OR(4&gt;MAX(3,MIN(15,N($D$18))),IFERROR(LARGE('Calc (scoring engine)'!$K$5:$K$515,4),-999999)&lt;=-900000),"",IFERROR(IF(INDEX(Database!$AH$5:$AH$515,MATCH(LARGE('Calc (scoring engine)'!$K$5:$K$515,4),'Calc (scoring engine)'!$K$5:$K$515,0))="","—",INDEX(Database!$AH$5:$AH$515,MATCH(LARGE('Calc (scoring engine)'!$K$5:$K$515,4),'Calc (scoring engine)'!$K$5:$K$515,0))),""))</f>
        <v/>
      </c>
      <c r="AF24" s="23">
        <f>IF(OR(4&gt;MAX(3,MIN(15,N($D$18))),IFERROR(LARGE('Calc (scoring engine)'!$K$5:$K$515,4),-999999)&lt;=-900000),"",IFERROR(IF(INDEX(Database!$AI$5:$AI$515,MATCH(LARGE('Calc (scoring engine)'!$K$5:$K$515,4),'Calc (scoring engine)'!$K$5:$K$515,0))="","—",INDEX(Database!$AI$5:$AI$515,MATCH(LARGE('Calc (scoring engine)'!$K$5:$K$515,4),'Calc (scoring engine)'!$K$5:$K$515,0))),""))</f>
        <v/>
      </c>
      <c r="AG24" s="23">
        <f>IF(OR(4&gt;MAX(3,MIN(15,N($D$18))),IFERROR(LARGE('Calc (scoring engine)'!$K$5:$K$515,4),-999999)&lt;=-900000),"",IFERROR(IF(INDEX(Database!$AJ$5:$AJ$515,MATCH(LARGE('Calc (scoring engine)'!$K$5:$K$515,4),'Calc (scoring engine)'!$K$5:$K$515,0))="","—",INDEX(Database!$AJ$5:$AJ$515,MATCH(LARGE('Calc (scoring engine)'!$K$5:$K$515,4),'Calc (scoring engine)'!$K$5:$K$515,0))),""))</f>
        <v/>
      </c>
      <c r="AH24" s="23">
        <f>IF(OR(4&gt;MAX(3,MIN(15,N($D$18))),IFERROR(LARGE('Calc (scoring engine)'!$K$5:$K$515,4),-999999)&lt;=-900000),"",IFERROR(IF(INDEX(Database!$AK$5:$AK$515,MATCH(LARGE('Calc (scoring engine)'!$K$5:$K$515,4),'Calc (scoring engine)'!$K$5:$K$515,0))="","—",INDEX(Database!$AK$5:$AK$515,MATCH(LARGE('Calc (scoring engine)'!$K$5:$K$515,4),'Calc (scoring engine)'!$K$5:$K$515,0))),""))</f>
        <v/>
      </c>
      <c r="AI24" s="23">
        <f>IF(OR(4&gt;MAX(3,MIN(15,N($D$18))),IFERROR(LARGE('Calc (scoring engine)'!$K$5:$K$515,4),-999999)&lt;=-900000),"",IFERROR(IF(INDEX(Database!$AL$5:$AL$515,MATCH(LARGE('Calc (scoring engine)'!$K$5:$K$515,4),'Calc (scoring engine)'!$K$5:$K$515,0))="","—",INDEX(Database!$AL$5:$AL$515,MATCH(LARGE('Calc (scoring engine)'!$K$5:$K$515,4),'Calc (scoring engine)'!$K$5:$K$515,0))),""))</f>
        <v/>
      </c>
      <c r="AJ24" s="23">
        <f>IF(OR(4&gt;MAX(3,MIN(15,N($D$18))),IFERROR(LARGE('Calc (scoring engine)'!$K$5:$K$515,4),-999999)&lt;=-900000),"",IFERROR(IF(INDEX(Database!$AM$5:$AM$515,MATCH(LARGE('Calc (scoring engine)'!$K$5:$K$515,4),'Calc (scoring engine)'!$K$5:$K$515,0))="","—",INDEX(Database!$AM$5:$AM$515,MATCH(LARGE('Calc (scoring engine)'!$K$5:$K$515,4),'Calc (scoring engine)'!$K$5:$K$515,0))),""))</f>
        <v/>
      </c>
      <c r="AK24" s="23">
        <f>IF(OR(4&gt;MAX(3,MIN(15,N($D$18))),IFERROR(LARGE('Calc (scoring engine)'!$K$5:$K$515,4),-999999)&lt;=-900000),"",IFERROR(IF(INDEX(Database!$AN$5:$AN$515,MATCH(LARGE('Calc (scoring engine)'!$K$5:$K$515,4),'Calc (scoring engine)'!$K$5:$K$515,0))="","—",INDEX(Database!$AN$5:$AN$515,MATCH(LARGE('Calc (scoring engine)'!$K$5:$K$515,4),'Calc (scoring engine)'!$K$5:$K$515,0))),""))</f>
        <v/>
      </c>
      <c r="AL24" s="23">
        <f>IF(OR(4&gt;MAX(3,MIN(15,N($D$18))),IFERROR(LARGE('Calc (scoring engine)'!$K$5:$K$515,4),-999999)&lt;=-900000),"",IFERROR(IF(INDEX(Database!$AO$5:$AO$515,MATCH(LARGE('Calc (scoring engine)'!$K$5:$K$515,4),'Calc (scoring engine)'!$K$5:$K$515,0))="","—",INDEX(Database!$AO$5:$AO$515,MATCH(LARGE('Calc (scoring engine)'!$K$5:$K$515,4),'Calc (scoring engine)'!$K$5:$K$515,0))),""))</f>
        <v/>
      </c>
      <c r="AM24" s="23">
        <f>IF(OR(4&gt;MAX(3,MIN(15,N($D$18))),IFERROR(LARGE('Calc (scoring engine)'!$K$5:$K$515,4),-999999)&lt;=-900000),"",IFERROR(IF(INDEX(Database!$AQ$5:$AQ$515,MATCH(LARGE('Calc (scoring engine)'!$K$5:$K$515,4),'Calc (scoring engine)'!$K$5:$K$515,0))="","—",INDEX(Database!$AQ$5:$AQ$515,MATCH(LARGE('Calc (scoring engine)'!$K$5:$K$515,4),'Calc (scoring engine)'!$K$5:$K$515,0))),""))</f>
        <v/>
      </c>
      <c r="AN24" s="18">
        <f>IF(OR(4&gt;MAX(3,MIN(15,N($D$18))),IFERROR(LARGE('Calc (scoring engine)'!$K$5:$K$515,4),-999999)&lt;=-900000),"",IFERROR(IF(INDEX(Database!$AS$5:$AS$515,MATCH(LARGE('Calc (scoring engine)'!$K$5:$K$515,4),'Calc (scoring engine)'!$K$5:$K$515,0))="","—",INDEX(Database!$AS$5:$AS$515,MATCH(LARGE('Calc (scoring engine)'!$K$5:$K$515,4),'Calc (scoring engine)'!$K$5:$K$515,0))),""))</f>
        <v/>
      </c>
      <c r="AO24" s="18">
        <f>IF(OR(4&gt;MAX(3,MIN(15,N($D$18))),IFERROR(LARGE('Calc (scoring engine)'!$K$5:$K$515,4),-999999)&lt;=-900000),"",IFERROR(IF(INDEX(Database!$AT$5:$AT$515,MATCH(LARGE('Calc (scoring engine)'!$K$5:$K$515,4),'Calc (scoring engine)'!$K$5:$K$515,0))="","—",INDEX(Database!$AT$5:$AT$515,MATCH(LARGE('Calc (scoring engine)'!$K$5:$K$515,4),'Calc (scoring engine)'!$K$5:$K$515,0))),""))</f>
        <v/>
      </c>
      <c r="AP24" s="10">
        <f>IF(OR(4&gt;MAX(3,MIN(15,N($D$18))),IFERROR(LARGE('Calc (scoring engine)'!$K$5:$K$515,4),-999999)&lt;=-900000),"",IFERROR(IF(INDEX(Database!$AU$5:$AU$515,MATCH(LARGE('Calc (scoring engine)'!$K$5:$K$515,4),'Calc (scoring engine)'!$K$5:$K$515,0))="","—",INDEX(Database!$AU$5:$AU$515,MATCH(LARGE('Calc (scoring engine)'!$K$5:$K$515,4),'Calc (scoring engine)'!$K$5:$K$515,0))),""))</f>
        <v/>
      </c>
      <c r="AQ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R24" s="24">
        <f>IF(OR(4&gt;MAX(3,MIN(15,N($D$18))),IFERROR(LARGE('Calc (scoring engine)'!$K$5:$K$515,4),-999999)&lt;=-900000),"",IFERROR(IF(INDEX(Database!$AW$5:$AW$515,MATCH(LARGE('Calc (scoring engine)'!$K$5:$K$515,4),'Calc (scoring engine)'!$K$5:$K$515,0))="","—",INDEX(Database!$AW$5:$AW$515,MATCH(LARGE('Calc (scoring engine)'!$K$5:$K$515,4),'Calc (scoring engine)'!$K$5:$K$515,0))),""))</f>
        <v/>
      </c>
      <c r="AS24" s="24">
        <f>IF(OR(4&gt;MAX(3,MIN(15,N($D$18))),IFERROR(LARGE('Calc (scoring engine)'!$K$5:$K$515,4),-999999)&lt;=-900000),"",IFERROR(IF(INDEX(Database!$AX$5:$AX$515,MATCH(LARGE('Calc (scoring engine)'!$K$5:$K$515,4),'Calc (scoring engine)'!$K$5:$K$515,0))="","—",INDEX(Database!$AX$5:$AX$515,MATCH(LARGE('Calc (scoring engine)'!$K$5:$K$515,4),'Calc (scoring engine)'!$K$5:$K$515,0))),""))</f>
        <v/>
      </c>
      <c r="AT24" s="24">
        <f>IF(OR(4&gt;MAX(3,MIN(15,N($D$18))),IFERROR(LARGE('Calc (scoring engine)'!$K$5:$K$515,4),-999999)&lt;=-900000),"",IFERROR(IF(INDEX(Database!$AY$5:$AY$515,MATCH(LARGE('Calc (scoring engine)'!$K$5:$K$515,4),'Calc (scoring engine)'!$K$5:$K$515,0))="","—",INDEX(Database!$AY$5:$AY$515,MATCH(LARGE('Calc (scoring engine)'!$K$5:$K$515,4),'Calc (scoring engine)'!$K$5:$K$515,0))),""))</f>
        <v/>
      </c>
      <c r="AU24" s="10">
        <f>IF(OR(4&gt;MAX(3,MIN(15,N($D$18))),IFERROR(LARGE('Calc (scoring engine)'!$K$5:$K$515,4),-999999)&lt;=-900000),"",IFERROR(IF(INDEX(Database!$AZ$5:$AZ$515,MATCH(LARGE('Calc (scoring engine)'!$K$5:$K$515,4),'Calc (scoring engine)'!$K$5:$K$515,0))="","—",INDEX(Database!$AZ$5:$AZ$515,MATCH(LARGE('Calc (scoring engine)'!$K$5:$K$515,4),'Calc (scoring engine)'!$K$5:$K$515,0))),""))</f>
        <v/>
      </c>
      <c r="AV24" s="10">
        <f>IF(OR(4&gt;MAX(3,MIN(15,N($D$18))),IFERROR(LARGE('Calc (scoring engine)'!$K$5:$K$515,4),-999999)&lt;=-900000),"",IFERROR(IF(INDEX(Database!$BA$5:$BA$515,MATCH(LARGE('Calc (scoring engine)'!$K$5:$K$515,4),'Calc (scoring engine)'!$K$5:$K$515,0))="","—",INDEX(Database!$BA$5:$BA$515,MATCH(LARGE('Calc (scoring engine)'!$K$5:$K$515,4),'Calc (scoring engine)'!$K$5:$K$515,0))),""))</f>
        <v/>
      </c>
      <c r="AW24" s="23">
        <f>IF(OR(4&gt;MAX(3,MIN(15,N($D$18))),IFERROR(LARGE('Calc (scoring engine)'!$K$5:$K$515,4),-999999)&lt;=-900000),"",IFERROR(IF(INDEX(Database!$BB$5:$BB$515,MATCH(LARGE('Calc (scoring engine)'!$K$5:$K$515,4),'Calc (scoring engine)'!$K$5:$K$515,0))="","—",INDEX(Database!$BB$5:$BB$515,MATCH(LARGE('Calc (scoring engine)'!$K$5:$K$515,4),'Calc (scoring engine)'!$K$5:$K$515,0))),""))</f>
        <v/>
      </c>
      <c r="AX24" s="40">
        <f>IF(OR(4&gt;MAX(3,MIN(15,N($D$18))),IFERROR(LARGE('Calc (scoring engine)'!$K$5:$K$515,4),-999999)&lt;=-900000),"",IFERROR(IF(INDEX(Database!$BC$5:$BC$515,MATCH(LARGE('Calc (scoring engine)'!$K$5:$K$515,4),'Calc (scoring engine)'!$K$5:$K$515,0))="","—",INDEX(Database!$BC$5:$BC$515,MATCH(LARGE('Calc (scoring engine)'!$K$5:$K$515,4),'Calc (scoring engine)'!$K$5:$K$515,0))),""))</f>
        <v/>
      </c>
      <c r="AY24" s="43">
        <f>IF(OR(4&gt;MAX(3,MIN(15,N($D$18))),IFERROR(LARGE('Calc (scoring engine)'!$K$5:$K$515,4),-999999)&lt;=-900000),"",IFERROR(IF(INDEX(Database!$BD$5:$BD$515,MATCH(LARGE('Calc (scoring engine)'!$K$5:$K$515,4),'Calc (scoring engine)'!$K$5:$K$515,0))="","—",INDEX(Database!$BD$5:$BD$515,MATCH(LARGE('Calc (scoring engine)'!$K$5:$K$515,4),'Calc (scoring engine)'!$K$5:$K$515,0))),""))</f>
        <v/>
      </c>
      <c r="AZ24" s="24">
        <f>IF(OR(4&gt;MAX(3,MIN(15,N($D$18))),IFERROR(LARGE('Calc (scoring engine)'!$K$5:$K$515,4),-999999)&lt;=-900000),"",IFERROR(IF(INDEX(Database!$BE$5:$BE$515,MATCH(LARGE('Calc (scoring engine)'!$K$5:$K$515,4),'Calc (scoring engine)'!$K$5:$K$515,0))="","—",INDEX(Database!$BE$5:$BE$515,MATCH(LARGE('Calc (scoring engine)'!$K$5:$K$515,4),'Calc (scoring engine)'!$K$5:$K$515,0))),""))</f>
        <v/>
      </c>
      <c r="BA24" s="24">
        <f>IF(OR(4&gt;MAX(3,MIN(15,N($D$18))),IFERROR(LARGE('Calc (scoring engine)'!$K$5:$K$515,4),-999999)&lt;=-900000),"",IFERROR(IF(INDEX(Database!$BF$5:$BF$515,MATCH(LARGE('Calc (scoring engine)'!$K$5:$K$515,4),'Calc (scoring engine)'!$K$5:$K$515,0))="","—",INDEX(Database!$BF$5:$BF$515,MATCH(LARGE('Calc (scoring engine)'!$K$5:$K$515,4),'Calc (scoring engine)'!$K$5:$K$515,0))),""))</f>
        <v/>
      </c>
      <c r="BB24" s="10">
        <f>IF(OR(4&gt;MAX(3,MIN(15,N($D$18))),IFERROR(LARGE('Calc (scoring engine)'!$K$5:$K$515,4),-999999)&lt;=-900000),"",IFERROR(IF(INDEX(Database!$BG$5:$BG$515,MATCH(LARGE('Calc (scoring engine)'!$K$5:$K$515,4),'Calc (scoring engine)'!$K$5:$K$515,0))="","—",INDEX(Database!$BG$5:$BG$515,MATCH(LARGE('Calc (scoring engine)'!$K$5:$K$515,4),'Calc (scoring engine)'!$K$5:$K$515,0))),""))</f>
        <v/>
      </c>
      <c r="BC24" s="10">
        <f>IF(OR(4&gt;MAX(3,MIN(15,N($D$18))),IFERROR(LARGE('Calc (scoring engine)'!$K$5:$K$515,4),-999999)&lt;=-900000),"",IFERROR(IF(INDEX(Database!$BI$5:$BI$515,MATCH(LARGE('Calc (scoring engine)'!$K$5:$K$515,4),'Calc (scoring engine)'!$K$5:$K$515,0))="","—",INDEX(Database!$BI$5:$BI$515,MATCH(LARGE('Calc (scoring engine)'!$K$5:$K$515,4),'Calc (scoring engine)'!$K$5:$K$515,0))),""))</f>
        <v/>
      </c>
      <c r="BD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E24" s="24">
        <f>IF(OR(4&gt;MAX(3,MIN(15,N($D$18))),IFERROR(LARGE('Calc (scoring engine)'!$K$5:$K$515,4),-999999)&lt;=-900000),"",IFERROR(IFERROR(BDP(TEXT(INDEX(Database!$A$5:$A$515,MATCH(LARGE('Calc (scoring engine)'!$K$5:$K$515,4),'Calc (scoring engine)'!$K$5:$K$515,0)),"0")&amp;" HK Equity","PX_TO_SALES_RATIO"),IF(INDEX(Database!$AY$5:$AY$515,MATCH(LARGE('Calc (scoring engine)'!$K$5:$K$515,4),'Calc (scoring engine)'!$K$5:$K$515,0))="","—",INDEX(Database!$AY$5:$AY$515,MATCH(LARGE('Calc (scoring engine)'!$K$5:$K$515,4),'Calc (scoring engine)'!$K$5:$K$515,0)))),""))</f>
        <v/>
      </c>
      <c r="BF24" s="44">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G24" s="10">
        <f>IF(OR(4&gt;MAX(3,MIN(15,N($D$18))),IFERROR(LARGE('Calc (scoring engine)'!$K$5:$K$515,4),-999999)&lt;=-900000),"",IF(IFERROR(INDEX('Calc (scoring engine)'!$B$5:$B$515,MATCH(LARGE('Calc (scoring engine)'!$K$5:$K$515,4),'Calc (scoring engine)'!$K$5:$K$515,0)),0)=1,"same subsector","sector only"))</f>
        <v/>
      </c>
      <c r="BH24" s="44">
        <f>IF(OR(4&gt;MAX(3,MIN(15,N($D$18))),IFERROR(LARGE('Calc (scoring engine)'!$K$5:$K$515,4),-999999)&lt;=-900000),"",ROUND(IFERROR(LARGE('Calc (scoring engine)'!$K$5:$K$515,4),0),0))</f>
        <v/>
      </c>
      <c r="BI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39">
        <f>IF(OR(5&gt;MAX(3,MIN(15,N($D$18))),IFERROR(LARGE('Calc (scoring engine)'!$K$5:$K$515,5),-999999)&lt;=-900000),"",IFERROR(IF(INDEX(Database!$A$5:$A$515,MATCH(LARGE('Calc (scoring engine)'!$K$5:$K$515,5),'Calc (scoring engine)'!$K$5:$K$515,0))="","—",INDEX(Database!$A$5:$A$515,MATCH(LARGE('Calc (scoring engine)'!$K$5:$K$515,5),'Calc (scoring engine)'!$K$5:$K$515,0))),""))</f>
        <v/>
      </c>
      <c r="D25" s="10">
        <f>IF(OR(5&gt;MAX(3,MIN(15,N($D$18))),IFERROR(LARGE('Calc (scoring engine)'!$K$5:$K$515,5),-999999)&lt;=-900000),"",IFERROR(IF(INDEX(Database!$D$5:$D$515,MATCH(LARGE('Calc (scoring engine)'!$K$5:$K$515,5),'Calc (scoring engine)'!$K$5:$K$515,0))="","—",INDEX(Database!$D$5:$D$515,MATCH(LARGE('Calc (scoring engine)'!$K$5:$K$515,5),'Calc (scoring engine)'!$K$5:$K$515,0))),""))</f>
        <v/>
      </c>
      <c r="E25" s="10">
        <f>IF(OR(5&gt;MAX(3,MIN(15,N($D$18))),IFERROR(LARGE('Calc (scoring engine)'!$K$5:$K$515,5),-999999)&lt;=-900000),"",IFERROR(IF(INDEX(Database!$E$5:$E$515,MATCH(LARGE('Calc (scoring engine)'!$K$5:$K$515,5),'Calc (scoring engine)'!$K$5:$K$515,0))="","—",INDEX(Database!$E$5:$E$515,MATCH(LARGE('Calc (scoring engine)'!$K$5:$K$515,5),'Calc (scoring engine)'!$K$5:$K$515,0))),""))</f>
        <v/>
      </c>
      <c r="F25" s="10">
        <f>IF(OR(5&gt;MAX(3,MIN(15,N($D$18))),IFERROR(LARGE('Calc (scoring engine)'!$K$5:$K$515,5),-999999)&lt;=-900000),"",IFERROR(IF(INDEX(Database!$F$5:$F$515,MATCH(LARGE('Calc (scoring engine)'!$K$5:$K$515,5),'Calc (scoring engine)'!$K$5:$K$515,0))="","—",INDEX(Database!$F$5:$F$515,MATCH(LARGE('Calc (scoring engine)'!$K$5:$K$515,5),'Calc (scoring engine)'!$K$5:$K$515,0))),""))</f>
        <v/>
      </c>
      <c r="G25" s="10">
        <f>IF(OR(5&gt;MAX(3,MIN(15,N($D$18))),IFERROR(LARGE('Calc (scoring engine)'!$K$5:$K$515,5),-999999)&lt;=-900000),"",IFERROR(IF(INDEX(Database!$G$5:$G$515,MATCH(LARGE('Calc (scoring engine)'!$K$5:$K$515,5),'Calc (scoring engine)'!$K$5:$K$515,0))="","—",INDEX(Database!$G$5:$G$515,MATCH(LARGE('Calc (scoring engine)'!$K$5:$K$515,5),'Calc (scoring engine)'!$K$5:$K$515,0))),""))</f>
        <v/>
      </c>
      <c r="H25" s="21">
        <f>IF(OR(5&gt;MAX(3,MIN(15,N($D$18))),IFERROR(LARGE('Calc (scoring engine)'!$K$5:$K$515,5),-999999)&lt;=-900000),"",IFERROR(IF(INDEX(Database!$H$5:$H$515,MATCH(LARGE('Calc (scoring engine)'!$K$5:$K$515,5),'Calc (scoring engine)'!$K$5:$K$515,0))="","—",INDEX(Database!$H$5:$H$515,MATCH(LARGE('Calc (scoring engine)'!$K$5:$K$515,5),'Calc (scoring engine)'!$K$5:$K$515,0))),""))</f>
        <v/>
      </c>
      <c r="I25" s="18">
        <f>IF(OR(5&gt;MAX(3,MIN(15,N($D$18))),IFERROR(LARGE('Calc (scoring engine)'!$K$5:$K$515,5),-999999)&lt;=-900000),"",IFERROR(IF(INDEX(Database!$I$5:$I$515,MATCH(LARGE('Calc (scoring engine)'!$K$5:$K$515,5),'Calc (scoring engine)'!$K$5:$K$515,0))="","—",INDEX(Database!$I$5:$I$515,MATCH(LARGE('Calc (scoring engine)'!$K$5:$K$515,5),'Calc (scoring engine)'!$K$5:$K$515,0))),""))</f>
        <v/>
      </c>
      <c r="J25" s="40">
        <f>IF(OR(5&gt;MAX(3,MIN(15,N($D$18))),IFERROR(LARGE('Calc (scoring engine)'!$K$5:$K$515,5),-999999)&lt;=-900000),"",IFERROR(IF(INDEX(Database!$K$5:$K$515,MATCH(LARGE('Calc (scoring engine)'!$K$5:$K$515,5),'Calc (scoring engine)'!$K$5:$K$515,0))="","—",INDEX(Database!$K$5:$K$515,MATCH(LARGE('Calc (scoring engine)'!$K$5:$K$515,5),'Calc (scoring engine)'!$K$5:$K$515,0))),""))</f>
        <v/>
      </c>
      <c r="K25" s="40">
        <f>IF(OR(5&gt;MAX(3,MIN(15,N($D$18))),IFERROR(LARGE('Calc (scoring engine)'!$K$5:$K$515,5),-999999)&lt;=-900000),"",IFERROR(IF(INDEX(Database!$L$5:$L$515,MATCH(LARGE('Calc (scoring engine)'!$K$5:$K$515,5),'Calc (scoring engine)'!$K$5:$K$515,0))="","—",INDEX(Database!$L$5:$L$515,MATCH(LARGE('Calc (scoring engine)'!$K$5:$K$515,5),'Calc (scoring engine)'!$K$5:$K$515,0))),""))</f>
        <v/>
      </c>
      <c r="L25" s="40">
        <f>IF(OR(5&gt;MAX(3,MIN(15,N($D$18))),IFERROR(LARGE('Calc (scoring engine)'!$K$5:$K$515,5),-999999)&lt;=-900000),"",IFERROR(IF(INDEX(Database!$M$5:$M$515,MATCH(LARGE('Calc (scoring engine)'!$K$5:$K$515,5),'Calc (scoring engine)'!$K$5:$K$515,0))="","—",INDEX(Database!$M$5:$M$515,MATCH(LARGE('Calc (scoring engine)'!$K$5:$K$515,5),'Calc (scoring engine)'!$K$5:$K$515,0))),""))</f>
        <v/>
      </c>
      <c r="M25" s="10">
        <f>IF(OR(5&gt;MAX(3,MIN(15,N($D$18))),IFERROR(LARGE('Calc (scoring engine)'!$K$5:$K$515,5),-999999)&lt;=-900000),"",IFERROR(IF(INDEX(Database!$N$5:$N$515,MATCH(LARGE('Calc (scoring engine)'!$K$5:$K$515,5),'Calc (scoring engine)'!$K$5:$K$515,0))="","—",INDEX(Database!$N$5:$N$515,MATCH(LARGE('Calc (scoring engine)'!$K$5:$K$515,5),'Calc (scoring engine)'!$K$5:$K$515,0))),""))</f>
        <v/>
      </c>
      <c r="N25" s="28">
        <f>IF(OR(5&gt;MAX(3,MIN(15,N($D$18))),IFERROR(LARGE('Calc (scoring engine)'!$K$5:$K$515,5),-999999)&lt;=-900000),"",IFERROR(IF(INDEX(Database!$O$5:$O$515,MATCH(LARGE('Calc (scoring engine)'!$K$5:$K$515,5),'Calc (scoring engine)'!$K$5:$K$515,0))="","—",INDEX(Database!$O$5:$O$515,MATCH(LARGE('Calc (scoring engine)'!$K$5:$K$515,5),'Calc (scoring engine)'!$K$5:$K$515,0))),""))</f>
        <v/>
      </c>
      <c r="O25" s="28">
        <f>IF(OR(5&gt;MAX(3,MIN(15,N($D$18))),IFERROR(LARGE('Calc (scoring engine)'!$K$5:$K$515,5),-999999)&lt;=-900000),"",IFERROR(IF(INDEX(Database!$P$5:$P$515,MATCH(LARGE('Calc (scoring engine)'!$K$5:$K$515,5),'Calc (scoring engine)'!$K$5:$K$515,0))="","—",INDEX(Database!$P$5:$P$515,MATCH(LARGE('Calc (scoring engine)'!$K$5:$K$515,5),'Calc (scoring engine)'!$K$5:$K$515,0))),""))</f>
        <v/>
      </c>
      <c r="P25" s="18">
        <f>IF(OR(5&gt;MAX(3,MIN(15,N($D$18))),IFERROR(LARGE('Calc (scoring engine)'!$K$5:$K$515,5),-999999)&lt;=-900000),"",IFERROR(IF(INDEX(Database!$Q$5:$Q$515,MATCH(LARGE('Calc (scoring engine)'!$K$5:$K$515,5),'Calc (scoring engine)'!$K$5:$K$515,0))="","—",INDEX(Database!$Q$5:$Q$515,MATCH(LARGE('Calc (scoring engine)'!$K$5:$K$515,5),'Calc (scoring engine)'!$K$5:$K$515,0))),""))</f>
        <v/>
      </c>
      <c r="Q25" s="26">
        <f>IF(OR(5&gt;MAX(3,MIN(15,N($D$18))),IFERROR(LARGE('Calc (scoring engine)'!$K$5:$K$515,5),-999999)&lt;=-900000),"",IFERROR(IF(INDEX(Database!$S$5:$S$515,MATCH(LARGE('Calc (scoring engine)'!$K$5:$K$515,5),'Calc (scoring engine)'!$K$5:$K$515,0))="","—",INDEX(Database!$S$5:$S$515,MATCH(LARGE('Calc (scoring engine)'!$K$5:$K$515,5),'Calc (scoring engine)'!$K$5:$K$515,0))),""))</f>
        <v/>
      </c>
      <c r="R25" s="41">
        <f>IF(OR(5&gt;MAX(3,MIN(15,N($D$18))),IFERROR(LARGE('Calc (scoring engine)'!$K$5:$K$515,5),-999999)&lt;=-900000),"",IFERROR(IF(INDEX(Database!$T$5:$T$515,MATCH(LARGE('Calc (scoring engine)'!$K$5:$K$515,5),'Calc (scoring engine)'!$K$5:$K$515,0))="","—",INDEX(Database!$T$5:$T$515,MATCH(LARGE('Calc (scoring engine)'!$K$5:$K$515,5),'Calc (scoring engine)'!$K$5:$K$515,0))),""))</f>
        <v/>
      </c>
      <c r="S25" s="42">
        <f>IF(OR(5&gt;MAX(3,MIN(15,N($D$18))),IFERROR(LARGE('Calc (scoring engine)'!$K$5:$K$515,5),-999999)&lt;=-900000),"",IFERROR(IF(INDEX(Database!$U$5:$U$515,MATCH(LARGE('Calc (scoring engine)'!$K$5:$K$515,5),'Calc (scoring engine)'!$K$5:$K$515,0))="","—",INDEX(Database!$U$5:$U$515,MATCH(LARGE('Calc (scoring engine)'!$K$5:$K$515,5),'Calc (scoring engine)'!$K$5:$K$515,0))),""))</f>
        <v/>
      </c>
      <c r="T25" s="28">
        <f>IF(OR(5&gt;MAX(3,MIN(15,N($D$18))),IFERROR(LARGE('Calc (scoring engine)'!$K$5:$K$515,5),-999999)&lt;=-900000),"",IFERROR(IF(INDEX(Database!$V$5:$V$515,MATCH(LARGE('Calc (scoring engine)'!$K$5:$K$515,5),'Calc (scoring engine)'!$K$5:$K$515,0))="","—",INDEX(Database!$V$5:$V$515,MATCH(LARGE('Calc (scoring engine)'!$K$5:$K$515,5),'Calc (scoring engine)'!$K$5:$K$515,0))),""))</f>
        <v/>
      </c>
      <c r="U25" s="10">
        <f>IF(OR(5&gt;MAX(3,MIN(15,N($D$18))),IFERROR(LARGE('Calc (scoring engine)'!$K$5:$K$515,5),-999999)&lt;=-900000),"",IFERROR(IF(INDEX(Database!$W$5:$W$515,MATCH(LARGE('Calc (scoring engine)'!$K$5:$K$515,5),'Calc (scoring engine)'!$K$5:$K$515,0))="","—",INDEX(Database!$W$5:$W$515,MATCH(LARGE('Calc (scoring engine)'!$K$5:$K$515,5),'Calc (scoring engine)'!$K$5:$K$515,0))),""))</f>
        <v/>
      </c>
      <c r="V25" s="28">
        <f>IF(OR(5&gt;MAX(3,MIN(15,N($D$18))),IFERROR(LARGE('Calc (scoring engine)'!$K$5:$K$515,5),-999999)&lt;=-900000),"",IFERROR(IF(INDEX(Database!$Y$5:$Y$515,MATCH(LARGE('Calc (scoring engine)'!$K$5:$K$515,5),'Calc (scoring engine)'!$K$5:$K$515,0))="","—",INDEX(Database!$Y$5:$Y$515,MATCH(LARGE('Calc (scoring engine)'!$K$5:$K$515,5),'Calc (scoring engine)'!$K$5:$K$515,0))),""))</f>
        <v/>
      </c>
      <c r="W25" s="10">
        <f>IF(OR(5&gt;MAX(3,MIN(15,N($D$18))),IFERROR(LARGE('Calc (scoring engine)'!$K$5:$K$515,5),-999999)&lt;=-900000),"",IFERROR(IF(INDEX(Database!$Z$5:$Z$515,MATCH(LARGE('Calc (scoring engine)'!$K$5:$K$515,5),'Calc (scoring engine)'!$K$5:$K$515,0))="","—",INDEX(Database!$Z$5:$Z$515,MATCH(LARGE('Calc (scoring engine)'!$K$5:$K$515,5),'Calc (scoring engine)'!$K$5:$K$515,0))),""))</f>
        <v/>
      </c>
      <c r="X25" s="23">
        <f>IF(OR(5&gt;MAX(3,MIN(15,N($D$18))),IFERROR(LARGE('Calc (scoring engine)'!$K$5:$K$515,5),-999999)&lt;=-900000),"",IFERROR(IF(INDEX(Database!$AA$5:$AA$515,MATCH(LARGE('Calc (scoring engine)'!$K$5:$K$515,5),'Calc (scoring engine)'!$K$5:$K$515,0))="","—",INDEX(Database!$AA$5:$AA$515,MATCH(LARGE('Calc (scoring engine)'!$K$5:$K$515,5),'Calc (scoring engine)'!$K$5:$K$515,0))),""))</f>
        <v/>
      </c>
      <c r="Y25" s="23">
        <f>IF(OR(5&gt;MAX(3,MIN(15,N($D$18))),IFERROR(LARGE('Calc (scoring engine)'!$K$5:$K$515,5),-999999)&lt;=-900000),"",IFERROR(IF(INDEX(Database!$AB$5:$AB$515,MATCH(LARGE('Calc (scoring engine)'!$K$5:$K$515,5),'Calc (scoring engine)'!$K$5:$K$515,0))="","—",INDEX(Database!$AB$5:$AB$515,MATCH(LARGE('Calc (scoring engine)'!$K$5:$K$515,5),'Calc (scoring engine)'!$K$5:$K$515,0))),""))</f>
        <v/>
      </c>
      <c r="Z25" s="23">
        <f>IF(OR(5&gt;MAX(3,MIN(15,N($D$18))),IFERROR(LARGE('Calc (scoring engine)'!$K$5:$K$515,5),-999999)&lt;=-900000),"",IFERROR(IF(INDEX(Database!$AC$5:$AC$515,MATCH(LARGE('Calc (scoring engine)'!$K$5:$K$515,5),'Calc (scoring engine)'!$K$5:$K$515,0))="","—",INDEX(Database!$AC$5:$AC$515,MATCH(LARGE('Calc (scoring engine)'!$K$5:$K$515,5),'Calc (scoring engine)'!$K$5:$K$515,0))),""))</f>
        <v/>
      </c>
      <c r="AA25" s="23">
        <f>IF(OR(5&gt;MAX(3,MIN(15,N($D$18))),IFERROR(LARGE('Calc (scoring engine)'!$K$5:$K$515,5),-999999)&lt;=-900000),"",IFERROR(IF(INDEX(Database!$AD$5:$AD$515,MATCH(LARGE('Calc (scoring engine)'!$K$5:$K$515,5),'Calc (scoring engine)'!$K$5:$K$515,0))="","—",INDEX(Database!$AD$5:$AD$515,MATCH(LARGE('Calc (scoring engine)'!$K$5:$K$515,5),'Calc (scoring engine)'!$K$5:$K$515,0))),""))</f>
        <v/>
      </c>
      <c r="AB25" s="23">
        <f>IF(OR(5&gt;MAX(3,MIN(15,N($D$18))),IFERROR(LARGE('Calc (scoring engine)'!$K$5:$K$515,5),-999999)&lt;=-900000),"",IFERROR(IF(INDEX(Database!$AE$5:$AE$515,MATCH(LARGE('Calc (scoring engine)'!$K$5:$K$515,5),'Calc (scoring engine)'!$K$5:$K$515,0))="","—",INDEX(Database!$AE$5:$AE$515,MATCH(LARGE('Calc (scoring engine)'!$K$5:$K$515,5),'Calc (scoring engine)'!$K$5:$K$515,0))),""))</f>
        <v/>
      </c>
      <c r="AC25" s="23">
        <f>IF(OR(5&gt;MAX(3,MIN(15,N($D$18))),IFERROR(LARGE('Calc (scoring engine)'!$K$5:$K$515,5),-999999)&lt;=-900000),"",IFERROR(IF(INDEX(Database!$AF$5:$AF$515,MATCH(LARGE('Calc (scoring engine)'!$K$5:$K$515,5),'Calc (scoring engine)'!$K$5:$K$515,0))="","—",INDEX(Database!$AF$5:$AF$515,MATCH(LARGE('Calc (scoring engine)'!$K$5:$K$515,5),'Calc (scoring engine)'!$K$5:$K$515,0))),""))</f>
        <v/>
      </c>
      <c r="AD25" s="23">
        <f>IF(OR(5&gt;MAX(3,MIN(15,N($D$18))),IFERROR(LARGE('Calc (scoring engine)'!$K$5:$K$515,5),-999999)&lt;=-900000),"",IFERROR(IF(INDEX(Database!$AG$5:$AG$515,MATCH(LARGE('Calc (scoring engine)'!$K$5:$K$515,5),'Calc (scoring engine)'!$K$5:$K$515,0))="","—",INDEX(Database!$AG$5:$AG$515,MATCH(LARGE('Calc (scoring engine)'!$K$5:$K$515,5),'Calc (scoring engine)'!$K$5:$K$515,0))),""))</f>
        <v/>
      </c>
      <c r="AE25" s="23">
        <f>IF(OR(5&gt;MAX(3,MIN(15,N($D$18))),IFERROR(LARGE('Calc (scoring engine)'!$K$5:$K$515,5),-999999)&lt;=-900000),"",IFERROR(IF(INDEX(Database!$AH$5:$AH$515,MATCH(LARGE('Calc (scoring engine)'!$K$5:$K$515,5),'Calc (scoring engine)'!$K$5:$K$515,0))="","—",INDEX(Database!$AH$5:$AH$515,MATCH(LARGE('Calc (scoring engine)'!$K$5:$K$515,5),'Calc (scoring engine)'!$K$5:$K$515,0))),""))</f>
        <v/>
      </c>
      <c r="AF25" s="23">
        <f>IF(OR(5&gt;MAX(3,MIN(15,N($D$18))),IFERROR(LARGE('Calc (scoring engine)'!$K$5:$K$515,5),-999999)&lt;=-900000),"",IFERROR(IF(INDEX(Database!$AI$5:$AI$515,MATCH(LARGE('Calc (scoring engine)'!$K$5:$K$515,5),'Calc (scoring engine)'!$K$5:$K$515,0))="","—",INDEX(Database!$AI$5:$AI$515,MATCH(LARGE('Calc (scoring engine)'!$K$5:$K$515,5),'Calc (scoring engine)'!$K$5:$K$515,0))),""))</f>
        <v/>
      </c>
      <c r="AG25" s="23">
        <f>IF(OR(5&gt;MAX(3,MIN(15,N($D$18))),IFERROR(LARGE('Calc (scoring engine)'!$K$5:$K$515,5),-999999)&lt;=-900000),"",IFERROR(IF(INDEX(Database!$AJ$5:$AJ$515,MATCH(LARGE('Calc (scoring engine)'!$K$5:$K$515,5),'Calc (scoring engine)'!$K$5:$K$515,0))="","—",INDEX(Database!$AJ$5:$AJ$515,MATCH(LARGE('Calc (scoring engine)'!$K$5:$K$515,5),'Calc (scoring engine)'!$K$5:$K$515,0))),""))</f>
        <v/>
      </c>
      <c r="AH25" s="23">
        <f>IF(OR(5&gt;MAX(3,MIN(15,N($D$18))),IFERROR(LARGE('Calc (scoring engine)'!$K$5:$K$515,5),-999999)&lt;=-900000),"",IFERROR(IF(INDEX(Database!$AK$5:$AK$515,MATCH(LARGE('Calc (scoring engine)'!$K$5:$K$515,5),'Calc (scoring engine)'!$K$5:$K$515,0))="","—",INDEX(Database!$AK$5:$AK$515,MATCH(LARGE('Calc (scoring engine)'!$K$5:$K$515,5),'Calc (scoring engine)'!$K$5:$K$515,0))),""))</f>
        <v/>
      </c>
      <c r="AI25" s="23">
        <f>IF(OR(5&gt;MAX(3,MIN(15,N($D$18))),IFERROR(LARGE('Calc (scoring engine)'!$K$5:$K$515,5),-999999)&lt;=-900000),"",IFERROR(IF(INDEX(Database!$AL$5:$AL$515,MATCH(LARGE('Calc (scoring engine)'!$K$5:$K$515,5),'Calc (scoring engine)'!$K$5:$K$515,0))="","—",INDEX(Database!$AL$5:$AL$515,MATCH(LARGE('Calc (scoring engine)'!$K$5:$K$515,5),'Calc (scoring engine)'!$K$5:$K$515,0))),""))</f>
        <v/>
      </c>
      <c r="AJ25" s="23">
        <f>IF(OR(5&gt;MAX(3,MIN(15,N($D$18))),IFERROR(LARGE('Calc (scoring engine)'!$K$5:$K$515,5),-999999)&lt;=-900000),"",IFERROR(IF(INDEX(Database!$AM$5:$AM$515,MATCH(LARGE('Calc (scoring engine)'!$K$5:$K$515,5),'Calc (scoring engine)'!$K$5:$K$515,0))="","—",INDEX(Database!$AM$5:$AM$515,MATCH(LARGE('Calc (scoring engine)'!$K$5:$K$515,5),'Calc (scoring engine)'!$K$5:$K$515,0))),""))</f>
        <v/>
      </c>
      <c r="AK25" s="23">
        <f>IF(OR(5&gt;MAX(3,MIN(15,N($D$18))),IFERROR(LARGE('Calc (scoring engine)'!$K$5:$K$515,5),-999999)&lt;=-900000),"",IFERROR(IF(INDEX(Database!$AN$5:$AN$515,MATCH(LARGE('Calc (scoring engine)'!$K$5:$K$515,5),'Calc (scoring engine)'!$K$5:$K$515,0))="","—",INDEX(Database!$AN$5:$AN$515,MATCH(LARGE('Calc (scoring engine)'!$K$5:$K$515,5),'Calc (scoring engine)'!$K$5:$K$515,0))),""))</f>
        <v/>
      </c>
      <c r="AL25" s="23">
        <f>IF(OR(5&gt;MAX(3,MIN(15,N($D$18))),IFERROR(LARGE('Calc (scoring engine)'!$K$5:$K$515,5),-999999)&lt;=-900000),"",IFERROR(IF(INDEX(Database!$AO$5:$AO$515,MATCH(LARGE('Calc (scoring engine)'!$K$5:$K$515,5),'Calc (scoring engine)'!$K$5:$K$515,0))="","—",INDEX(Database!$AO$5:$AO$515,MATCH(LARGE('Calc (scoring engine)'!$K$5:$K$515,5),'Calc (scoring engine)'!$K$5:$K$515,0))),""))</f>
        <v/>
      </c>
      <c r="AM25" s="23">
        <f>IF(OR(5&gt;MAX(3,MIN(15,N($D$18))),IFERROR(LARGE('Calc (scoring engine)'!$K$5:$K$515,5),-999999)&lt;=-900000),"",IFERROR(IF(INDEX(Database!$AQ$5:$AQ$515,MATCH(LARGE('Calc (scoring engine)'!$K$5:$K$515,5),'Calc (scoring engine)'!$K$5:$K$515,0))="","—",INDEX(Database!$AQ$5:$AQ$515,MATCH(LARGE('Calc (scoring engine)'!$K$5:$K$515,5),'Calc (scoring engine)'!$K$5:$K$515,0))),""))</f>
        <v/>
      </c>
      <c r="AN25" s="18">
        <f>IF(OR(5&gt;MAX(3,MIN(15,N($D$18))),IFERROR(LARGE('Calc (scoring engine)'!$K$5:$K$515,5),-999999)&lt;=-900000),"",IFERROR(IF(INDEX(Database!$AS$5:$AS$515,MATCH(LARGE('Calc (scoring engine)'!$K$5:$K$515,5),'Calc (scoring engine)'!$K$5:$K$515,0))="","—",INDEX(Database!$AS$5:$AS$515,MATCH(LARGE('Calc (scoring engine)'!$K$5:$K$515,5),'Calc (scoring engine)'!$K$5:$K$515,0))),""))</f>
        <v/>
      </c>
      <c r="AO25" s="18">
        <f>IF(OR(5&gt;MAX(3,MIN(15,N($D$18))),IFERROR(LARGE('Calc (scoring engine)'!$K$5:$K$515,5),-999999)&lt;=-900000),"",IFERROR(IF(INDEX(Database!$AT$5:$AT$515,MATCH(LARGE('Calc (scoring engine)'!$K$5:$K$515,5),'Calc (scoring engine)'!$K$5:$K$515,0))="","—",INDEX(Database!$AT$5:$AT$515,MATCH(LARGE('Calc (scoring engine)'!$K$5:$K$515,5),'Calc (scoring engine)'!$K$5:$K$515,0))),""))</f>
        <v/>
      </c>
      <c r="AP25" s="10">
        <f>IF(OR(5&gt;MAX(3,MIN(15,N($D$18))),IFERROR(LARGE('Calc (scoring engine)'!$K$5:$K$515,5),-999999)&lt;=-900000),"",IFERROR(IF(INDEX(Database!$AU$5:$AU$515,MATCH(LARGE('Calc (scoring engine)'!$K$5:$K$515,5),'Calc (scoring engine)'!$K$5:$K$515,0))="","—",INDEX(Database!$AU$5:$AU$515,MATCH(LARGE('Calc (scoring engine)'!$K$5:$K$515,5),'Calc (scoring engine)'!$K$5:$K$515,0))),""))</f>
        <v/>
      </c>
      <c r="AQ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R25" s="24">
        <f>IF(OR(5&gt;MAX(3,MIN(15,N($D$18))),IFERROR(LARGE('Calc (scoring engine)'!$K$5:$K$515,5),-999999)&lt;=-900000),"",IFERROR(IF(INDEX(Database!$AW$5:$AW$515,MATCH(LARGE('Calc (scoring engine)'!$K$5:$K$515,5),'Calc (scoring engine)'!$K$5:$K$515,0))="","—",INDEX(Database!$AW$5:$AW$515,MATCH(LARGE('Calc (scoring engine)'!$K$5:$K$515,5),'Calc (scoring engine)'!$K$5:$K$515,0))),""))</f>
        <v/>
      </c>
      <c r="AS25" s="24">
        <f>IF(OR(5&gt;MAX(3,MIN(15,N($D$18))),IFERROR(LARGE('Calc (scoring engine)'!$K$5:$K$515,5),-999999)&lt;=-900000),"",IFERROR(IF(INDEX(Database!$AX$5:$AX$515,MATCH(LARGE('Calc (scoring engine)'!$K$5:$K$515,5),'Calc (scoring engine)'!$K$5:$K$515,0))="","—",INDEX(Database!$AX$5:$AX$515,MATCH(LARGE('Calc (scoring engine)'!$K$5:$K$515,5),'Calc (scoring engine)'!$K$5:$K$515,0))),""))</f>
        <v/>
      </c>
      <c r="AT25" s="24">
        <f>IF(OR(5&gt;MAX(3,MIN(15,N($D$18))),IFERROR(LARGE('Calc (scoring engine)'!$K$5:$K$515,5),-999999)&lt;=-900000),"",IFERROR(IF(INDEX(Database!$AY$5:$AY$515,MATCH(LARGE('Calc (scoring engine)'!$K$5:$K$515,5),'Calc (scoring engine)'!$K$5:$K$515,0))="","—",INDEX(Database!$AY$5:$AY$515,MATCH(LARGE('Calc (scoring engine)'!$K$5:$K$515,5),'Calc (scoring engine)'!$K$5:$K$515,0))),""))</f>
        <v/>
      </c>
      <c r="AU25" s="10">
        <f>IF(OR(5&gt;MAX(3,MIN(15,N($D$18))),IFERROR(LARGE('Calc (scoring engine)'!$K$5:$K$515,5),-999999)&lt;=-900000),"",IFERROR(IF(INDEX(Database!$AZ$5:$AZ$515,MATCH(LARGE('Calc (scoring engine)'!$K$5:$K$515,5),'Calc (scoring engine)'!$K$5:$K$515,0))="","—",INDEX(Database!$AZ$5:$AZ$515,MATCH(LARGE('Calc (scoring engine)'!$K$5:$K$515,5),'Calc (scoring engine)'!$K$5:$K$515,0))),""))</f>
        <v/>
      </c>
      <c r="AV25" s="10">
        <f>IF(OR(5&gt;MAX(3,MIN(15,N($D$18))),IFERROR(LARGE('Calc (scoring engine)'!$K$5:$K$515,5),-999999)&lt;=-900000),"",IFERROR(IF(INDEX(Database!$BA$5:$BA$515,MATCH(LARGE('Calc (scoring engine)'!$K$5:$K$515,5),'Calc (scoring engine)'!$K$5:$K$515,0))="","—",INDEX(Database!$BA$5:$BA$515,MATCH(LARGE('Calc (scoring engine)'!$K$5:$K$515,5),'Calc (scoring engine)'!$K$5:$K$515,0))),""))</f>
        <v/>
      </c>
      <c r="AW25" s="23">
        <f>IF(OR(5&gt;MAX(3,MIN(15,N($D$18))),IFERROR(LARGE('Calc (scoring engine)'!$K$5:$K$515,5),-999999)&lt;=-900000),"",IFERROR(IF(INDEX(Database!$BB$5:$BB$515,MATCH(LARGE('Calc (scoring engine)'!$K$5:$K$515,5),'Calc (scoring engine)'!$K$5:$K$515,0))="","—",INDEX(Database!$BB$5:$BB$515,MATCH(LARGE('Calc (scoring engine)'!$K$5:$K$515,5),'Calc (scoring engine)'!$K$5:$K$515,0))),""))</f>
        <v/>
      </c>
      <c r="AX25" s="40">
        <f>IF(OR(5&gt;MAX(3,MIN(15,N($D$18))),IFERROR(LARGE('Calc (scoring engine)'!$K$5:$K$515,5),-999999)&lt;=-900000),"",IFERROR(IF(INDEX(Database!$BC$5:$BC$515,MATCH(LARGE('Calc (scoring engine)'!$K$5:$K$515,5),'Calc (scoring engine)'!$K$5:$K$515,0))="","—",INDEX(Database!$BC$5:$BC$515,MATCH(LARGE('Calc (scoring engine)'!$K$5:$K$515,5),'Calc (scoring engine)'!$K$5:$K$515,0))),""))</f>
        <v/>
      </c>
      <c r="AY25" s="43">
        <f>IF(OR(5&gt;MAX(3,MIN(15,N($D$18))),IFERROR(LARGE('Calc (scoring engine)'!$K$5:$K$515,5),-999999)&lt;=-900000),"",IFERROR(IF(INDEX(Database!$BD$5:$BD$515,MATCH(LARGE('Calc (scoring engine)'!$K$5:$K$515,5),'Calc (scoring engine)'!$K$5:$K$515,0))="","—",INDEX(Database!$BD$5:$BD$515,MATCH(LARGE('Calc (scoring engine)'!$K$5:$K$515,5),'Calc (scoring engine)'!$K$5:$K$515,0))),""))</f>
        <v/>
      </c>
      <c r="AZ25" s="24">
        <f>IF(OR(5&gt;MAX(3,MIN(15,N($D$18))),IFERROR(LARGE('Calc (scoring engine)'!$K$5:$K$515,5),-999999)&lt;=-900000),"",IFERROR(IF(INDEX(Database!$BE$5:$BE$515,MATCH(LARGE('Calc (scoring engine)'!$K$5:$K$515,5),'Calc (scoring engine)'!$K$5:$K$515,0))="","—",INDEX(Database!$BE$5:$BE$515,MATCH(LARGE('Calc (scoring engine)'!$K$5:$K$515,5),'Calc (scoring engine)'!$K$5:$K$515,0))),""))</f>
        <v/>
      </c>
      <c r="BA25" s="24">
        <f>IF(OR(5&gt;MAX(3,MIN(15,N($D$18))),IFERROR(LARGE('Calc (scoring engine)'!$K$5:$K$515,5),-999999)&lt;=-900000),"",IFERROR(IF(INDEX(Database!$BF$5:$BF$515,MATCH(LARGE('Calc (scoring engine)'!$K$5:$K$515,5),'Calc (scoring engine)'!$K$5:$K$515,0))="","—",INDEX(Database!$BF$5:$BF$515,MATCH(LARGE('Calc (scoring engine)'!$K$5:$K$515,5),'Calc (scoring engine)'!$K$5:$K$515,0))),""))</f>
        <v/>
      </c>
      <c r="BB25" s="10">
        <f>IF(OR(5&gt;MAX(3,MIN(15,N($D$18))),IFERROR(LARGE('Calc (scoring engine)'!$K$5:$K$515,5),-999999)&lt;=-900000),"",IFERROR(IF(INDEX(Database!$BG$5:$BG$515,MATCH(LARGE('Calc (scoring engine)'!$K$5:$K$515,5),'Calc (scoring engine)'!$K$5:$K$515,0))="","—",INDEX(Database!$BG$5:$BG$515,MATCH(LARGE('Calc (scoring engine)'!$K$5:$K$515,5),'Calc (scoring engine)'!$K$5:$K$515,0))),""))</f>
        <v/>
      </c>
      <c r="BC25" s="10">
        <f>IF(OR(5&gt;MAX(3,MIN(15,N($D$18))),IFERROR(LARGE('Calc (scoring engine)'!$K$5:$K$515,5),-999999)&lt;=-900000),"",IFERROR(IF(INDEX(Database!$BI$5:$BI$515,MATCH(LARGE('Calc (scoring engine)'!$K$5:$K$515,5),'Calc (scoring engine)'!$K$5:$K$515,0))="","—",INDEX(Database!$BI$5:$BI$515,MATCH(LARGE('Calc (scoring engine)'!$K$5:$K$515,5),'Calc (scoring engine)'!$K$5:$K$515,0))),""))</f>
        <v/>
      </c>
      <c r="BD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E25" s="24">
        <f>IF(OR(5&gt;MAX(3,MIN(15,N($D$18))),IFERROR(LARGE('Calc (scoring engine)'!$K$5:$K$515,5),-999999)&lt;=-900000),"",IFERROR(IFERROR(BDP(TEXT(INDEX(Database!$A$5:$A$515,MATCH(LARGE('Calc (scoring engine)'!$K$5:$K$515,5),'Calc (scoring engine)'!$K$5:$K$515,0)),"0")&amp;" HK Equity","PX_TO_SALES_RATIO"),IF(INDEX(Database!$AY$5:$AY$515,MATCH(LARGE('Calc (scoring engine)'!$K$5:$K$515,5),'Calc (scoring engine)'!$K$5:$K$515,0))="","—",INDEX(Database!$AY$5:$AY$515,MATCH(LARGE('Calc (scoring engine)'!$K$5:$K$515,5),'Calc (scoring engine)'!$K$5:$K$515,0)))),""))</f>
        <v/>
      </c>
      <c r="BF25" s="44">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G25" s="10">
        <f>IF(OR(5&gt;MAX(3,MIN(15,N($D$18))),IFERROR(LARGE('Calc (scoring engine)'!$K$5:$K$515,5),-999999)&lt;=-900000),"",IF(IFERROR(INDEX('Calc (scoring engine)'!$B$5:$B$515,MATCH(LARGE('Calc (scoring engine)'!$K$5:$K$515,5),'Calc (scoring engine)'!$K$5:$K$515,0)),0)=1,"same subsector","sector only"))</f>
        <v/>
      </c>
      <c r="BH25" s="44">
        <f>IF(OR(5&gt;MAX(3,MIN(15,N($D$18))),IFERROR(LARGE('Calc (scoring engine)'!$K$5:$K$515,5),-999999)&lt;=-900000),"",ROUND(IFERROR(LARGE('Calc (scoring engine)'!$K$5:$K$515,5),0),0))</f>
        <v/>
      </c>
      <c r="BI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39">
        <f>IF(OR(6&gt;MAX(3,MIN(15,N($D$18))),IFERROR(LARGE('Calc (scoring engine)'!$K$5:$K$515,6),-999999)&lt;=-900000),"",IFERROR(IF(INDEX(Database!$A$5:$A$515,MATCH(LARGE('Calc (scoring engine)'!$K$5:$K$515,6),'Calc (scoring engine)'!$K$5:$K$515,0))="","—",INDEX(Database!$A$5:$A$515,MATCH(LARGE('Calc (scoring engine)'!$K$5:$K$515,6),'Calc (scoring engine)'!$K$5:$K$515,0))),""))</f>
        <v/>
      </c>
      <c r="D26" s="10">
        <f>IF(OR(6&gt;MAX(3,MIN(15,N($D$18))),IFERROR(LARGE('Calc (scoring engine)'!$K$5:$K$515,6),-999999)&lt;=-900000),"",IFERROR(IF(INDEX(Database!$D$5:$D$515,MATCH(LARGE('Calc (scoring engine)'!$K$5:$K$515,6),'Calc (scoring engine)'!$K$5:$K$515,0))="","—",INDEX(Database!$D$5:$D$515,MATCH(LARGE('Calc (scoring engine)'!$K$5:$K$515,6),'Calc (scoring engine)'!$K$5:$K$515,0))),""))</f>
        <v/>
      </c>
      <c r="E26" s="10">
        <f>IF(OR(6&gt;MAX(3,MIN(15,N($D$18))),IFERROR(LARGE('Calc (scoring engine)'!$K$5:$K$515,6),-999999)&lt;=-900000),"",IFERROR(IF(INDEX(Database!$E$5:$E$515,MATCH(LARGE('Calc (scoring engine)'!$K$5:$K$515,6),'Calc (scoring engine)'!$K$5:$K$515,0))="","—",INDEX(Database!$E$5:$E$515,MATCH(LARGE('Calc (scoring engine)'!$K$5:$K$515,6),'Calc (scoring engine)'!$K$5:$K$515,0))),""))</f>
        <v/>
      </c>
      <c r="F26" s="10">
        <f>IF(OR(6&gt;MAX(3,MIN(15,N($D$18))),IFERROR(LARGE('Calc (scoring engine)'!$K$5:$K$515,6),-999999)&lt;=-900000),"",IFERROR(IF(INDEX(Database!$F$5:$F$515,MATCH(LARGE('Calc (scoring engine)'!$K$5:$K$515,6),'Calc (scoring engine)'!$K$5:$K$515,0))="","—",INDEX(Database!$F$5:$F$515,MATCH(LARGE('Calc (scoring engine)'!$K$5:$K$515,6),'Calc (scoring engine)'!$K$5:$K$515,0))),""))</f>
        <v/>
      </c>
      <c r="G26" s="10">
        <f>IF(OR(6&gt;MAX(3,MIN(15,N($D$18))),IFERROR(LARGE('Calc (scoring engine)'!$K$5:$K$515,6),-999999)&lt;=-900000),"",IFERROR(IF(INDEX(Database!$G$5:$G$515,MATCH(LARGE('Calc (scoring engine)'!$K$5:$K$515,6),'Calc (scoring engine)'!$K$5:$K$515,0))="","—",INDEX(Database!$G$5:$G$515,MATCH(LARGE('Calc (scoring engine)'!$K$5:$K$515,6),'Calc (scoring engine)'!$K$5:$K$515,0))),""))</f>
        <v/>
      </c>
      <c r="H26" s="21">
        <f>IF(OR(6&gt;MAX(3,MIN(15,N($D$18))),IFERROR(LARGE('Calc (scoring engine)'!$K$5:$K$515,6),-999999)&lt;=-900000),"",IFERROR(IF(INDEX(Database!$H$5:$H$515,MATCH(LARGE('Calc (scoring engine)'!$K$5:$K$515,6),'Calc (scoring engine)'!$K$5:$K$515,0))="","—",INDEX(Database!$H$5:$H$515,MATCH(LARGE('Calc (scoring engine)'!$K$5:$K$515,6),'Calc (scoring engine)'!$K$5:$K$515,0))),""))</f>
        <v/>
      </c>
      <c r="I26" s="18">
        <f>IF(OR(6&gt;MAX(3,MIN(15,N($D$18))),IFERROR(LARGE('Calc (scoring engine)'!$K$5:$K$515,6),-999999)&lt;=-900000),"",IFERROR(IF(INDEX(Database!$I$5:$I$515,MATCH(LARGE('Calc (scoring engine)'!$K$5:$K$515,6),'Calc (scoring engine)'!$K$5:$K$515,0))="","—",INDEX(Database!$I$5:$I$515,MATCH(LARGE('Calc (scoring engine)'!$K$5:$K$515,6),'Calc (scoring engine)'!$K$5:$K$515,0))),""))</f>
        <v/>
      </c>
      <c r="J26" s="40">
        <f>IF(OR(6&gt;MAX(3,MIN(15,N($D$18))),IFERROR(LARGE('Calc (scoring engine)'!$K$5:$K$515,6),-999999)&lt;=-900000),"",IFERROR(IF(INDEX(Database!$K$5:$K$515,MATCH(LARGE('Calc (scoring engine)'!$K$5:$K$515,6),'Calc (scoring engine)'!$K$5:$K$515,0))="","—",INDEX(Database!$K$5:$K$515,MATCH(LARGE('Calc (scoring engine)'!$K$5:$K$515,6),'Calc (scoring engine)'!$K$5:$K$515,0))),""))</f>
        <v/>
      </c>
      <c r="K26" s="40">
        <f>IF(OR(6&gt;MAX(3,MIN(15,N($D$18))),IFERROR(LARGE('Calc (scoring engine)'!$K$5:$K$515,6),-999999)&lt;=-900000),"",IFERROR(IF(INDEX(Database!$L$5:$L$515,MATCH(LARGE('Calc (scoring engine)'!$K$5:$K$515,6),'Calc (scoring engine)'!$K$5:$K$515,0))="","—",INDEX(Database!$L$5:$L$515,MATCH(LARGE('Calc (scoring engine)'!$K$5:$K$515,6),'Calc (scoring engine)'!$K$5:$K$515,0))),""))</f>
        <v/>
      </c>
      <c r="L26" s="40">
        <f>IF(OR(6&gt;MAX(3,MIN(15,N($D$18))),IFERROR(LARGE('Calc (scoring engine)'!$K$5:$K$515,6),-999999)&lt;=-900000),"",IFERROR(IF(INDEX(Database!$M$5:$M$515,MATCH(LARGE('Calc (scoring engine)'!$K$5:$K$515,6),'Calc (scoring engine)'!$K$5:$K$515,0))="","—",INDEX(Database!$M$5:$M$515,MATCH(LARGE('Calc (scoring engine)'!$K$5:$K$515,6),'Calc (scoring engine)'!$K$5:$K$515,0))),""))</f>
        <v/>
      </c>
      <c r="M26" s="10">
        <f>IF(OR(6&gt;MAX(3,MIN(15,N($D$18))),IFERROR(LARGE('Calc (scoring engine)'!$K$5:$K$515,6),-999999)&lt;=-900000),"",IFERROR(IF(INDEX(Database!$N$5:$N$515,MATCH(LARGE('Calc (scoring engine)'!$K$5:$K$515,6),'Calc (scoring engine)'!$K$5:$K$515,0))="","—",INDEX(Database!$N$5:$N$515,MATCH(LARGE('Calc (scoring engine)'!$K$5:$K$515,6),'Calc (scoring engine)'!$K$5:$K$515,0))),""))</f>
        <v/>
      </c>
      <c r="N26" s="28">
        <f>IF(OR(6&gt;MAX(3,MIN(15,N($D$18))),IFERROR(LARGE('Calc (scoring engine)'!$K$5:$K$515,6),-999999)&lt;=-900000),"",IFERROR(IF(INDEX(Database!$O$5:$O$515,MATCH(LARGE('Calc (scoring engine)'!$K$5:$K$515,6),'Calc (scoring engine)'!$K$5:$K$515,0))="","—",INDEX(Database!$O$5:$O$515,MATCH(LARGE('Calc (scoring engine)'!$K$5:$K$515,6),'Calc (scoring engine)'!$K$5:$K$515,0))),""))</f>
        <v/>
      </c>
      <c r="O26" s="28">
        <f>IF(OR(6&gt;MAX(3,MIN(15,N($D$18))),IFERROR(LARGE('Calc (scoring engine)'!$K$5:$K$515,6),-999999)&lt;=-900000),"",IFERROR(IF(INDEX(Database!$P$5:$P$515,MATCH(LARGE('Calc (scoring engine)'!$K$5:$K$515,6),'Calc (scoring engine)'!$K$5:$K$515,0))="","—",INDEX(Database!$P$5:$P$515,MATCH(LARGE('Calc (scoring engine)'!$K$5:$K$515,6),'Calc (scoring engine)'!$K$5:$K$515,0))),""))</f>
        <v/>
      </c>
      <c r="P26" s="18">
        <f>IF(OR(6&gt;MAX(3,MIN(15,N($D$18))),IFERROR(LARGE('Calc (scoring engine)'!$K$5:$K$515,6),-999999)&lt;=-900000),"",IFERROR(IF(INDEX(Database!$Q$5:$Q$515,MATCH(LARGE('Calc (scoring engine)'!$K$5:$K$515,6),'Calc (scoring engine)'!$K$5:$K$515,0))="","—",INDEX(Database!$Q$5:$Q$515,MATCH(LARGE('Calc (scoring engine)'!$K$5:$K$515,6),'Calc (scoring engine)'!$K$5:$K$515,0))),""))</f>
        <v/>
      </c>
      <c r="Q26" s="26">
        <f>IF(OR(6&gt;MAX(3,MIN(15,N($D$18))),IFERROR(LARGE('Calc (scoring engine)'!$K$5:$K$515,6),-999999)&lt;=-900000),"",IFERROR(IF(INDEX(Database!$S$5:$S$515,MATCH(LARGE('Calc (scoring engine)'!$K$5:$K$515,6),'Calc (scoring engine)'!$K$5:$K$515,0))="","—",INDEX(Database!$S$5:$S$515,MATCH(LARGE('Calc (scoring engine)'!$K$5:$K$515,6),'Calc (scoring engine)'!$K$5:$K$515,0))),""))</f>
        <v/>
      </c>
      <c r="R26" s="41">
        <f>IF(OR(6&gt;MAX(3,MIN(15,N($D$18))),IFERROR(LARGE('Calc (scoring engine)'!$K$5:$K$515,6),-999999)&lt;=-900000),"",IFERROR(IF(INDEX(Database!$T$5:$T$515,MATCH(LARGE('Calc (scoring engine)'!$K$5:$K$515,6),'Calc (scoring engine)'!$K$5:$K$515,0))="","—",INDEX(Database!$T$5:$T$515,MATCH(LARGE('Calc (scoring engine)'!$K$5:$K$515,6),'Calc (scoring engine)'!$K$5:$K$515,0))),""))</f>
        <v/>
      </c>
      <c r="S26" s="42">
        <f>IF(OR(6&gt;MAX(3,MIN(15,N($D$18))),IFERROR(LARGE('Calc (scoring engine)'!$K$5:$K$515,6),-999999)&lt;=-900000),"",IFERROR(IF(INDEX(Database!$U$5:$U$515,MATCH(LARGE('Calc (scoring engine)'!$K$5:$K$515,6),'Calc (scoring engine)'!$K$5:$K$515,0))="","—",INDEX(Database!$U$5:$U$515,MATCH(LARGE('Calc (scoring engine)'!$K$5:$K$515,6),'Calc (scoring engine)'!$K$5:$K$515,0))),""))</f>
        <v/>
      </c>
      <c r="T26" s="28">
        <f>IF(OR(6&gt;MAX(3,MIN(15,N($D$18))),IFERROR(LARGE('Calc (scoring engine)'!$K$5:$K$515,6),-999999)&lt;=-900000),"",IFERROR(IF(INDEX(Database!$V$5:$V$515,MATCH(LARGE('Calc (scoring engine)'!$K$5:$K$515,6),'Calc (scoring engine)'!$K$5:$K$515,0))="","—",INDEX(Database!$V$5:$V$515,MATCH(LARGE('Calc (scoring engine)'!$K$5:$K$515,6),'Calc (scoring engine)'!$K$5:$K$515,0))),""))</f>
        <v/>
      </c>
      <c r="U26" s="10">
        <f>IF(OR(6&gt;MAX(3,MIN(15,N($D$18))),IFERROR(LARGE('Calc (scoring engine)'!$K$5:$K$515,6),-999999)&lt;=-900000),"",IFERROR(IF(INDEX(Database!$W$5:$W$515,MATCH(LARGE('Calc (scoring engine)'!$K$5:$K$515,6),'Calc (scoring engine)'!$K$5:$K$515,0))="","—",INDEX(Database!$W$5:$W$515,MATCH(LARGE('Calc (scoring engine)'!$K$5:$K$515,6),'Calc (scoring engine)'!$K$5:$K$515,0))),""))</f>
        <v/>
      </c>
      <c r="V26" s="28">
        <f>IF(OR(6&gt;MAX(3,MIN(15,N($D$18))),IFERROR(LARGE('Calc (scoring engine)'!$K$5:$K$515,6),-999999)&lt;=-900000),"",IFERROR(IF(INDEX(Database!$Y$5:$Y$515,MATCH(LARGE('Calc (scoring engine)'!$K$5:$K$515,6),'Calc (scoring engine)'!$K$5:$K$515,0))="","—",INDEX(Database!$Y$5:$Y$515,MATCH(LARGE('Calc (scoring engine)'!$K$5:$K$515,6),'Calc (scoring engine)'!$K$5:$K$515,0))),""))</f>
        <v/>
      </c>
      <c r="W26" s="10">
        <f>IF(OR(6&gt;MAX(3,MIN(15,N($D$18))),IFERROR(LARGE('Calc (scoring engine)'!$K$5:$K$515,6),-999999)&lt;=-900000),"",IFERROR(IF(INDEX(Database!$Z$5:$Z$515,MATCH(LARGE('Calc (scoring engine)'!$K$5:$K$515,6),'Calc (scoring engine)'!$K$5:$K$515,0))="","—",INDEX(Database!$Z$5:$Z$515,MATCH(LARGE('Calc (scoring engine)'!$K$5:$K$515,6),'Calc (scoring engine)'!$K$5:$K$515,0))),""))</f>
        <v/>
      </c>
      <c r="X26" s="23">
        <f>IF(OR(6&gt;MAX(3,MIN(15,N($D$18))),IFERROR(LARGE('Calc (scoring engine)'!$K$5:$K$515,6),-999999)&lt;=-900000),"",IFERROR(IF(INDEX(Database!$AA$5:$AA$515,MATCH(LARGE('Calc (scoring engine)'!$K$5:$K$515,6),'Calc (scoring engine)'!$K$5:$K$515,0))="","—",INDEX(Database!$AA$5:$AA$515,MATCH(LARGE('Calc (scoring engine)'!$K$5:$K$515,6),'Calc (scoring engine)'!$K$5:$K$515,0))),""))</f>
        <v/>
      </c>
      <c r="Y26" s="23">
        <f>IF(OR(6&gt;MAX(3,MIN(15,N($D$18))),IFERROR(LARGE('Calc (scoring engine)'!$K$5:$K$515,6),-999999)&lt;=-900000),"",IFERROR(IF(INDEX(Database!$AB$5:$AB$515,MATCH(LARGE('Calc (scoring engine)'!$K$5:$K$515,6),'Calc (scoring engine)'!$K$5:$K$515,0))="","—",INDEX(Database!$AB$5:$AB$515,MATCH(LARGE('Calc (scoring engine)'!$K$5:$K$515,6),'Calc (scoring engine)'!$K$5:$K$515,0))),""))</f>
        <v/>
      </c>
      <c r="Z26" s="23">
        <f>IF(OR(6&gt;MAX(3,MIN(15,N($D$18))),IFERROR(LARGE('Calc (scoring engine)'!$K$5:$K$515,6),-999999)&lt;=-900000),"",IFERROR(IF(INDEX(Database!$AC$5:$AC$515,MATCH(LARGE('Calc (scoring engine)'!$K$5:$K$515,6),'Calc (scoring engine)'!$K$5:$K$515,0))="","—",INDEX(Database!$AC$5:$AC$515,MATCH(LARGE('Calc (scoring engine)'!$K$5:$K$515,6),'Calc (scoring engine)'!$K$5:$K$515,0))),""))</f>
        <v/>
      </c>
      <c r="AA26" s="23">
        <f>IF(OR(6&gt;MAX(3,MIN(15,N($D$18))),IFERROR(LARGE('Calc (scoring engine)'!$K$5:$K$515,6),-999999)&lt;=-900000),"",IFERROR(IF(INDEX(Database!$AD$5:$AD$515,MATCH(LARGE('Calc (scoring engine)'!$K$5:$K$515,6),'Calc (scoring engine)'!$K$5:$K$515,0))="","—",INDEX(Database!$AD$5:$AD$515,MATCH(LARGE('Calc (scoring engine)'!$K$5:$K$515,6),'Calc (scoring engine)'!$K$5:$K$515,0))),""))</f>
        <v/>
      </c>
      <c r="AB26" s="23">
        <f>IF(OR(6&gt;MAX(3,MIN(15,N($D$18))),IFERROR(LARGE('Calc (scoring engine)'!$K$5:$K$515,6),-999999)&lt;=-900000),"",IFERROR(IF(INDEX(Database!$AE$5:$AE$515,MATCH(LARGE('Calc (scoring engine)'!$K$5:$K$515,6),'Calc (scoring engine)'!$K$5:$K$515,0))="","—",INDEX(Database!$AE$5:$AE$515,MATCH(LARGE('Calc (scoring engine)'!$K$5:$K$515,6),'Calc (scoring engine)'!$K$5:$K$515,0))),""))</f>
        <v/>
      </c>
      <c r="AC26" s="23">
        <f>IF(OR(6&gt;MAX(3,MIN(15,N($D$18))),IFERROR(LARGE('Calc (scoring engine)'!$K$5:$K$515,6),-999999)&lt;=-900000),"",IFERROR(IF(INDEX(Database!$AF$5:$AF$515,MATCH(LARGE('Calc (scoring engine)'!$K$5:$K$515,6),'Calc (scoring engine)'!$K$5:$K$515,0))="","—",INDEX(Database!$AF$5:$AF$515,MATCH(LARGE('Calc (scoring engine)'!$K$5:$K$515,6),'Calc (scoring engine)'!$K$5:$K$515,0))),""))</f>
        <v/>
      </c>
      <c r="AD26" s="23">
        <f>IF(OR(6&gt;MAX(3,MIN(15,N($D$18))),IFERROR(LARGE('Calc (scoring engine)'!$K$5:$K$515,6),-999999)&lt;=-900000),"",IFERROR(IF(INDEX(Database!$AG$5:$AG$515,MATCH(LARGE('Calc (scoring engine)'!$K$5:$K$515,6),'Calc (scoring engine)'!$K$5:$K$515,0))="","—",INDEX(Database!$AG$5:$AG$515,MATCH(LARGE('Calc (scoring engine)'!$K$5:$K$515,6),'Calc (scoring engine)'!$K$5:$K$515,0))),""))</f>
        <v/>
      </c>
      <c r="AE26" s="23">
        <f>IF(OR(6&gt;MAX(3,MIN(15,N($D$18))),IFERROR(LARGE('Calc (scoring engine)'!$K$5:$K$515,6),-999999)&lt;=-900000),"",IFERROR(IF(INDEX(Database!$AH$5:$AH$515,MATCH(LARGE('Calc (scoring engine)'!$K$5:$K$515,6),'Calc (scoring engine)'!$K$5:$K$515,0))="","—",INDEX(Database!$AH$5:$AH$515,MATCH(LARGE('Calc (scoring engine)'!$K$5:$K$515,6),'Calc (scoring engine)'!$K$5:$K$515,0))),""))</f>
        <v/>
      </c>
      <c r="AF26" s="23">
        <f>IF(OR(6&gt;MAX(3,MIN(15,N($D$18))),IFERROR(LARGE('Calc (scoring engine)'!$K$5:$K$515,6),-999999)&lt;=-900000),"",IFERROR(IF(INDEX(Database!$AI$5:$AI$515,MATCH(LARGE('Calc (scoring engine)'!$K$5:$K$515,6),'Calc (scoring engine)'!$K$5:$K$515,0))="","—",INDEX(Database!$AI$5:$AI$515,MATCH(LARGE('Calc (scoring engine)'!$K$5:$K$515,6),'Calc (scoring engine)'!$K$5:$K$515,0))),""))</f>
        <v/>
      </c>
      <c r="AG26" s="23">
        <f>IF(OR(6&gt;MAX(3,MIN(15,N($D$18))),IFERROR(LARGE('Calc (scoring engine)'!$K$5:$K$515,6),-999999)&lt;=-900000),"",IFERROR(IF(INDEX(Database!$AJ$5:$AJ$515,MATCH(LARGE('Calc (scoring engine)'!$K$5:$K$515,6),'Calc (scoring engine)'!$K$5:$K$515,0))="","—",INDEX(Database!$AJ$5:$AJ$515,MATCH(LARGE('Calc (scoring engine)'!$K$5:$K$515,6),'Calc (scoring engine)'!$K$5:$K$515,0))),""))</f>
        <v/>
      </c>
      <c r="AH26" s="23">
        <f>IF(OR(6&gt;MAX(3,MIN(15,N($D$18))),IFERROR(LARGE('Calc (scoring engine)'!$K$5:$K$515,6),-999999)&lt;=-900000),"",IFERROR(IF(INDEX(Database!$AK$5:$AK$515,MATCH(LARGE('Calc (scoring engine)'!$K$5:$K$515,6),'Calc (scoring engine)'!$K$5:$K$515,0))="","—",INDEX(Database!$AK$5:$AK$515,MATCH(LARGE('Calc (scoring engine)'!$K$5:$K$515,6),'Calc (scoring engine)'!$K$5:$K$515,0))),""))</f>
        <v/>
      </c>
      <c r="AI26" s="23">
        <f>IF(OR(6&gt;MAX(3,MIN(15,N($D$18))),IFERROR(LARGE('Calc (scoring engine)'!$K$5:$K$515,6),-999999)&lt;=-900000),"",IFERROR(IF(INDEX(Database!$AL$5:$AL$515,MATCH(LARGE('Calc (scoring engine)'!$K$5:$K$515,6),'Calc (scoring engine)'!$K$5:$K$515,0))="","—",INDEX(Database!$AL$5:$AL$515,MATCH(LARGE('Calc (scoring engine)'!$K$5:$K$515,6),'Calc (scoring engine)'!$K$5:$K$515,0))),""))</f>
        <v/>
      </c>
      <c r="AJ26" s="23">
        <f>IF(OR(6&gt;MAX(3,MIN(15,N($D$18))),IFERROR(LARGE('Calc (scoring engine)'!$K$5:$K$515,6),-999999)&lt;=-900000),"",IFERROR(IF(INDEX(Database!$AM$5:$AM$515,MATCH(LARGE('Calc (scoring engine)'!$K$5:$K$515,6),'Calc (scoring engine)'!$K$5:$K$515,0))="","—",INDEX(Database!$AM$5:$AM$515,MATCH(LARGE('Calc (scoring engine)'!$K$5:$K$515,6),'Calc (scoring engine)'!$K$5:$K$515,0))),""))</f>
        <v/>
      </c>
      <c r="AK26" s="23">
        <f>IF(OR(6&gt;MAX(3,MIN(15,N($D$18))),IFERROR(LARGE('Calc (scoring engine)'!$K$5:$K$515,6),-999999)&lt;=-900000),"",IFERROR(IF(INDEX(Database!$AN$5:$AN$515,MATCH(LARGE('Calc (scoring engine)'!$K$5:$K$515,6),'Calc (scoring engine)'!$K$5:$K$515,0))="","—",INDEX(Database!$AN$5:$AN$515,MATCH(LARGE('Calc (scoring engine)'!$K$5:$K$515,6),'Calc (scoring engine)'!$K$5:$K$515,0))),""))</f>
        <v/>
      </c>
      <c r="AL26" s="23">
        <f>IF(OR(6&gt;MAX(3,MIN(15,N($D$18))),IFERROR(LARGE('Calc (scoring engine)'!$K$5:$K$515,6),-999999)&lt;=-900000),"",IFERROR(IF(INDEX(Database!$AO$5:$AO$515,MATCH(LARGE('Calc (scoring engine)'!$K$5:$K$515,6),'Calc (scoring engine)'!$K$5:$K$515,0))="","—",INDEX(Database!$AO$5:$AO$515,MATCH(LARGE('Calc (scoring engine)'!$K$5:$K$515,6),'Calc (scoring engine)'!$K$5:$K$515,0))),""))</f>
        <v/>
      </c>
      <c r="AM26" s="23">
        <f>IF(OR(6&gt;MAX(3,MIN(15,N($D$18))),IFERROR(LARGE('Calc (scoring engine)'!$K$5:$K$515,6),-999999)&lt;=-900000),"",IFERROR(IF(INDEX(Database!$AQ$5:$AQ$515,MATCH(LARGE('Calc (scoring engine)'!$K$5:$K$515,6),'Calc (scoring engine)'!$K$5:$K$515,0))="","—",INDEX(Database!$AQ$5:$AQ$515,MATCH(LARGE('Calc (scoring engine)'!$K$5:$K$515,6),'Calc (scoring engine)'!$K$5:$K$515,0))),""))</f>
        <v/>
      </c>
      <c r="AN26" s="18">
        <f>IF(OR(6&gt;MAX(3,MIN(15,N($D$18))),IFERROR(LARGE('Calc (scoring engine)'!$K$5:$K$515,6),-999999)&lt;=-900000),"",IFERROR(IF(INDEX(Database!$AS$5:$AS$515,MATCH(LARGE('Calc (scoring engine)'!$K$5:$K$515,6),'Calc (scoring engine)'!$K$5:$K$515,0))="","—",INDEX(Database!$AS$5:$AS$515,MATCH(LARGE('Calc (scoring engine)'!$K$5:$K$515,6),'Calc (scoring engine)'!$K$5:$K$515,0))),""))</f>
        <v/>
      </c>
      <c r="AO26" s="18">
        <f>IF(OR(6&gt;MAX(3,MIN(15,N($D$18))),IFERROR(LARGE('Calc (scoring engine)'!$K$5:$K$515,6),-999999)&lt;=-900000),"",IFERROR(IF(INDEX(Database!$AT$5:$AT$515,MATCH(LARGE('Calc (scoring engine)'!$K$5:$K$515,6),'Calc (scoring engine)'!$K$5:$K$515,0))="","—",INDEX(Database!$AT$5:$AT$515,MATCH(LARGE('Calc (scoring engine)'!$K$5:$K$515,6),'Calc (scoring engine)'!$K$5:$K$515,0))),""))</f>
        <v/>
      </c>
      <c r="AP26" s="10">
        <f>IF(OR(6&gt;MAX(3,MIN(15,N($D$18))),IFERROR(LARGE('Calc (scoring engine)'!$K$5:$K$515,6),-999999)&lt;=-900000),"",IFERROR(IF(INDEX(Database!$AU$5:$AU$515,MATCH(LARGE('Calc (scoring engine)'!$K$5:$K$515,6),'Calc (scoring engine)'!$K$5:$K$515,0))="","—",INDEX(Database!$AU$5:$AU$515,MATCH(LARGE('Calc (scoring engine)'!$K$5:$K$515,6),'Calc (scoring engine)'!$K$5:$K$515,0))),""))</f>
        <v/>
      </c>
      <c r="AQ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R26" s="24">
        <f>IF(OR(6&gt;MAX(3,MIN(15,N($D$18))),IFERROR(LARGE('Calc (scoring engine)'!$K$5:$K$515,6),-999999)&lt;=-900000),"",IFERROR(IF(INDEX(Database!$AW$5:$AW$515,MATCH(LARGE('Calc (scoring engine)'!$K$5:$K$515,6),'Calc (scoring engine)'!$K$5:$K$515,0))="","—",INDEX(Database!$AW$5:$AW$515,MATCH(LARGE('Calc (scoring engine)'!$K$5:$K$515,6),'Calc (scoring engine)'!$K$5:$K$515,0))),""))</f>
        <v/>
      </c>
      <c r="AS26" s="24">
        <f>IF(OR(6&gt;MAX(3,MIN(15,N($D$18))),IFERROR(LARGE('Calc (scoring engine)'!$K$5:$K$515,6),-999999)&lt;=-900000),"",IFERROR(IF(INDEX(Database!$AX$5:$AX$515,MATCH(LARGE('Calc (scoring engine)'!$K$5:$K$515,6),'Calc (scoring engine)'!$K$5:$K$515,0))="","—",INDEX(Database!$AX$5:$AX$515,MATCH(LARGE('Calc (scoring engine)'!$K$5:$K$515,6),'Calc (scoring engine)'!$K$5:$K$515,0))),""))</f>
        <v/>
      </c>
      <c r="AT26" s="24">
        <f>IF(OR(6&gt;MAX(3,MIN(15,N($D$18))),IFERROR(LARGE('Calc (scoring engine)'!$K$5:$K$515,6),-999999)&lt;=-900000),"",IFERROR(IF(INDEX(Database!$AY$5:$AY$515,MATCH(LARGE('Calc (scoring engine)'!$K$5:$K$515,6),'Calc (scoring engine)'!$K$5:$K$515,0))="","—",INDEX(Database!$AY$5:$AY$515,MATCH(LARGE('Calc (scoring engine)'!$K$5:$K$515,6),'Calc (scoring engine)'!$K$5:$K$515,0))),""))</f>
        <v/>
      </c>
      <c r="AU26" s="10">
        <f>IF(OR(6&gt;MAX(3,MIN(15,N($D$18))),IFERROR(LARGE('Calc (scoring engine)'!$K$5:$K$515,6),-999999)&lt;=-900000),"",IFERROR(IF(INDEX(Database!$AZ$5:$AZ$515,MATCH(LARGE('Calc (scoring engine)'!$K$5:$K$515,6),'Calc (scoring engine)'!$K$5:$K$515,0))="","—",INDEX(Database!$AZ$5:$AZ$515,MATCH(LARGE('Calc (scoring engine)'!$K$5:$K$515,6),'Calc (scoring engine)'!$K$5:$K$515,0))),""))</f>
        <v/>
      </c>
      <c r="AV26" s="10">
        <f>IF(OR(6&gt;MAX(3,MIN(15,N($D$18))),IFERROR(LARGE('Calc (scoring engine)'!$K$5:$K$515,6),-999999)&lt;=-900000),"",IFERROR(IF(INDEX(Database!$BA$5:$BA$515,MATCH(LARGE('Calc (scoring engine)'!$K$5:$K$515,6),'Calc (scoring engine)'!$K$5:$K$515,0))="","—",INDEX(Database!$BA$5:$BA$515,MATCH(LARGE('Calc (scoring engine)'!$K$5:$K$515,6),'Calc (scoring engine)'!$K$5:$K$515,0))),""))</f>
        <v/>
      </c>
      <c r="AW26" s="23">
        <f>IF(OR(6&gt;MAX(3,MIN(15,N($D$18))),IFERROR(LARGE('Calc (scoring engine)'!$K$5:$K$515,6),-999999)&lt;=-900000),"",IFERROR(IF(INDEX(Database!$BB$5:$BB$515,MATCH(LARGE('Calc (scoring engine)'!$K$5:$K$515,6),'Calc (scoring engine)'!$K$5:$K$515,0))="","—",INDEX(Database!$BB$5:$BB$515,MATCH(LARGE('Calc (scoring engine)'!$K$5:$K$515,6),'Calc (scoring engine)'!$K$5:$K$515,0))),""))</f>
        <v/>
      </c>
      <c r="AX26" s="40">
        <f>IF(OR(6&gt;MAX(3,MIN(15,N($D$18))),IFERROR(LARGE('Calc (scoring engine)'!$K$5:$K$515,6),-999999)&lt;=-900000),"",IFERROR(IF(INDEX(Database!$BC$5:$BC$515,MATCH(LARGE('Calc (scoring engine)'!$K$5:$K$515,6),'Calc (scoring engine)'!$K$5:$K$515,0))="","—",INDEX(Database!$BC$5:$BC$515,MATCH(LARGE('Calc (scoring engine)'!$K$5:$K$515,6),'Calc (scoring engine)'!$K$5:$K$515,0))),""))</f>
        <v/>
      </c>
      <c r="AY26" s="43">
        <f>IF(OR(6&gt;MAX(3,MIN(15,N($D$18))),IFERROR(LARGE('Calc (scoring engine)'!$K$5:$K$515,6),-999999)&lt;=-900000),"",IFERROR(IF(INDEX(Database!$BD$5:$BD$515,MATCH(LARGE('Calc (scoring engine)'!$K$5:$K$515,6),'Calc (scoring engine)'!$K$5:$K$515,0))="","—",INDEX(Database!$BD$5:$BD$515,MATCH(LARGE('Calc (scoring engine)'!$K$5:$K$515,6),'Calc (scoring engine)'!$K$5:$K$515,0))),""))</f>
        <v/>
      </c>
      <c r="AZ26" s="24">
        <f>IF(OR(6&gt;MAX(3,MIN(15,N($D$18))),IFERROR(LARGE('Calc (scoring engine)'!$K$5:$K$515,6),-999999)&lt;=-900000),"",IFERROR(IF(INDEX(Database!$BE$5:$BE$515,MATCH(LARGE('Calc (scoring engine)'!$K$5:$K$515,6),'Calc (scoring engine)'!$K$5:$K$515,0))="","—",INDEX(Database!$BE$5:$BE$515,MATCH(LARGE('Calc (scoring engine)'!$K$5:$K$515,6),'Calc (scoring engine)'!$K$5:$K$515,0))),""))</f>
        <v/>
      </c>
      <c r="BA26" s="24">
        <f>IF(OR(6&gt;MAX(3,MIN(15,N($D$18))),IFERROR(LARGE('Calc (scoring engine)'!$K$5:$K$515,6),-999999)&lt;=-900000),"",IFERROR(IF(INDEX(Database!$BF$5:$BF$515,MATCH(LARGE('Calc (scoring engine)'!$K$5:$K$515,6),'Calc (scoring engine)'!$K$5:$K$515,0))="","—",INDEX(Database!$BF$5:$BF$515,MATCH(LARGE('Calc (scoring engine)'!$K$5:$K$515,6),'Calc (scoring engine)'!$K$5:$K$515,0))),""))</f>
        <v/>
      </c>
      <c r="BB26" s="10">
        <f>IF(OR(6&gt;MAX(3,MIN(15,N($D$18))),IFERROR(LARGE('Calc (scoring engine)'!$K$5:$K$515,6),-999999)&lt;=-900000),"",IFERROR(IF(INDEX(Database!$BG$5:$BG$515,MATCH(LARGE('Calc (scoring engine)'!$K$5:$K$515,6),'Calc (scoring engine)'!$K$5:$K$515,0))="","—",INDEX(Database!$BG$5:$BG$515,MATCH(LARGE('Calc (scoring engine)'!$K$5:$K$515,6),'Calc (scoring engine)'!$K$5:$K$515,0))),""))</f>
        <v/>
      </c>
      <c r="BC26" s="10">
        <f>IF(OR(6&gt;MAX(3,MIN(15,N($D$18))),IFERROR(LARGE('Calc (scoring engine)'!$K$5:$K$515,6),-999999)&lt;=-900000),"",IFERROR(IF(INDEX(Database!$BI$5:$BI$515,MATCH(LARGE('Calc (scoring engine)'!$K$5:$K$515,6),'Calc (scoring engine)'!$K$5:$K$515,0))="","—",INDEX(Database!$BI$5:$BI$515,MATCH(LARGE('Calc (scoring engine)'!$K$5:$K$515,6),'Calc (scoring engine)'!$K$5:$K$515,0))),""))</f>
        <v/>
      </c>
      <c r="BD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E26" s="24">
        <f>IF(OR(6&gt;MAX(3,MIN(15,N($D$18))),IFERROR(LARGE('Calc (scoring engine)'!$K$5:$K$515,6),-999999)&lt;=-900000),"",IFERROR(IFERROR(BDP(TEXT(INDEX(Database!$A$5:$A$515,MATCH(LARGE('Calc (scoring engine)'!$K$5:$K$515,6),'Calc (scoring engine)'!$K$5:$K$515,0)),"0")&amp;" HK Equity","PX_TO_SALES_RATIO"),IF(INDEX(Database!$AY$5:$AY$515,MATCH(LARGE('Calc (scoring engine)'!$K$5:$K$515,6),'Calc (scoring engine)'!$K$5:$K$515,0))="","—",INDEX(Database!$AY$5:$AY$515,MATCH(LARGE('Calc (scoring engine)'!$K$5:$K$515,6),'Calc (scoring engine)'!$K$5:$K$515,0)))),""))</f>
        <v/>
      </c>
      <c r="BF26" s="44">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G26" s="10">
        <f>IF(OR(6&gt;MAX(3,MIN(15,N($D$18))),IFERROR(LARGE('Calc (scoring engine)'!$K$5:$K$515,6),-999999)&lt;=-900000),"",IF(IFERROR(INDEX('Calc (scoring engine)'!$B$5:$B$515,MATCH(LARGE('Calc (scoring engine)'!$K$5:$K$515,6),'Calc (scoring engine)'!$K$5:$K$515,0)),0)=1,"same subsector","sector only"))</f>
        <v/>
      </c>
      <c r="BH26" s="44">
        <f>IF(OR(6&gt;MAX(3,MIN(15,N($D$18))),IFERROR(LARGE('Calc (scoring engine)'!$K$5:$K$515,6),-999999)&lt;=-900000),"",ROUND(IFERROR(LARGE('Calc (scoring engine)'!$K$5:$K$515,6),0),0))</f>
        <v/>
      </c>
      <c r="BI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39">
        <f>IF(OR(7&gt;MAX(3,MIN(15,N($D$18))),IFERROR(LARGE('Calc (scoring engine)'!$K$5:$K$515,7),-999999)&lt;=-900000),"",IFERROR(IF(INDEX(Database!$A$5:$A$515,MATCH(LARGE('Calc (scoring engine)'!$K$5:$K$515,7),'Calc (scoring engine)'!$K$5:$K$515,0))="","—",INDEX(Database!$A$5:$A$515,MATCH(LARGE('Calc (scoring engine)'!$K$5:$K$515,7),'Calc (scoring engine)'!$K$5:$K$515,0))),""))</f>
        <v/>
      </c>
      <c r="D27" s="10">
        <f>IF(OR(7&gt;MAX(3,MIN(15,N($D$18))),IFERROR(LARGE('Calc (scoring engine)'!$K$5:$K$515,7),-999999)&lt;=-900000),"",IFERROR(IF(INDEX(Database!$D$5:$D$515,MATCH(LARGE('Calc (scoring engine)'!$K$5:$K$515,7),'Calc (scoring engine)'!$K$5:$K$515,0))="","—",INDEX(Database!$D$5:$D$515,MATCH(LARGE('Calc (scoring engine)'!$K$5:$K$515,7),'Calc (scoring engine)'!$K$5:$K$515,0))),""))</f>
        <v/>
      </c>
      <c r="E27" s="10">
        <f>IF(OR(7&gt;MAX(3,MIN(15,N($D$18))),IFERROR(LARGE('Calc (scoring engine)'!$K$5:$K$515,7),-999999)&lt;=-900000),"",IFERROR(IF(INDEX(Database!$E$5:$E$515,MATCH(LARGE('Calc (scoring engine)'!$K$5:$K$515,7),'Calc (scoring engine)'!$K$5:$K$515,0))="","—",INDEX(Database!$E$5:$E$515,MATCH(LARGE('Calc (scoring engine)'!$K$5:$K$515,7),'Calc (scoring engine)'!$K$5:$K$515,0))),""))</f>
        <v/>
      </c>
      <c r="F27" s="10">
        <f>IF(OR(7&gt;MAX(3,MIN(15,N($D$18))),IFERROR(LARGE('Calc (scoring engine)'!$K$5:$K$515,7),-999999)&lt;=-900000),"",IFERROR(IF(INDEX(Database!$F$5:$F$515,MATCH(LARGE('Calc (scoring engine)'!$K$5:$K$515,7),'Calc (scoring engine)'!$K$5:$K$515,0))="","—",INDEX(Database!$F$5:$F$515,MATCH(LARGE('Calc (scoring engine)'!$K$5:$K$515,7),'Calc (scoring engine)'!$K$5:$K$515,0))),""))</f>
        <v/>
      </c>
      <c r="G27" s="10">
        <f>IF(OR(7&gt;MAX(3,MIN(15,N($D$18))),IFERROR(LARGE('Calc (scoring engine)'!$K$5:$K$515,7),-999999)&lt;=-900000),"",IFERROR(IF(INDEX(Database!$G$5:$G$515,MATCH(LARGE('Calc (scoring engine)'!$K$5:$K$515,7),'Calc (scoring engine)'!$K$5:$K$515,0))="","—",INDEX(Database!$G$5:$G$515,MATCH(LARGE('Calc (scoring engine)'!$K$5:$K$515,7),'Calc (scoring engine)'!$K$5:$K$515,0))),""))</f>
        <v/>
      </c>
      <c r="H27" s="21">
        <f>IF(OR(7&gt;MAX(3,MIN(15,N($D$18))),IFERROR(LARGE('Calc (scoring engine)'!$K$5:$K$515,7),-999999)&lt;=-900000),"",IFERROR(IF(INDEX(Database!$H$5:$H$515,MATCH(LARGE('Calc (scoring engine)'!$K$5:$K$515,7),'Calc (scoring engine)'!$K$5:$K$515,0))="","—",INDEX(Database!$H$5:$H$515,MATCH(LARGE('Calc (scoring engine)'!$K$5:$K$515,7),'Calc (scoring engine)'!$K$5:$K$515,0))),""))</f>
        <v/>
      </c>
      <c r="I27" s="18">
        <f>IF(OR(7&gt;MAX(3,MIN(15,N($D$18))),IFERROR(LARGE('Calc (scoring engine)'!$K$5:$K$515,7),-999999)&lt;=-900000),"",IFERROR(IF(INDEX(Database!$I$5:$I$515,MATCH(LARGE('Calc (scoring engine)'!$K$5:$K$515,7),'Calc (scoring engine)'!$K$5:$K$515,0))="","—",INDEX(Database!$I$5:$I$515,MATCH(LARGE('Calc (scoring engine)'!$K$5:$K$515,7),'Calc (scoring engine)'!$K$5:$K$515,0))),""))</f>
        <v/>
      </c>
      <c r="J27" s="40">
        <f>IF(OR(7&gt;MAX(3,MIN(15,N($D$18))),IFERROR(LARGE('Calc (scoring engine)'!$K$5:$K$515,7),-999999)&lt;=-900000),"",IFERROR(IF(INDEX(Database!$K$5:$K$515,MATCH(LARGE('Calc (scoring engine)'!$K$5:$K$515,7),'Calc (scoring engine)'!$K$5:$K$515,0))="","—",INDEX(Database!$K$5:$K$515,MATCH(LARGE('Calc (scoring engine)'!$K$5:$K$515,7),'Calc (scoring engine)'!$K$5:$K$515,0))),""))</f>
        <v/>
      </c>
      <c r="K27" s="40">
        <f>IF(OR(7&gt;MAX(3,MIN(15,N($D$18))),IFERROR(LARGE('Calc (scoring engine)'!$K$5:$K$515,7),-999999)&lt;=-900000),"",IFERROR(IF(INDEX(Database!$L$5:$L$515,MATCH(LARGE('Calc (scoring engine)'!$K$5:$K$515,7),'Calc (scoring engine)'!$K$5:$K$515,0))="","—",INDEX(Database!$L$5:$L$515,MATCH(LARGE('Calc (scoring engine)'!$K$5:$K$515,7),'Calc (scoring engine)'!$K$5:$K$515,0))),""))</f>
        <v/>
      </c>
      <c r="L27" s="40">
        <f>IF(OR(7&gt;MAX(3,MIN(15,N($D$18))),IFERROR(LARGE('Calc (scoring engine)'!$K$5:$K$515,7),-999999)&lt;=-900000),"",IFERROR(IF(INDEX(Database!$M$5:$M$515,MATCH(LARGE('Calc (scoring engine)'!$K$5:$K$515,7),'Calc (scoring engine)'!$K$5:$K$515,0))="","—",INDEX(Database!$M$5:$M$515,MATCH(LARGE('Calc (scoring engine)'!$K$5:$K$515,7),'Calc (scoring engine)'!$K$5:$K$515,0))),""))</f>
        <v/>
      </c>
      <c r="M27" s="10">
        <f>IF(OR(7&gt;MAX(3,MIN(15,N($D$18))),IFERROR(LARGE('Calc (scoring engine)'!$K$5:$K$515,7),-999999)&lt;=-900000),"",IFERROR(IF(INDEX(Database!$N$5:$N$515,MATCH(LARGE('Calc (scoring engine)'!$K$5:$K$515,7),'Calc (scoring engine)'!$K$5:$K$515,0))="","—",INDEX(Database!$N$5:$N$515,MATCH(LARGE('Calc (scoring engine)'!$K$5:$K$515,7),'Calc (scoring engine)'!$K$5:$K$515,0))),""))</f>
        <v/>
      </c>
      <c r="N27" s="28">
        <f>IF(OR(7&gt;MAX(3,MIN(15,N($D$18))),IFERROR(LARGE('Calc (scoring engine)'!$K$5:$K$515,7),-999999)&lt;=-900000),"",IFERROR(IF(INDEX(Database!$O$5:$O$515,MATCH(LARGE('Calc (scoring engine)'!$K$5:$K$515,7),'Calc (scoring engine)'!$K$5:$K$515,0))="","—",INDEX(Database!$O$5:$O$515,MATCH(LARGE('Calc (scoring engine)'!$K$5:$K$515,7),'Calc (scoring engine)'!$K$5:$K$515,0))),""))</f>
        <v/>
      </c>
      <c r="O27" s="28">
        <f>IF(OR(7&gt;MAX(3,MIN(15,N($D$18))),IFERROR(LARGE('Calc (scoring engine)'!$K$5:$K$515,7),-999999)&lt;=-900000),"",IFERROR(IF(INDEX(Database!$P$5:$P$515,MATCH(LARGE('Calc (scoring engine)'!$K$5:$K$515,7),'Calc (scoring engine)'!$K$5:$K$515,0))="","—",INDEX(Database!$P$5:$P$515,MATCH(LARGE('Calc (scoring engine)'!$K$5:$K$515,7),'Calc (scoring engine)'!$K$5:$K$515,0))),""))</f>
        <v/>
      </c>
      <c r="P27" s="18">
        <f>IF(OR(7&gt;MAX(3,MIN(15,N($D$18))),IFERROR(LARGE('Calc (scoring engine)'!$K$5:$K$515,7),-999999)&lt;=-900000),"",IFERROR(IF(INDEX(Database!$Q$5:$Q$515,MATCH(LARGE('Calc (scoring engine)'!$K$5:$K$515,7),'Calc (scoring engine)'!$K$5:$K$515,0))="","—",INDEX(Database!$Q$5:$Q$515,MATCH(LARGE('Calc (scoring engine)'!$K$5:$K$515,7),'Calc (scoring engine)'!$K$5:$K$515,0))),""))</f>
        <v/>
      </c>
      <c r="Q27" s="26">
        <f>IF(OR(7&gt;MAX(3,MIN(15,N($D$18))),IFERROR(LARGE('Calc (scoring engine)'!$K$5:$K$515,7),-999999)&lt;=-900000),"",IFERROR(IF(INDEX(Database!$S$5:$S$515,MATCH(LARGE('Calc (scoring engine)'!$K$5:$K$515,7),'Calc (scoring engine)'!$K$5:$K$515,0))="","—",INDEX(Database!$S$5:$S$515,MATCH(LARGE('Calc (scoring engine)'!$K$5:$K$515,7),'Calc (scoring engine)'!$K$5:$K$515,0))),""))</f>
        <v/>
      </c>
      <c r="R27" s="41">
        <f>IF(OR(7&gt;MAX(3,MIN(15,N($D$18))),IFERROR(LARGE('Calc (scoring engine)'!$K$5:$K$515,7),-999999)&lt;=-900000),"",IFERROR(IF(INDEX(Database!$T$5:$T$515,MATCH(LARGE('Calc (scoring engine)'!$K$5:$K$515,7),'Calc (scoring engine)'!$K$5:$K$515,0))="","—",INDEX(Database!$T$5:$T$515,MATCH(LARGE('Calc (scoring engine)'!$K$5:$K$515,7),'Calc (scoring engine)'!$K$5:$K$515,0))),""))</f>
        <v/>
      </c>
      <c r="S27" s="42">
        <f>IF(OR(7&gt;MAX(3,MIN(15,N($D$18))),IFERROR(LARGE('Calc (scoring engine)'!$K$5:$K$515,7),-999999)&lt;=-900000),"",IFERROR(IF(INDEX(Database!$U$5:$U$515,MATCH(LARGE('Calc (scoring engine)'!$K$5:$K$515,7),'Calc (scoring engine)'!$K$5:$K$515,0))="","—",INDEX(Database!$U$5:$U$515,MATCH(LARGE('Calc (scoring engine)'!$K$5:$K$515,7),'Calc (scoring engine)'!$K$5:$K$515,0))),""))</f>
        <v/>
      </c>
      <c r="T27" s="28">
        <f>IF(OR(7&gt;MAX(3,MIN(15,N($D$18))),IFERROR(LARGE('Calc (scoring engine)'!$K$5:$K$515,7),-999999)&lt;=-900000),"",IFERROR(IF(INDEX(Database!$V$5:$V$515,MATCH(LARGE('Calc (scoring engine)'!$K$5:$K$515,7),'Calc (scoring engine)'!$K$5:$K$515,0))="","—",INDEX(Database!$V$5:$V$515,MATCH(LARGE('Calc (scoring engine)'!$K$5:$K$515,7),'Calc (scoring engine)'!$K$5:$K$515,0))),""))</f>
        <v/>
      </c>
      <c r="U27" s="10">
        <f>IF(OR(7&gt;MAX(3,MIN(15,N($D$18))),IFERROR(LARGE('Calc (scoring engine)'!$K$5:$K$515,7),-999999)&lt;=-900000),"",IFERROR(IF(INDEX(Database!$W$5:$W$515,MATCH(LARGE('Calc (scoring engine)'!$K$5:$K$515,7),'Calc (scoring engine)'!$K$5:$K$515,0))="","—",INDEX(Database!$W$5:$W$515,MATCH(LARGE('Calc (scoring engine)'!$K$5:$K$515,7),'Calc (scoring engine)'!$K$5:$K$515,0))),""))</f>
        <v/>
      </c>
      <c r="V27" s="28">
        <f>IF(OR(7&gt;MAX(3,MIN(15,N($D$18))),IFERROR(LARGE('Calc (scoring engine)'!$K$5:$K$515,7),-999999)&lt;=-900000),"",IFERROR(IF(INDEX(Database!$Y$5:$Y$515,MATCH(LARGE('Calc (scoring engine)'!$K$5:$K$515,7),'Calc (scoring engine)'!$K$5:$K$515,0))="","—",INDEX(Database!$Y$5:$Y$515,MATCH(LARGE('Calc (scoring engine)'!$K$5:$K$515,7),'Calc (scoring engine)'!$K$5:$K$515,0))),""))</f>
        <v/>
      </c>
      <c r="W27" s="10">
        <f>IF(OR(7&gt;MAX(3,MIN(15,N($D$18))),IFERROR(LARGE('Calc (scoring engine)'!$K$5:$K$515,7),-999999)&lt;=-900000),"",IFERROR(IF(INDEX(Database!$Z$5:$Z$515,MATCH(LARGE('Calc (scoring engine)'!$K$5:$K$515,7),'Calc (scoring engine)'!$K$5:$K$515,0))="","—",INDEX(Database!$Z$5:$Z$515,MATCH(LARGE('Calc (scoring engine)'!$K$5:$K$515,7),'Calc (scoring engine)'!$K$5:$K$515,0))),""))</f>
        <v/>
      </c>
      <c r="X27" s="23">
        <f>IF(OR(7&gt;MAX(3,MIN(15,N($D$18))),IFERROR(LARGE('Calc (scoring engine)'!$K$5:$K$515,7),-999999)&lt;=-900000),"",IFERROR(IF(INDEX(Database!$AA$5:$AA$515,MATCH(LARGE('Calc (scoring engine)'!$K$5:$K$515,7),'Calc (scoring engine)'!$K$5:$K$515,0))="","—",INDEX(Database!$AA$5:$AA$515,MATCH(LARGE('Calc (scoring engine)'!$K$5:$K$515,7),'Calc (scoring engine)'!$K$5:$K$515,0))),""))</f>
        <v/>
      </c>
      <c r="Y27" s="23">
        <f>IF(OR(7&gt;MAX(3,MIN(15,N($D$18))),IFERROR(LARGE('Calc (scoring engine)'!$K$5:$K$515,7),-999999)&lt;=-900000),"",IFERROR(IF(INDEX(Database!$AB$5:$AB$515,MATCH(LARGE('Calc (scoring engine)'!$K$5:$K$515,7),'Calc (scoring engine)'!$K$5:$K$515,0))="","—",INDEX(Database!$AB$5:$AB$515,MATCH(LARGE('Calc (scoring engine)'!$K$5:$K$515,7),'Calc (scoring engine)'!$K$5:$K$515,0))),""))</f>
        <v/>
      </c>
      <c r="Z27" s="23">
        <f>IF(OR(7&gt;MAX(3,MIN(15,N($D$18))),IFERROR(LARGE('Calc (scoring engine)'!$K$5:$K$515,7),-999999)&lt;=-900000),"",IFERROR(IF(INDEX(Database!$AC$5:$AC$515,MATCH(LARGE('Calc (scoring engine)'!$K$5:$K$515,7),'Calc (scoring engine)'!$K$5:$K$515,0))="","—",INDEX(Database!$AC$5:$AC$515,MATCH(LARGE('Calc (scoring engine)'!$K$5:$K$515,7),'Calc (scoring engine)'!$K$5:$K$515,0))),""))</f>
        <v/>
      </c>
      <c r="AA27" s="23">
        <f>IF(OR(7&gt;MAX(3,MIN(15,N($D$18))),IFERROR(LARGE('Calc (scoring engine)'!$K$5:$K$515,7),-999999)&lt;=-900000),"",IFERROR(IF(INDEX(Database!$AD$5:$AD$515,MATCH(LARGE('Calc (scoring engine)'!$K$5:$K$515,7),'Calc (scoring engine)'!$K$5:$K$515,0))="","—",INDEX(Database!$AD$5:$AD$515,MATCH(LARGE('Calc (scoring engine)'!$K$5:$K$515,7),'Calc (scoring engine)'!$K$5:$K$515,0))),""))</f>
        <v/>
      </c>
      <c r="AB27" s="23">
        <f>IF(OR(7&gt;MAX(3,MIN(15,N($D$18))),IFERROR(LARGE('Calc (scoring engine)'!$K$5:$K$515,7),-999999)&lt;=-900000),"",IFERROR(IF(INDEX(Database!$AE$5:$AE$515,MATCH(LARGE('Calc (scoring engine)'!$K$5:$K$515,7),'Calc (scoring engine)'!$K$5:$K$515,0))="","—",INDEX(Database!$AE$5:$AE$515,MATCH(LARGE('Calc (scoring engine)'!$K$5:$K$515,7),'Calc (scoring engine)'!$K$5:$K$515,0))),""))</f>
        <v/>
      </c>
      <c r="AC27" s="23">
        <f>IF(OR(7&gt;MAX(3,MIN(15,N($D$18))),IFERROR(LARGE('Calc (scoring engine)'!$K$5:$K$515,7),-999999)&lt;=-900000),"",IFERROR(IF(INDEX(Database!$AF$5:$AF$515,MATCH(LARGE('Calc (scoring engine)'!$K$5:$K$515,7),'Calc (scoring engine)'!$K$5:$K$515,0))="","—",INDEX(Database!$AF$5:$AF$515,MATCH(LARGE('Calc (scoring engine)'!$K$5:$K$515,7),'Calc (scoring engine)'!$K$5:$K$515,0))),""))</f>
        <v/>
      </c>
      <c r="AD27" s="23">
        <f>IF(OR(7&gt;MAX(3,MIN(15,N($D$18))),IFERROR(LARGE('Calc (scoring engine)'!$K$5:$K$515,7),-999999)&lt;=-900000),"",IFERROR(IF(INDEX(Database!$AG$5:$AG$515,MATCH(LARGE('Calc (scoring engine)'!$K$5:$K$515,7),'Calc (scoring engine)'!$K$5:$K$515,0))="","—",INDEX(Database!$AG$5:$AG$515,MATCH(LARGE('Calc (scoring engine)'!$K$5:$K$515,7),'Calc (scoring engine)'!$K$5:$K$515,0))),""))</f>
        <v/>
      </c>
      <c r="AE27" s="23">
        <f>IF(OR(7&gt;MAX(3,MIN(15,N($D$18))),IFERROR(LARGE('Calc (scoring engine)'!$K$5:$K$515,7),-999999)&lt;=-900000),"",IFERROR(IF(INDEX(Database!$AH$5:$AH$515,MATCH(LARGE('Calc (scoring engine)'!$K$5:$K$515,7),'Calc (scoring engine)'!$K$5:$K$515,0))="","—",INDEX(Database!$AH$5:$AH$515,MATCH(LARGE('Calc (scoring engine)'!$K$5:$K$515,7),'Calc (scoring engine)'!$K$5:$K$515,0))),""))</f>
        <v/>
      </c>
      <c r="AF27" s="23">
        <f>IF(OR(7&gt;MAX(3,MIN(15,N($D$18))),IFERROR(LARGE('Calc (scoring engine)'!$K$5:$K$515,7),-999999)&lt;=-900000),"",IFERROR(IF(INDEX(Database!$AI$5:$AI$515,MATCH(LARGE('Calc (scoring engine)'!$K$5:$K$515,7),'Calc (scoring engine)'!$K$5:$K$515,0))="","—",INDEX(Database!$AI$5:$AI$515,MATCH(LARGE('Calc (scoring engine)'!$K$5:$K$515,7),'Calc (scoring engine)'!$K$5:$K$515,0))),""))</f>
        <v/>
      </c>
      <c r="AG27" s="23">
        <f>IF(OR(7&gt;MAX(3,MIN(15,N($D$18))),IFERROR(LARGE('Calc (scoring engine)'!$K$5:$K$515,7),-999999)&lt;=-900000),"",IFERROR(IF(INDEX(Database!$AJ$5:$AJ$515,MATCH(LARGE('Calc (scoring engine)'!$K$5:$K$515,7),'Calc (scoring engine)'!$K$5:$K$515,0))="","—",INDEX(Database!$AJ$5:$AJ$515,MATCH(LARGE('Calc (scoring engine)'!$K$5:$K$515,7),'Calc (scoring engine)'!$K$5:$K$515,0))),""))</f>
        <v/>
      </c>
      <c r="AH27" s="23">
        <f>IF(OR(7&gt;MAX(3,MIN(15,N($D$18))),IFERROR(LARGE('Calc (scoring engine)'!$K$5:$K$515,7),-999999)&lt;=-900000),"",IFERROR(IF(INDEX(Database!$AK$5:$AK$515,MATCH(LARGE('Calc (scoring engine)'!$K$5:$K$515,7),'Calc (scoring engine)'!$K$5:$K$515,0))="","—",INDEX(Database!$AK$5:$AK$515,MATCH(LARGE('Calc (scoring engine)'!$K$5:$K$515,7),'Calc (scoring engine)'!$K$5:$K$515,0))),""))</f>
        <v/>
      </c>
      <c r="AI27" s="23">
        <f>IF(OR(7&gt;MAX(3,MIN(15,N($D$18))),IFERROR(LARGE('Calc (scoring engine)'!$K$5:$K$515,7),-999999)&lt;=-900000),"",IFERROR(IF(INDEX(Database!$AL$5:$AL$515,MATCH(LARGE('Calc (scoring engine)'!$K$5:$K$515,7),'Calc (scoring engine)'!$K$5:$K$515,0))="","—",INDEX(Database!$AL$5:$AL$515,MATCH(LARGE('Calc (scoring engine)'!$K$5:$K$515,7),'Calc (scoring engine)'!$K$5:$K$515,0))),""))</f>
        <v/>
      </c>
      <c r="AJ27" s="23">
        <f>IF(OR(7&gt;MAX(3,MIN(15,N($D$18))),IFERROR(LARGE('Calc (scoring engine)'!$K$5:$K$515,7),-999999)&lt;=-900000),"",IFERROR(IF(INDEX(Database!$AM$5:$AM$515,MATCH(LARGE('Calc (scoring engine)'!$K$5:$K$515,7),'Calc (scoring engine)'!$K$5:$K$515,0))="","—",INDEX(Database!$AM$5:$AM$515,MATCH(LARGE('Calc (scoring engine)'!$K$5:$K$515,7),'Calc (scoring engine)'!$K$5:$K$515,0))),""))</f>
        <v/>
      </c>
      <c r="AK27" s="23">
        <f>IF(OR(7&gt;MAX(3,MIN(15,N($D$18))),IFERROR(LARGE('Calc (scoring engine)'!$K$5:$K$515,7),-999999)&lt;=-900000),"",IFERROR(IF(INDEX(Database!$AN$5:$AN$515,MATCH(LARGE('Calc (scoring engine)'!$K$5:$K$515,7),'Calc (scoring engine)'!$K$5:$K$515,0))="","—",INDEX(Database!$AN$5:$AN$515,MATCH(LARGE('Calc (scoring engine)'!$K$5:$K$515,7),'Calc (scoring engine)'!$K$5:$K$515,0))),""))</f>
        <v/>
      </c>
      <c r="AL27" s="23">
        <f>IF(OR(7&gt;MAX(3,MIN(15,N($D$18))),IFERROR(LARGE('Calc (scoring engine)'!$K$5:$K$515,7),-999999)&lt;=-900000),"",IFERROR(IF(INDEX(Database!$AO$5:$AO$515,MATCH(LARGE('Calc (scoring engine)'!$K$5:$K$515,7),'Calc (scoring engine)'!$K$5:$K$515,0))="","—",INDEX(Database!$AO$5:$AO$515,MATCH(LARGE('Calc (scoring engine)'!$K$5:$K$515,7),'Calc (scoring engine)'!$K$5:$K$515,0))),""))</f>
        <v/>
      </c>
      <c r="AM27" s="23">
        <f>IF(OR(7&gt;MAX(3,MIN(15,N($D$18))),IFERROR(LARGE('Calc (scoring engine)'!$K$5:$K$515,7),-999999)&lt;=-900000),"",IFERROR(IF(INDEX(Database!$AQ$5:$AQ$515,MATCH(LARGE('Calc (scoring engine)'!$K$5:$K$515,7),'Calc (scoring engine)'!$K$5:$K$515,0))="","—",INDEX(Database!$AQ$5:$AQ$515,MATCH(LARGE('Calc (scoring engine)'!$K$5:$K$515,7),'Calc (scoring engine)'!$K$5:$K$515,0))),""))</f>
        <v/>
      </c>
      <c r="AN27" s="18">
        <f>IF(OR(7&gt;MAX(3,MIN(15,N($D$18))),IFERROR(LARGE('Calc (scoring engine)'!$K$5:$K$515,7),-999999)&lt;=-900000),"",IFERROR(IF(INDEX(Database!$AS$5:$AS$515,MATCH(LARGE('Calc (scoring engine)'!$K$5:$K$515,7),'Calc (scoring engine)'!$K$5:$K$515,0))="","—",INDEX(Database!$AS$5:$AS$515,MATCH(LARGE('Calc (scoring engine)'!$K$5:$K$515,7),'Calc (scoring engine)'!$K$5:$K$515,0))),""))</f>
        <v/>
      </c>
      <c r="AO27" s="18">
        <f>IF(OR(7&gt;MAX(3,MIN(15,N($D$18))),IFERROR(LARGE('Calc (scoring engine)'!$K$5:$K$515,7),-999999)&lt;=-900000),"",IFERROR(IF(INDEX(Database!$AT$5:$AT$515,MATCH(LARGE('Calc (scoring engine)'!$K$5:$K$515,7),'Calc (scoring engine)'!$K$5:$K$515,0))="","—",INDEX(Database!$AT$5:$AT$515,MATCH(LARGE('Calc (scoring engine)'!$K$5:$K$515,7),'Calc (scoring engine)'!$K$5:$K$515,0))),""))</f>
        <v/>
      </c>
      <c r="AP27" s="10">
        <f>IF(OR(7&gt;MAX(3,MIN(15,N($D$18))),IFERROR(LARGE('Calc (scoring engine)'!$K$5:$K$515,7),-999999)&lt;=-900000),"",IFERROR(IF(INDEX(Database!$AU$5:$AU$515,MATCH(LARGE('Calc (scoring engine)'!$K$5:$K$515,7),'Calc (scoring engine)'!$K$5:$K$515,0))="","—",INDEX(Database!$AU$5:$AU$515,MATCH(LARGE('Calc (scoring engine)'!$K$5:$K$515,7),'Calc (scoring engine)'!$K$5:$K$515,0))),""))</f>
        <v/>
      </c>
      <c r="AQ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R27" s="24">
        <f>IF(OR(7&gt;MAX(3,MIN(15,N($D$18))),IFERROR(LARGE('Calc (scoring engine)'!$K$5:$K$515,7),-999999)&lt;=-900000),"",IFERROR(IF(INDEX(Database!$AW$5:$AW$515,MATCH(LARGE('Calc (scoring engine)'!$K$5:$K$515,7),'Calc (scoring engine)'!$K$5:$K$515,0))="","—",INDEX(Database!$AW$5:$AW$515,MATCH(LARGE('Calc (scoring engine)'!$K$5:$K$515,7),'Calc (scoring engine)'!$K$5:$K$515,0))),""))</f>
        <v/>
      </c>
      <c r="AS27" s="24">
        <f>IF(OR(7&gt;MAX(3,MIN(15,N($D$18))),IFERROR(LARGE('Calc (scoring engine)'!$K$5:$K$515,7),-999999)&lt;=-900000),"",IFERROR(IF(INDEX(Database!$AX$5:$AX$515,MATCH(LARGE('Calc (scoring engine)'!$K$5:$K$515,7),'Calc (scoring engine)'!$K$5:$K$515,0))="","—",INDEX(Database!$AX$5:$AX$515,MATCH(LARGE('Calc (scoring engine)'!$K$5:$K$515,7),'Calc (scoring engine)'!$K$5:$K$515,0))),""))</f>
        <v/>
      </c>
      <c r="AT27" s="24">
        <f>IF(OR(7&gt;MAX(3,MIN(15,N($D$18))),IFERROR(LARGE('Calc (scoring engine)'!$K$5:$K$515,7),-999999)&lt;=-900000),"",IFERROR(IF(INDEX(Database!$AY$5:$AY$515,MATCH(LARGE('Calc (scoring engine)'!$K$5:$K$515,7),'Calc (scoring engine)'!$K$5:$K$515,0))="","—",INDEX(Database!$AY$5:$AY$515,MATCH(LARGE('Calc (scoring engine)'!$K$5:$K$515,7),'Calc (scoring engine)'!$K$5:$K$515,0))),""))</f>
        <v/>
      </c>
      <c r="AU27" s="10">
        <f>IF(OR(7&gt;MAX(3,MIN(15,N($D$18))),IFERROR(LARGE('Calc (scoring engine)'!$K$5:$K$515,7),-999999)&lt;=-900000),"",IFERROR(IF(INDEX(Database!$AZ$5:$AZ$515,MATCH(LARGE('Calc (scoring engine)'!$K$5:$K$515,7),'Calc (scoring engine)'!$K$5:$K$515,0))="","—",INDEX(Database!$AZ$5:$AZ$515,MATCH(LARGE('Calc (scoring engine)'!$K$5:$K$515,7),'Calc (scoring engine)'!$K$5:$K$515,0))),""))</f>
        <v/>
      </c>
      <c r="AV27" s="10">
        <f>IF(OR(7&gt;MAX(3,MIN(15,N($D$18))),IFERROR(LARGE('Calc (scoring engine)'!$K$5:$K$515,7),-999999)&lt;=-900000),"",IFERROR(IF(INDEX(Database!$BA$5:$BA$515,MATCH(LARGE('Calc (scoring engine)'!$K$5:$K$515,7),'Calc (scoring engine)'!$K$5:$K$515,0))="","—",INDEX(Database!$BA$5:$BA$515,MATCH(LARGE('Calc (scoring engine)'!$K$5:$K$515,7),'Calc (scoring engine)'!$K$5:$K$515,0))),""))</f>
        <v/>
      </c>
      <c r="AW27" s="23">
        <f>IF(OR(7&gt;MAX(3,MIN(15,N($D$18))),IFERROR(LARGE('Calc (scoring engine)'!$K$5:$K$515,7),-999999)&lt;=-900000),"",IFERROR(IF(INDEX(Database!$BB$5:$BB$515,MATCH(LARGE('Calc (scoring engine)'!$K$5:$K$515,7),'Calc (scoring engine)'!$K$5:$K$515,0))="","—",INDEX(Database!$BB$5:$BB$515,MATCH(LARGE('Calc (scoring engine)'!$K$5:$K$515,7),'Calc (scoring engine)'!$K$5:$K$515,0))),""))</f>
        <v/>
      </c>
      <c r="AX27" s="40">
        <f>IF(OR(7&gt;MAX(3,MIN(15,N($D$18))),IFERROR(LARGE('Calc (scoring engine)'!$K$5:$K$515,7),-999999)&lt;=-900000),"",IFERROR(IF(INDEX(Database!$BC$5:$BC$515,MATCH(LARGE('Calc (scoring engine)'!$K$5:$K$515,7),'Calc (scoring engine)'!$K$5:$K$515,0))="","—",INDEX(Database!$BC$5:$BC$515,MATCH(LARGE('Calc (scoring engine)'!$K$5:$K$515,7),'Calc (scoring engine)'!$K$5:$K$515,0))),""))</f>
        <v/>
      </c>
      <c r="AY27" s="43">
        <f>IF(OR(7&gt;MAX(3,MIN(15,N($D$18))),IFERROR(LARGE('Calc (scoring engine)'!$K$5:$K$515,7),-999999)&lt;=-900000),"",IFERROR(IF(INDEX(Database!$BD$5:$BD$515,MATCH(LARGE('Calc (scoring engine)'!$K$5:$K$515,7),'Calc (scoring engine)'!$K$5:$K$515,0))="","—",INDEX(Database!$BD$5:$BD$515,MATCH(LARGE('Calc (scoring engine)'!$K$5:$K$515,7),'Calc (scoring engine)'!$K$5:$K$515,0))),""))</f>
        <v/>
      </c>
      <c r="AZ27" s="24">
        <f>IF(OR(7&gt;MAX(3,MIN(15,N($D$18))),IFERROR(LARGE('Calc (scoring engine)'!$K$5:$K$515,7),-999999)&lt;=-900000),"",IFERROR(IF(INDEX(Database!$BE$5:$BE$515,MATCH(LARGE('Calc (scoring engine)'!$K$5:$K$515,7),'Calc (scoring engine)'!$K$5:$K$515,0))="","—",INDEX(Database!$BE$5:$BE$515,MATCH(LARGE('Calc (scoring engine)'!$K$5:$K$515,7),'Calc (scoring engine)'!$K$5:$K$515,0))),""))</f>
        <v/>
      </c>
      <c r="BA27" s="24">
        <f>IF(OR(7&gt;MAX(3,MIN(15,N($D$18))),IFERROR(LARGE('Calc (scoring engine)'!$K$5:$K$515,7),-999999)&lt;=-900000),"",IFERROR(IF(INDEX(Database!$BF$5:$BF$515,MATCH(LARGE('Calc (scoring engine)'!$K$5:$K$515,7),'Calc (scoring engine)'!$K$5:$K$515,0))="","—",INDEX(Database!$BF$5:$BF$515,MATCH(LARGE('Calc (scoring engine)'!$K$5:$K$515,7),'Calc (scoring engine)'!$K$5:$K$515,0))),""))</f>
        <v/>
      </c>
      <c r="BB27" s="10">
        <f>IF(OR(7&gt;MAX(3,MIN(15,N($D$18))),IFERROR(LARGE('Calc (scoring engine)'!$K$5:$K$515,7),-999999)&lt;=-900000),"",IFERROR(IF(INDEX(Database!$BG$5:$BG$515,MATCH(LARGE('Calc (scoring engine)'!$K$5:$K$515,7),'Calc (scoring engine)'!$K$5:$K$515,0))="","—",INDEX(Database!$BG$5:$BG$515,MATCH(LARGE('Calc (scoring engine)'!$K$5:$K$515,7),'Calc (scoring engine)'!$K$5:$K$515,0))),""))</f>
        <v/>
      </c>
      <c r="BC27" s="10">
        <f>IF(OR(7&gt;MAX(3,MIN(15,N($D$18))),IFERROR(LARGE('Calc (scoring engine)'!$K$5:$K$515,7),-999999)&lt;=-900000),"",IFERROR(IF(INDEX(Database!$BI$5:$BI$515,MATCH(LARGE('Calc (scoring engine)'!$K$5:$K$515,7),'Calc (scoring engine)'!$K$5:$K$515,0))="","—",INDEX(Database!$BI$5:$BI$515,MATCH(LARGE('Calc (scoring engine)'!$K$5:$K$515,7),'Calc (scoring engine)'!$K$5:$K$515,0))),""))</f>
        <v/>
      </c>
      <c r="BD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E27" s="24">
        <f>IF(OR(7&gt;MAX(3,MIN(15,N($D$18))),IFERROR(LARGE('Calc (scoring engine)'!$K$5:$K$515,7),-999999)&lt;=-900000),"",IFERROR(IFERROR(BDP(TEXT(INDEX(Database!$A$5:$A$515,MATCH(LARGE('Calc (scoring engine)'!$K$5:$K$515,7),'Calc (scoring engine)'!$K$5:$K$515,0)),"0")&amp;" HK Equity","PX_TO_SALES_RATIO"),IF(INDEX(Database!$AY$5:$AY$515,MATCH(LARGE('Calc (scoring engine)'!$K$5:$K$515,7),'Calc (scoring engine)'!$K$5:$K$515,0))="","—",INDEX(Database!$AY$5:$AY$515,MATCH(LARGE('Calc (scoring engine)'!$K$5:$K$515,7),'Calc (scoring engine)'!$K$5:$K$515,0)))),""))</f>
        <v/>
      </c>
      <c r="BF27" s="44">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G27" s="10">
        <f>IF(OR(7&gt;MAX(3,MIN(15,N($D$18))),IFERROR(LARGE('Calc (scoring engine)'!$K$5:$K$515,7),-999999)&lt;=-900000),"",IF(IFERROR(INDEX('Calc (scoring engine)'!$B$5:$B$515,MATCH(LARGE('Calc (scoring engine)'!$K$5:$K$515,7),'Calc (scoring engine)'!$K$5:$K$515,0)),0)=1,"same subsector","sector only"))</f>
        <v/>
      </c>
      <c r="BH27" s="44">
        <f>IF(OR(7&gt;MAX(3,MIN(15,N($D$18))),IFERROR(LARGE('Calc (scoring engine)'!$K$5:$K$515,7),-999999)&lt;=-900000),"",ROUND(IFERROR(LARGE('Calc (scoring engine)'!$K$5:$K$515,7),0),0))</f>
        <v/>
      </c>
      <c r="BI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39">
        <f>IF(OR(8&gt;MAX(3,MIN(15,N($D$18))),IFERROR(LARGE('Calc (scoring engine)'!$K$5:$K$515,8),-999999)&lt;=-900000),"",IFERROR(IF(INDEX(Database!$A$5:$A$515,MATCH(LARGE('Calc (scoring engine)'!$K$5:$K$515,8),'Calc (scoring engine)'!$K$5:$K$515,0))="","—",INDEX(Database!$A$5:$A$515,MATCH(LARGE('Calc (scoring engine)'!$K$5:$K$515,8),'Calc (scoring engine)'!$K$5:$K$515,0))),""))</f>
        <v/>
      </c>
      <c r="D28" s="10">
        <f>IF(OR(8&gt;MAX(3,MIN(15,N($D$18))),IFERROR(LARGE('Calc (scoring engine)'!$K$5:$K$515,8),-999999)&lt;=-900000),"",IFERROR(IF(INDEX(Database!$D$5:$D$515,MATCH(LARGE('Calc (scoring engine)'!$K$5:$K$515,8),'Calc (scoring engine)'!$K$5:$K$515,0))="","—",INDEX(Database!$D$5:$D$515,MATCH(LARGE('Calc (scoring engine)'!$K$5:$K$515,8),'Calc (scoring engine)'!$K$5:$K$515,0))),""))</f>
        <v/>
      </c>
      <c r="E28" s="10">
        <f>IF(OR(8&gt;MAX(3,MIN(15,N($D$18))),IFERROR(LARGE('Calc (scoring engine)'!$K$5:$K$515,8),-999999)&lt;=-900000),"",IFERROR(IF(INDEX(Database!$E$5:$E$515,MATCH(LARGE('Calc (scoring engine)'!$K$5:$K$515,8),'Calc (scoring engine)'!$K$5:$K$515,0))="","—",INDEX(Database!$E$5:$E$515,MATCH(LARGE('Calc (scoring engine)'!$K$5:$K$515,8),'Calc (scoring engine)'!$K$5:$K$515,0))),""))</f>
        <v/>
      </c>
      <c r="F28" s="10">
        <f>IF(OR(8&gt;MAX(3,MIN(15,N($D$18))),IFERROR(LARGE('Calc (scoring engine)'!$K$5:$K$515,8),-999999)&lt;=-900000),"",IFERROR(IF(INDEX(Database!$F$5:$F$515,MATCH(LARGE('Calc (scoring engine)'!$K$5:$K$515,8),'Calc (scoring engine)'!$K$5:$K$515,0))="","—",INDEX(Database!$F$5:$F$515,MATCH(LARGE('Calc (scoring engine)'!$K$5:$K$515,8),'Calc (scoring engine)'!$K$5:$K$515,0))),""))</f>
        <v/>
      </c>
      <c r="G28" s="10">
        <f>IF(OR(8&gt;MAX(3,MIN(15,N($D$18))),IFERROR(LARGE('Calc (scoring engine)'!$K$5:$K$515,8),-999999)&lt;=-900000),"",IFERROR(IF(INDEX(Database!$G$5:$G$515,MATCH(LARGE('Calc (scoring engine)'!$K$5:$K$515,8),'Calc (scoring engine)'!$K$5:$K$515,0))="","—",INDEX(Database!$G$5:$G$515,MATCH(LARGE('Calc (scoring engine)'!$K$5:$K$515,8),'Calc (scoring engine)'!$K$5:$K$515,0))),""))</f>
        <v/>
      </c>
      <c r="H28" s="21">
        <f>IF(OR(8&gt;MAX(3,MIN(15,N($D$18))),IFERROR(LARGE('Calc (scoring engine)'!$K$5:$K$515,8),-999999)&lt;=-900000),"",IFERROR(IF(INDEX(Database!$H$5:$H$515,MATCH(LARGE('Calc (scoring engine)'!$K$5:$K$515,8),'Calc (scoring engine)'!$K$5:$K$515,0))="","—",INDEX(Database!$H$5:$H$515,MATCH(LARGE('Calc (scoring engine)'!$K$5:$K$515,8),'Calc (scoring engine)'!$K$5:$K$515,0))),""))</f>
        <v/>
      </c>
      <c r="I28" s="18">
        <f>IF(OR(8&gt;MAX(3,MIN(15,N($D$18))),IFERROR(LARGE('Calc (scoring engine)'!$K$5:$K$515,8),-999999)&lt;=-900000),"",IFERROR(IF(INDEX(Database!$I$5:$I$515,MATCH(LARGE('Calc (scoring engine)'!$K$5:$K$515,8),'Calc (scoring engine)'!$K$5:$K$515,0))="","—",INDEX(Database!$I$5:$I$515,MATCH(LARGE('Calc (scoring engine)'!$K$5:$K$515,8),'Calc (scoring engine)'!$K$5:$K$515,0))),""))</f>
        <v/>
      </c>
      <c r="J28" s="40">
        <f>IF(OR(8&gt;MAX(3,MIN(15,N($D$18))),IFERROR(LARGE('Calc (scoring engine)'!$K$5:$K$515,8),-999999)&lt;=-900000),"",IFERROR(IF(INDEX(Database!$K$5:$K$515,MATCH(LARGE('Calc (scoring engine)'!$K$5:$K$515,8),'Calc (scoring engine)'!$K$5:$K$515,0))="","—",INDEX(Database!$K$5:$K$515,MATCH(LARGE('Calc (scoring engine)'!$K$5:$K$515,8),'Calc (scoring engine)'!$K$5:$K$515,0))),""))</f>
        <v/>
      </c>
      <c r="K28" s="40">
        <f>IF(OR(8&gt;MAX(3,MIN(15,N($D$18))),IFERROR(LARGE('Calc (scoring engine)'!$K$5:$K$515,8),-999999)&lt;=-900000),"",IFERROR(IF(INDEX(Database!$L$5:$L$515,MATCH(LARGE('Calc (scoring engine)'!$K$5:$K$515,8),'Calc (scoring engine)'!$K$5:$K$515,0))="","—",INDEX(Database!$L$5:$L$515,MATCH(LARGE('Calc (scoring engine)'!$K$5:$K$515,8),'Calc (scoring engine)'!$K$5:$K$515,0))),""))</f>
        <v/>
      </c>
      <c r="L28" s="40">
        <f>IF(OR(8&gt;MAX(3,MIN(15,N($D$18))),IFERROR(LARGE('Calc (scoring engine)'!$K$5:$K$515,8),-999999)&lt;=-900000),"",IFERROR(IF(INDEX(Database!$M$5:$M$515,MATCH(LARGE('Calc (scoring engine)'!$K$5:$K$515,8),'Calc (scoring engine)'!$K$5:$K$515,0))="","—",INDEX(Database!$M$5:$M$515,MATCH(LARGE('Calc (scoring engine)'!$K$5:$K$515,8),'Calc (scoring engine)'!$K$5:$K$515,0))),""))</f>
        <v/>
      </c>
      <c r="M28" s="10">
        <f>IF(OR(8&gt;MAX(3,MIN(15,N($D$18))),IFERROR(LARGE('Calc (scoring engine)'!$K$5:$K$515,8),-999999)&lt;=-900000),"",IFERROR(IF(INDEX(Database!$N$5:$N$515,MATCH(LARGE('Calc (scoring engine)'!$K$5:$K$515,8),'Calc (scoring engine)'!$K$5:$K$515,0))="","—",INDEX(Database!$N$5:$N$515,MATCH(LARGE('Calc (scoring engine)'!$K$5:$K$515,8),'Calc (scoring engine)'!$K$5:$K$515,0))),""))</f>
        <v/>
      </c>
      <c r="N28" s="28">
        <f>IF(OR(8&gt;MAX(3,MIN(15,N($D$18))),IFERROR(LARGE('Calc (scoring engine)'!$K$5:$K$515,8),-999999)&lt;=-900000),"",IFERROR(IF(INDEX(Database!$O$5:$O$515,MATCH(LARGE('Calc (scoring engine)'!$K$5:$K$515,8),'Calc (scoring engine)'!$K$5:$K$515,0))="","—",INDEX(Database!$O$5:$O$515,MATCH(LARGE('Calc (scoring engine)'!$K$5:$K$515,8),'Calc (scoring engine)'!$K$5:$K$515,0))),""))</f>
        <v/>
      </c>
      <c r="O28" s="28">
        <f>IF(OR(8&gt;MAX(3,MIN(15,N($D$18))),IFERROR(LARGE('Calc (scoring engine)'!$K$5:$K$515,8),-999999)&lt;=-900000),"",IFERROR(IF(INDEX(Database!$P$5:$P$515,MATCH(LARGE('Calc (scoring engine)'!$K$5:$K$515,8),'Calc (scoring engine)'!$K$5:$K$515,0))="","—",INDEX(Database!$P$5:$P$515,MATCH(LARGE('Calc (scoring engine)'!$K$5:$K$515,8),'Calc (scoring engine)'!$K$5:$K$515,0))),""))</f>
        <v/>
      </c>
      <c r="P28" s="18">
        <f>IF(OR(8&gt;MAX(3,MIN(15,N($D$18))),IFERROR(LARGE('Calc (scoring engine)'!$K$5:$K$515,8),-999999)&lt;=-900000),"",IFERROR(IF(INDEX(Database!$Q$5:$Q$515,MATCH(LARGE('Calc (scoring engine)'!$K$5:$K$515,8),'Calc (scoring engine)'!$K$5:$K$515,0))="","—",INDEX(Database!$Q$5:$Q$515,MATCH(LARGE('Calc (scoring engine)'!$K$5:$K$515,8),'Calc (scoring engine)'!$K$5:$K$515,0))),""))</f>
        <v/>
      </c>
      <c r="Q28" s="26">
        <f>IF(OR(8&gt;MAX(3,MIN(15,N($D$18))),IFERROR(LARGE('Calc (scoring engine)'!$K$5:$K$515,8),-999999)&lt;=-900000),"",IFERROR(IF(INDEX(Database!$S$5:$S$515,MATCH(LARGE('Calc (scoring engine)'!$K$5:$K$515,8),'Calc (scoring engine)'!$K$5:$K$515,0))="","—",INDEX(Database!$S$5:$S$515,MATCH(LARGE('Calc (scoring engine)'!$K$5:$K$515,8),'Calc (scoring engine)'!$K$5:$K$515,0))),""))</f>
        <v/>
      </c>
      <c r="R28" s="41">
        <f>IF(OR(8&gt;MAX(3,MIN(15,N($D$18))),IFERROR(LARGE('Calc (scoring engine)'!$K$5:$K$515,8),-999999)&lt;=-900000),"",IFERROR(IF(INDEX(Database!$T$5:$T$515,MATCH(LARGE('Calc (scoring engine)'!$K$5:$K$515,8),'Calc (scoring engine)'!$K$5:$K$515,0))="","—",INDEX(Database!$T$5:$T$515,MATCH(LARGE('Calc (scoring engine)'!$K$5:$K$515,8),'Calc (scoring engine)'!$K$5:$K$515,0))),""))</f>
        <v/>
      </c>
      <c r="S28" s="42">
        <f>IF(OR(8&gt;MAX(3,MIN(15,N($D$18))),IFERROR(LARGE('Calc (scoring engine)'!$K$5:$K$515,8),-999999)&lt;=-900000),"",IFERROR(IF(INDEX(Database!$U$5:$U$515,MATCH(LARGE('Calc (scoring engine)'!$K$5:$K$515,8),'Calc (scoring engine)'!$K$5:$K$515,0))="","—",INDEX(Database!$U$5:$U$515,MATCH(LARGE('Calc (scoring engine)'!$K$5:$K$515,8),'Calc (scoring engine)'!$K$5:$K$515,0))),""))</f>
        <v/>
      </c>
      <c r="T28" s="28">
        <f>IF(OR(8&gt;MAX(3,MIN(15,N($D$18))),IFERROR(LARGE('Calc (scoring engine)'!$K$5:$K$515,8),-999999)&lt;=-900000),"",IFERROR(IF(INDEX(Database!$V$5:$V$515,MATCH(LARGE('Calc (scoring engine)'!$K$5:$K$515,8),'Calc (scoring engine)'!$K$5:$K$515,0))="","—",INDEX(Database!$V$5:$V$515,MATCH(LARGE('Calc (scoring engine)'!$K$5:$K$515,8),'Calc (scoring engine)'!$K$5:$K$515,0))),""))</f>
        <v/>
      </c>
      <c r="U28" s="10">
        <f>IF(OR(8&gt;MAX(3,MIN(15,N($D$18))),IFERROR(LARGE('Calc (scoring engine)'!$K$5:$K$515,8),-999999)&lt;=-900000),"",IFERROR(IF(INDEX(Database!$W$5:$W$515,MATCH(LARGE('Calc (scoring engine)'!$K$5:$K$515,8),'Calc (scoring engine)'!$K$5:$K$515,0))="","—",INDEX(Database!$W$5:$W$515,MATCH(LARGE('Calc (scoring engine)'!$K$5:$K$515,8),'Calc (scoring engine)'!$K$5:$K$515,0))),""))</f>
        <v/>
      </c>
      <c r="V28" s="28">
        <f>IF(OR(8&gt;MAX(3,MIN(15,N($D$18))),IFERROR(LARGE('Calc (scoring engine)'!$K$5:$K$515,8),-999999)&lt;=-900000),"",IFERROR(IF(INDEX(Database!$Y$5:$Y$515,MATCH(LARGE('Calc (scoring engine)'!$K$5:$K$515,8),'Calc (scoring engine)'!$K$5:$K$515,0))="","—",INDEX(Database!$Y$5:$Y$515,MATCH(LARGE('Calc (scoring engine)'!$K$5:$K$515,8),'Calc (scoring engine)'!$K$5:$K$515,0))),""))</f>
        <v/>
      </c>
      <c r="W28" s="10">
        <f>IF(OR(8&gt;MAX(3,MIN(15,N($D$18))),IFERROR(LARGE('Calc (scoring engine)'!$K$5:$K$515,8),-999999)&lt;=-900000),"",IFERROR(IF(INDEX(Database!$Z$5:$Z$515,MATCH(LARGE('Calc (scoring engine)'!$K$5:$K$515,8),'Calc (scoring engine)'!$K$5:$K$515,0))="","—",INDEX(Database!$Z$5:$Z$515,MATCH(LARGE('Calc (scoring engine)'!$K$5:$K$515,8),'Calc (scoring engine)'!$K$5:$K$515,0))),""))</f>
        <v/>
      </c>
      <c r="X28" s="23">
        <f>IF(OR(8&gt;MAX(3,MIN(15,N($D$18))),IFERROR(LARGE('Calc (scoring engine)'!$K$5:$K$515,8),-999999)&lt;=-900000),"",IFERROR(IF(INDEX(Database!$AA$5:$AA$515,MATCH(LARGE('Calc (scoring engine)'!$K$5:$K$515,8),'Calc (scoring engine)'!$K$5:$K$515,0))="","—",INDEX(Database!$AA$5:$AA$515,MATCH(LARGE('Calc (scoring engine)'!$K$5:$K$515,8),'Calc (scoring engine)'!$K$5:$K$515,0))),""))</f>
        <v/>
      </c>
      <c r="Y28" s="23">
        <f>IF(OR(8&gt;MAX(3,MIN(15,N($D$18))),IFERROR(LARGE('Calc (scoring engine)'!$K$5:$K$515,8),-999999)&lt;=-900000),"",IFERROR(IF(INDEX(Database!$AB$5:$AB$515,MATCH(LARGE('Calc (scoring engine)'!$K$5:$K$515,8),'Calc (scoring engine)'!$K$5:$K$515,0))="","—",INDEX(Database!$AB$5:$AB$515,MATCH(LARGE('Calc (scoring engine)'!$K$5:$K$515,8),'Calc (scoring engine)'!$K$5:$K$515,0))),""))</f>
        <v/>
      </c>
      <c r="Z28" s="23">
        <f>IF(OR(8&gt;MAX(3,MIN(15,N($D$18))),IFERROR(LARGE('Calc (scoring engine)'!$K$5:$K$515,8),-999999)&lt;=-900000),"",IFERROR(IF(INDEX(Database!$AC$5:$AC$515,MATCH(LARGE('Calc (scoring engine)'!$K$5:$K$515,8),'Calc (scoring engine)'!$K$5:$K$515,0))="","—",INDEX(Database!$AC$5:$AC$515,MATCH(LARGE('Calc (scoring engine)'!$K$5:$K$515,8),'Calc (scoring engine)'!$K$5:$K$515,0))),""))</f>
        <v/>
      </c>
      <c r="AA28" s="23">
        <f>IF(OR(8&gt;MAX(3,MIN(15,N($D$18))),IFERROR(LARGE('Calc (scoring engine)'!$K$5:$K$515,8),-999999)&lt;=-900000),"",IFERROR(IF(INDEX(Database!$AD$5:$AD$515,MATCH(LARGE('Calc (scoring engine)'!$K$5:$K$515,8),'Calc (scoring engine)'!$K$5:$K$515,0))="","—",INDEX(Database!$AD$5:$AD$515,MATCH(LARGE('Calc (scoring engine)'!$K$5:$K$515,8),'Calc (scoring engine)'!$K$5:$K$515,0))),""))</f>
        <v/>
      </c>
      <c r="AB28" s="23">
        <f>IF(OR(8&gt;MAX(3,MIN(15,N($D$18))),IFERROR(LARGE('Calc (scoring engine)'!$K$5:$K$515,8),-999999)&lt;=-900000),"",IFERROR(IF(INDEX(Database!$AE$5:$AE$515,MATCH(LARGE('Calc (scoring engine)'!$K$5:$K$515,8),'Calc (scoring engine)'!$K$5:$K$515,0))="","—",INDEX(Database!$AE$5:$AE$515,MATCH(LARGE('Calc (scoring engine)'!$K$5:$K$515,8),'Calc (scoring engine)'!$K$5:$K$515,0))),""))</f>
        <v/>
      </c>
      <c r="AC28" s="23">
        <f>IF(OR(8&gt;MAX(3,MIN(15,N($D$18))),IFERROR(LARGE('Calc (scoring engine)'!$K$5:$K$515,8),-999999)&lt;=-900000),"",IFERROR(IF(INDEX(Database!$AF$5:$AF$515,MATCH(LARGE('Calc (scoring engine)'!$K$5:$K$515,8),'Calc (scoring engine)'!$K$5:$K$515,0))="","—",INDEX(Database!$AF$5:$AF$515,MATCH(LARGE('Calc (scoring engine)'!$K$5:$K$515,8),'Calc (scoring engine)'!$K$5:$K$515,0))),""))</f>
        <v/>
      </c>
      <c r="AD28" s="23">
        <f>IF(OR(8&gt;MAX(3,MIN(15,N($D$18))),IFERROR(LARGE('Calc (scoring engine)'!$K$5:$K$515,8),-999999)&lt;=-900000),"",IFERROR(IF(INDEX(Database!$AG$5:$AG$515,MATCH(LARGE('Calc (scoring engine)'!$K$5:$K$515,8),'Calc (scoring engine)'!$K$5:$K$515,0))="","—",INDEX(Database!$AG$5:$AG$515,MATCH(LARGE('Calc (scoring engine)'!$K$5:$K$515,8),'Calc (scoring engine)'!$K$5:$K$515,0))),""))</f>
        <v/>
      </c>
      <c r="AE28" s="23">
        <f>IF(OR(8&gt;MAX(3,MIN(15,N($D$18))),IFERROR(LARGE('Calc (scoring engine)'!$K$5:$K$515,8),-999999)&lt;=-900000),"",IFERROR(IF(INDEX(Database!$AH$5:$AH$515,MATCH(LARGE('Calc (scoring engine)'!$K$5:$K$515,8),'Calc (scoring engine)'!$K$5:$K$515,0))="","—",INDEX(Database!$AH$5:$AH$515,MATCH(LARGE('Calc (scoring engine)'!$K$5:$K$515,8),'Calc (scoring engine)'!$K$5:$K$515,0))),""))</f>
        <v/>
      </c>
      <c r="AF28" s="23">
        <f>IF(OR(8&gt;MAX(3,MIN(15,N($D$18))),IFERROR(LARGE('Calc (scoring engine)'!$K$5:$K$515,8),-999999)&lt;=-900000),"",IFERROR(IF(INDEX(Database!$AI$5:$AI$515,MATCH(LARGE('Calc (scoring engine)'!$K$5:$K$515,8),'Calc (scoring engine)'!$K$5:$K$515,0))="","—",INDEX(Database!$AI$5:$AI$515,MATCH(LARGE('Calc (scoring engine)'!$K$5:$K$515,8),'Calc (scoring engine)'!$K$5:$K$515,0))),""))</f>
        <v/>
      </c>
      <c r="AG28" s="23">
        <f>IF(OR(8&gt;MAX(3,MIN(15,N($D$18))),IFERROR(LARGE('Calc (scoring engine)'!$K$5:$K$515,8),-999999)&lt;=-900000),"",IFERROR(IF(INDEX(Database!$AJ$5:$AJ$515,MATCH(LARGE('Calc (scoring engine)'!$K$5:$K$515,8),'Calc (scoring engine)'!$K$5:$K$515,0))="","—",INDEX(Database!$AJ$5:$AJ$515,MATCH(LARGE('Calc (scoring engine)'!$K$5:$K$515,8),'Calc (scoring engine)'!$K$5:$K$515,0))),""))</f>
        <v/>
      </c>
      <c r="AH28" s="23">
        <f>IF(OR(8&gt;MAX(3,MIN(15,N($D$18))),IFERROR(LARGE('Calc (scoring engine)'!$K$5:$K$515,8),-999999)&lt;=-900000),"",IFERROR(IF(INDEX(Database!$AK$5:$AK$515,MATCH(LARGE('Calc (scoring engine)'!$K$5:$K$515,8),'Calc (scoring engine)'!$K$5:$K$515,0))="","—",INDEX(Database!$AK$5:$AK$515,MATCH(LARGE('Calc (scoring engine)'!$K$5:$K$515,8),'Calc (scoring engine)'!$K$5:$K$515,0))),""))</f>
        <v/>
      </c>
      <c r="AI28" s="23">
        <f>IF(OR(8&gt;MAX(3,MIN(15,N($D$18))),IFERROR(LARGE('Calc (scoring engine)'!$K$5:$K$515,8),-999999)&lt;=-900000),"",IFERROR(IF(INDEX(Database!$AL$5:$AL$515,MATCH(LARGE('Calc (scoring engine)'!$K$5:$K$515,8),'Calc (scoring engine)'!$K$5:$K$515,0))="","—",INDEX(Database!$AL$5:$AL$515,MATCH(LARGE('Calc (scoring engine)'!$K$5:$K$515,8),'Calc (scoring engine)'!$K$5:$K$515,0))),""))</f>
        <v/>
      </c>
      <c r="AJ28" s="23">
        <f>IF(OR(8&gt;MAX(3,MIN(15,N($D$18))),IFERROR(LARGE('Calc (scoring engine)'!$K$5:$K$515,8),-999999)&lt;=-900000),"",IFERROR(IF(INDEX(Database!$AM$5:$AM$515,MATCH(LARGE('Calc (scoring engine)'!$K$5:$K$515,8),'Calc (scoring engine)'!$K$5:$K$515,0))="","—",INDEX(Database!$AM$5:$AM$515,MATCH(LARGE('Calc (scoring engine)'!$K$5:$K$515,8),'Calc (scoring engine)'!$K$5:$K$515,0))),""))</f>
        <v/>
      </c>
      <c r="AK28" s="23">
        <f>IF(OR(8&gt;MAX(3,MIN(15,N($D$18))),IFERROR(LARGE('Calc (scoring engine)'!$K$5:$K$515,8),-999999)&lt;=-900000),"",IFERROR(IF(INDEX(Database!$AN$5:$AN$515,MATCH(LARGE('Calc (scoring engine)'!$K$5:$K$515,8),'Calc (scoring engine)'!$K$5:$K$515,0))="","—",INDEX(Database!$AN$5:$AN$515,MATCH(LARGE('Calc (scoring engine)'!$K$5:$K$515,8),'Calc (scoring engine)'!$K$5:$K$515,0))),""))</f>
        <v/>
      </c>
      <c r="AL28" s="23">
        <f>IF(OR(8&gt;MAX(3,MIN(15,N($D$18))),IFERROR(LARGE('Calc (scoring engine)'!$K$5:$K$515,8),-999999)&lt;=-900000),"",IFERROR(IF(INDEX(Database!$AO$5:$AO$515,MATCH(LARGE('Calc (scoring engine)'!$K$5:$K$515,8),'Calc (scoring engine)'!$K$5:$K$515,0))="","—",INDEX(Database!$AO$5:$AO$515,MATCH(LARGE('Calc (scoring engine)'!$K$5:$K$515,8),'Calc (scoring engine)'!$K$5:$K$515,0))),""))</f>
        <v/>
      </c>
      <c r="AM28" s="23">
        <f>IF(OR(8&gt;MAX(3,MIN(15,N($D$18))),IFERROR(LARGE('Calc (scoring engine)'!$K$5:$K$515,8),-999999)&lt;=-900000),"",IFERROR(IF(INDEX(Database!$AQ$5:$AQ$515,MATCH(LARGE('Calc (scoring engine)'!$K$5:$K$515,8),'Calc (scoring engine)'!$K$5:$K$515,0))="","—",INDEX(Database!$AQ$5:$AQ$515,MATCH(LARGE('Calc (scoring engine)'!$K$5:$K$515,8),'Calc (scoring engine)'!$K$5:$K$515,0))),""))</f>
        <v/>
      </c>
      <c r="AN28" s="18">
        <f>IF(OR(8&gt;MAX(3,MIN(15,N($D$18))),IFERROR(LARGE('Calc (scoring engine)'!$K$5:$K$515,8),-999999)&lt;=-900000),"",IFERROR(IF(INDEX(Database!$AS$5:$AS$515,MATCH(LARGE('Calc (scoring engine)'!$K$5:$K$515,8),'Calc (scoring engine)'!$K$5:$K$515,0))="","—",INDEX(Database!$AS$5:$AS$515,MATCH(LARGE('Calc (scoring engine)'!$K$5:$K$515,8),'Calc (scoring engine)'!$K$5:$K$515,0))),""))</f>
        <v/>
      </c>
      <c r="AO28" s="18">
        <f>IF(OR(8&gt;MAX(3,MIN(15,N($D$18))),IFERROR(LARGE('Calc (scoring engine)'!$K$5:$K$515,8),-999999)&lt;=-900000),"",IFERROR(IF(INDEX(Database!$AT$5:$AT$515,MATCH(LARGE('Calc (scoring engine)'!$K$5:$K$515,8),'Calc (scoring engine)'!$K$5:$K$515,0))="","—",INDEX(Database!$AT$5:$AT$515,MATCH(LARGE('Calc (scoring engine)'!$K$5:$K$515,8),'Calc (scoring engine)'!$K$5:$K$515,0))),""))</f>
        <v/>
      </c>
      <c r="AP28" s="10">
        <f>IF(OR(8&gt;MAX(3,MIN(15,N($D$18))),IFERROR(LARGE('Calc (scoring engine)'!$K$5:$K$515,8),-999999)&lt;=-900000),"",IFERROR(IF(INDEX(Database!$AU$5:$AU$515,MATCH(LARGE('Calc (scoring engine)'!$K$5:$K$515,8),'Calc (scoring engine)'!$K$5:$K$515,0))="","—",INDEX(Database!$AU$5:$AU$515,MATCH(LARGE('Calc (scoring engine)'!$K$5:$K$515,8),'Calc (scoring engine)'!$K$5:$K$515,0))),""))</f>
        <v/>
      </c>
      <c r="AQ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R28" s="24">
        <f>IF(OR(8&gt;MAX(3,MIN(15,N($D$18))),IFERROR(LARGE('Calc (scoring engine)'!$K$5:$K$515,8),-999999)&lt;=-900000),"",IFERROR(IF(INDEX(Database!$AW$5:$AW$515,MATCH(LARGE('Calc (scoring engine)'!$K$5:$K$515,8),'Calc (scoring engine)'!$K$5:$K$515,0))="","—",INDEX(Database!$AW$5:$AW$515,MATCH(LARGE('Calc (scoring engine)'!$K$5:$K$515,8),'Calc (scoring engine)'!$K$5:$K$515,0))),""))</f>
        <v/>
      </c>
      <c r="AS28" s="24">
        <f>IF(OR(8&gt;MAX(3,MIN(15,N($D$18))),IFERROR(LARGE('Calc (scoring engine)'!$K$5:$K$515,8),-999999)&lt;=-900000),"",IFERROR(IF(INDEX(Database!$AX$5:$AX$515,MATCH(LARGE('Calc (scoring engine)'!$K$5:$K$515,8),'Calc (scoring engine)'!$K$5:$K$515,0))="","—",INDEX(Database!$AX$5:$AX$515,MATCH(LARGE('Calc (scoring engine)'!$K$5:$K$515,8),'Calc (scoring engine)'!$K$5:$K$515,0))),""))</f>
        <v/>
      </c>
      <c r="AT28" s="24">
        <f>IF(OR(8&gt;MAX(3,MIN(15,N($D$18))),IFERROR(LARGE('Calc (scoring engine)'!$K$5:$K$515,8),-999999)&lt;=-900000),"",IFERROR(IF(INDEX(Database!$AY$5:$AY$515,MATCH(LARGE('Calc (scoring engine)'!$K$5:$K$515,8),'Calc (scoring engine)'!$K$5:$K$515,0))="","—",INDEX(Database!$AY$5:$AY$515,MATCH(LARGE('Calc (scoring engine)'!$K$5:$K$515,8),'Calc (scoring engine)'!$K$5:$K$515,0))),""))</f>
        <v/>
      </c>
      <c r="AU28" s="10">
        <f>IF(OR(8&gt;MAX(3,MIN(15,N($D$18))),IFERROR(LARGE('Calc (scoring engine)'!$K$5:$K$515,8),-999999)&lt;=-900000),"",IFERROR(IF(INDEX(Database!$AZ$5:$AZ$515,MATCH(LARGE('Calc (scoring engine)'!$K$5:$K$515,8),'Calc (scoring engine)'!$K$5:$K$515,0))="","—",INDEX(Database!$AZ$5:$AZ$515,MATCH(LARGE('Calc (scoring engine)'!$K$5:$K$515,8),'Calc (scoring engine)'!$K$5:$K$515,0))),""))</f>
        <v/>
      </c>
      <c r="AV28" s="10">
        <f>IF(OR(8&gt;MAX(3,MIN(15,N($D$18))),IFERROR(LARGE('Calc (scoring engine)'!$K$5:$K$515,8),-999999)&lt;=-900000),"",IFERROR(IF(INDEX(Database!$BA$5:$BA$515,MATCH(LARGE('Calc (scoring engine)'!$K$5:$K$515,8),'Calc (scoring engine)'!$K$5:$K$515,0))="","—",INDEX(Database!$BA$5:$BA$515,MATCH(LARGE('Calc (scoring engine)'!$K$5:$K$515,8),'Calc (scoring engine)'!$K$5:$K$515,0))),""))</f>
        <v/>
      </c>
      <c r="AW28" s="23">
        <f>IF(OR(8&gt;MAX(3,MIN(15,N($D$18))),IFERROR(LARGE('Calc (scoring engine)'!$K$5:$K$515,8),-999999)&lt;=-900000),"",IFERROR(IF(INDEX(Database!$BB$5:$BB$515,MATCH(LARGE('Calc (scoring engine)'!$K$5:$K$515,8),'Calc (scoring engine)'!$K$5:$K$515,0))="","—",INDEX(Database!$BB$5:$BB$515,MATCH(LARGE('Calc (scoring engine)'!$K$5:$K$515,8),'Calc (scoring engine)'!$K$5:$K$515,0))),""))</f>
        <v/>
      </c>
      <c r="AX28" s="40">
        <f>IF(OR(8&gt;MAX(3,MIN(15,N($D$18))),IFERROR(LARGE('Calc (scoring engine)'!$K$5:$K$515,8),-999999)&lt;=-900000),"",IFERROR(IF(INDEX(Database!$BC$5:$BC$515,MATCH(LARGE('Calc (scoring engine)'!$K$5:$K$515,8),'Calc (scoring engine)'!$K$5:$K$515,0))="","—",INDEX(Database!$BC$5:$BC$515,MATCH(LARGE('Calc (scoring engine)'!$K$5:$K$515,8),'Calc (scoring engine)'!$K$5:$K$515,0))),""))</f>
        <v/>
      </c>
      <c r="AY28" s="43">
        <f>IF(OR(8&gt;MAX(3,MIN(15,N($D$18))),IFERROR(LARGE('Calc (scoring engine)'!$K$5:$K$515,8),-999999)&lt;=-900000),"",IFERROR(IF(INDEX(Database!$BD$5:$BD$515,MATCH(LARGE('Calc (scoring engine)'!$K$5:$K$515,8),'Calc (scoring engine)'!$K$5:$K$515,0))="","—",INDEX(Database!$BD$5:$BD$515,MATCH(LARGE('Calc (scoring engine)'!$K$5:$K$515,8),'Calc (scoring engine)'!$K$5:$K$515,0))),""))</f>
        <v/>
      </c>
      <c r="AZ28" s="24">
        <f>IF(OR(8&gt;MAX(3,MIN(15,N($D$18))),IFERROR(LARGE('Calc (scoring engine)'!$K$5:$K$515,8),-999999)&lt;=-900000),"",IFERROR(IF(INDEX(Database!$BE$5:$BE$515,MATCH(LARGE('Calc (scoring engine)'!$K$5:$K$515,8),'Calc (scoring engine)'!$K$5:$K$515,0))="","—",INDEX(Database!$BE$5:$BE$515,MATCH(LARGE('Calc (scoring engine)'!$K$5:$K$515,8),'Calc (scoring engine)'!$K$5:$K$515,0))),""))</f>
        <v/>
      </c>
      <c r="BA28" s="24">
        <f>IF(OR(8&gt;MAX(3,MIN(15,N($D$18))),IFERROR(LARGE('Calc (scoring engine)'!$K$5:$K$515,8),-999999)&lt;=-900000),"",IFERROR(IF(INDEX(Database!$BF$5:$BF$515,MATCH(LARGE('Calc (scoring engine)'!$K$5:$K$515,8),'Calc (scoring engine)'!$K$5:$K$515,0))="","—",INDEX(Database!$BF$5:$BF$515,MATCH(LARGE('Calc (scoring engine)'!$K$5:$K$515,8),'Calc (scoring engine)'!$K$5:$K$515,0))),""))</f>
        <v/>
      </c>
      <c r="BB28" s="10">
        <f>IF(OR(8&gt;MAX(3,MIN(15,N($D$18))),IFERROR(LARGE('Calc (scoring engine)'!$K$5:$K$515,8),-999999)&lt;=-900000),"",IFERROR(IF(INDEX(Database!$BG$5:$BG$515,MATCH(LARGE('Calc (scoring engine)'!$K$5:$K$515,8),'Calc (scoring engine)'!$K$5:$K$515,0))="","—",INDEX(Database!$BG$5:$BG$515,MATCH(LARGE('Calc (scoring engine)'!$K$5:$K$515,8),'Calc (scoring engine)'!$K$5:$K$515,0))),""))</f>
        <v/>
      </c>
      <c r="BC28" s="10">
        <f>IF(OR(8&gt;MAX(3,MIN(15,N($D$18))),IFERROR(LARGE('Calc (scoring engine)'!$K$5:$K$515,8),-999999)&lt;=-900000),"",IFERROR(IF(INDEX(Database!$BI$5:$BI$515,MATCH(LARGE('Calc (scoring engine)'!$K$5:$K$515,8),'Calc (scoring engine)'!$K$5:$K$515,0))="","—",INDEX(Database!$BI$5:$BI$515,MATCH(LARGE('Calc (scoring engine)'!$K$5:$K$515,8),'Calc (scoring engine)'!$K$5:$K$515,0))),""))</f>
        <v/>
      </c>
      <c r="BD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E28" s="24">
        <f>IF(OR(8&gt;MAX(3,MIN(15,N($D$18))),IFERROR(LARGE('Calc (scoring engine)'!$K$5:$K$515,8),-999999)&lt;=-900000),"",IFERROR(IFERROR(BDP(TEXT(INDEX(Database!$A$5:$A$515,MATCH(LARGE('Calc (scoring engine)'!$K$5:$K$515,8),'Calc (scoring engine)'!$K$5:$K$515,0)),"0")&amp;" HK Equity","PX_TO_SALES_RATIO"),IF(INDEX(Database!$AY$5:$AY$515,MATCH(LARGE('Calc (scoring engine)'!$K$5:$K$515,8),'Calc (scoring engine)'!$K$5:$K$515,0))="","—",INDEX(Database!$AY$5:$AY$515,MATCH(LARGE('Calc (scoring engine)'!$K$5:$K$515,8),'Calc (scoring engine)'!$K$5:$K$515,0)))),""))</f>
        <v/>
      </c>
      <c r="BF28" s="44">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G28" s="10">
        <f>IF(OR(8&gt;MAX(3,MIN(15,N($D$18))),IFERROR(LARGE('Calc (scoring engine)'!$K$5:$K$515,8),-999999)&lt;=-900000),"",IF(IFERROR(INDEX('Calc (scoring engine)'!$B$5:$B$515,MATCH(LARGE('Calc (scoring engine)'!$K$5:$K$515,8),'Calc (scoring engine)'!$K$5:$K$515,0)),0)=1,"same subsector","sector only"))</f>
        <v/>
      </c>
      <c r="BH28" s="44">
        <f>IF(OR(8&gt;MAX(3,MIN(15,N($D$18))),IFERROR(LARGE('Calc (scoring engine)'!$K$5:$K$515,8),-999999)&lt;=-900000),"",ROUND(IFERROR(LARGE('Calc (scoring engine)'!$K$5:$K$515,8),0),0))</f>
        <v/>
      </c>
      <c r="BI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39">
        <f>IF(OR(9&gt;MAX(3,MIN(15,N($D$18))),IFERROR(LARGE('Calc (scoring engine)'!$K$5:$K$515,9),-999999)&lt;=-900000),"",IFERROR(IF(INDEX(Database!$A$5:$A$515,MATCH(LARGE('Calc (scoring engine)'!$K$5:$K$515,9),'Calc (scoring engine)'!$K$5:$K$515,0))="","—",INDEX(Database!$A$5:$A$515,MATCH(LARGE('Calc (scoring engine)'!$K$5:$K$515,9),'Calc (scoring engine)'!$K$5:$K$515,0))),""))</f>
        <v/>
      </c>
      <c r="D29" s="10">
        <f>IF(OR(9&gt;MAX(3,MIN(15,N($D$18))),IFERROR(LARGE('Calc (scoring engine)'!$K$5:$K$515,9),-999999)&lt;=-900000),"",IFERROR(IF(INDEX(Database!$D$5:$D$515,MATCH(LARGE('Calc (scoring engine)'!$K$5:$K$515,9),'Calc (scoring engine)'!$K$5:$K$515,0))="","—",INDEX(Database!$D$5:$D$515,MATCH(LARGE('Calc (scoring engine)'!$K$5:$K$515,9),'Calc (scoring engine)'!$K$5:$K$515,0))),""))</f>
        <v/>
      </c>
      <c r="E29" s="10">
        <f>IF(OR(9&gt;MAX(3,MIN(15,N($D$18))),IFERROR(LARGE('Calc (scoring engine)'!$K$5:$K$515,9),-999999)&lt;=-900000),"",IFERROR(IF(INDEX(Database!$E$5:$E$515,MATCH(LARGE('Calc (scoring engine)'!$K$5:$K$515,9),'Calc (scoring engine)'!$K$5:$K$515,0))="","—",INDEX(Database!$E$5:$E$515,MATCH(LARGE('Calc (scoring engine)'!$K$5:$K$515,9),'Calc (scoring engine)'!$K$5:$K$515,0))),""))</f>
        <v/>
      </c>
      <c r="F29" s="10">
        <f>IF(OR(9&gt;MAX(3,MIN(15,N($D$18))),IFERROR(LARGE('Calc (scoring engine)'!$K$5:$K$515,9),-999999)&lt;=-900000),"",IFERROR(IF(INDEX(Database!$F$5:$F$515,MATCH(LARGE('Calc (scoring engine)'!$K$5:$K$515,9),'Calc (scoring engine)'!$K$5:$K$515,0))="","—",INDEX(Database!$F$5:$F$515,MATCH(LARGE('Calc (scoring engine)'!$K$5:$K$515,9),'Calc (scoring engine)'!$K$5:$K$515,0))),""))</f>
        <v/>
      </c>
      <c r="G29" s="10">
        <f>IF(OR(9&gt;MAX(3,MIN(15,N($D$18))),IFERROR(LARGE('Calc (scoring engine)'!$K$5:$K$515,9),-999999)&lt;=-900000),"",IFERROR(IF(INDEX(Database!$G$5:$G$515,MATCH(LARGE('Calc (scoring engine)'!$K$5:$K$515,9),'Calc (scoring engine)'!$K$5:$K$515,0))="","—",INDEX(Database!$G$5:$G$515,MATCH(LARGE('Calc (scoring engine)'!$K$5:$K$515,9),'Calc (scoring engine)'!$K$5:$K$515,0))),""))</f>
        <v/>
      </c>
      <c r="H29" s="21">
        <f>IF(OR(9&gt;MAX(3,MIN(15,N($D$18))),IFERROR(LARGE('Calc (scoring engine)'!$K$5:$K$515,9),-999999)&lt;=-900000),"",IFERROR(IF(INDEX(Database!$H$5:$H$515,MATCH(LARGE('Calc (scoring engine)'!$K$5:$K$515,9),'Calc (scoring engine)'!$K$5:$K$515,0))="","—",INDEX(Database!$H$5:$H$515,MATCH(LARGE('Calc (scoring engine)'!$K$5:$K$515,9),'Calc (scoring engine)'!$K$5:$K$515,0))),""))</f>
        <v/>
      </c>
      <c r="I29" s="18">
        <f>IF(OR(9&gt;MAX(3,MIN(15,N($D$18))),IFERROR(LARGE('Calc (scoring engine)'!$K$5:$K$515,9),-999999)&lt;=-900000),"",IFERROR(IF(INDEX(Database!$I$5:$I$515,MATCH(LARGE('Calc (scoring engine)'!$K$5:$K$515,9),'Calc (scoring engine)'!$K$5:$K$515,0))="","—",INDEX(Database!$I$5:$I$515,MATCH(LARGE('Calc (scoring engine)'!$K$5:$K$515,9),'Calc (scoring engine)'!$K$5:$K$515,0))),""))</f>
        <v/>
      </c>
      <c r="J29" s="40">
        <f>IF(OR(9&gt;MAX(3,MIN(15,N($D$18))),IFERROR(LARGE('Calc (scoring engine)'!$K$5:$K$515,9),-999999)&lt;=-900000),"",IFERROR(IF(INDEX(Database!$K$5:$K$515,MATCH(LARGE('Calc (scoring engine)'!$K$5:$K$515,9),'Calc (scoring engine)'!$K$5:$K$515,0))="","—",INDEX(Database!$K$5:$K$515,MATCH(LARGE('Calc (scoring engine)'!$K$5:$K$515,9),'Calc (scoring engine)'!$K$5:$K$515,0))),""))</f>
        <v/>
      </c>
      <c r="K29" s="40">
        <f>IF(OR(9&gt;MAX(3,MIN(15,N($D$18))),IFERROR(LARGE('Calc (scoring engine)'!$K$5:$K$515,9),-999999)&lt;=-900000),"",IFERROR(IF(INDEX(Database!$L$5:$L$515,MATCH(LARGE('Calc (scoring engine)'!$K$5:$K$515,9),'Calc (scoring engine)'!$K$5:$K$515,0))="","—",INDEX(Database!$L$5:$L$515,MATCH(LARGE('Calc (scoring engine)'!$K$5:$K$515,9),'Calc (scoring engine)'!$K$5:$K$515,0))),""))</f>
        <v/>
      </c>
      <c r="L29" s="40">
        <f>IF(OR(9&gt;MAX(3,MIN(15,N($D$18))),IFERROR(LARGE('Calc (scoring engine)'!$K$5:$K$515,9),-999999)&lt;=-900000),"",IFERROR(IF(INDEX(Database!$M$5:$M$515,MATCH(LARGE('Calc (scoring engine)'!$K$5:$K$515,9),'Calc (scoring engine)'!$K$5:$K$515,0))="","—",INDEX(Database!$M$5:$M$515,MATCH(LARGE('Calc (scoring engine)'!$K$5:$K$515,9),'Calc (scoring engine)'!$K$5:$K$515,0))),""))</f>
        <v/>
      </c>
      <c r="M29" s="10">
        <f>IF(OR(9&gt;MAX(3,MIN(15,N($D$18))),IFERROR(LARGE('Calc (scoring engine)'!$K$5:$K$515,9),-999999)&lt;=-900000),"",IFERROR(IF(INDEX(Database!$N$5:$N$515,MATCH(LARGE('Calc (scoring engine)'!$K$5:$K$515,9),'Calc (scoring engine)'!$K$5:$K$515,0))="","—",INDEX(Database!$N$5:$N$515,MATCH(LARGE('Calc (scoring engine)'!$K$5:$K$515,9),'Calc (scoring engine)'!$K$5:$K$515,0))),""))</f>
        <v/>
      </c>
      <c r="N29" s="28">
        <f>IF(OR(9&gt;MAX(3,MIN(15,N($D$18))),IFERROR(LARGE('Calc (scoring engine)'!$K$5:$K$515,9),-999999)&lt;=-900000),"",IFERROR(IF(INDEX(Database!$O$5:$O$515,MATCH(LARGE('Calc (scoring engine)'!$K$5:$K$515,9),'Calc (scoring engine)'!$K$5:$K$515,0))="","—",INDEX(Database!$O$5:$O$515,MATCH(LARGE('Calc (scoring engine)'!$K$5:$K$515,9),'Calc (scoring engine)'!$K$5:$K$515,0))),""))</f>
        <v/>
      </c>
      <c r="O29" s="28">
        <f>IF(OR(9&gt;MAX(3,MIN(15,N($D$18))),IFERROR(LARGE('Calc (scoring engine)'!$K$5:$K$515,9),-999999)&lt;=-900000),"",IFERROR(IF(INDEX(Database!$P$5:$P$515,MATCH(LARGE('Calc (scoring engine)'!$K$5:$K$515,9),'Calc (scoring engine)'!$K$5:$K$515,0))="","—",INDEX(Database!$P$5:$P$515,MATCH(LARGE('Calc (scoring engine)'!$K$5:$K$515,9),'Calc (scoring engine)'!$K$5:$K$515,0))),""))</f>
        <v/>
      </c>
      <c r="P29" s="18">
        <f>IF(OR(9&gt;MAX(3,MIN(15,N($D$18))),IFERROR(LARGE('Calc (scoring engine)'!$K$5:$K$515,9),-999999)&lt;=-900000),"",IFERROR(IF(INDEX(Database!$Q$5:$Q$515,MATCH(LARGE('Calc (scoring engine)'!$K$5:$K$515,9),'Calc (scoring engine)'!$K$5:$K$515,0))="","—",INDEX(Database!$Q$5:$Q$515,MATCH(LARGE('Calc (scoring engine)'!$K$5:$K$515,9),'Calc (scoring engine)'!$K$5:$K$515,0))),""))</f>
        <v/>
      </c>
      <c r="Q29" s="26">
        <f>IF(OR(9&gt;MAX(3,MIN(15,N($D$18))),IFERROR(LARGE('Calc (scoring engine)'!$K$5:$K$515,9),-999999)&lt;=-900000),"",IFERROR(IF(INDEX(Database!$S$5:$S$515,MATCH(LARGE('Calc (scoring engine)'!$K$5:$K$515,9),'Calc (scoring engine)'!$K$5:$K$515,0))="","—",INDEX(Database!$S$5:$S$515,MATCH(LARGE('Calc (scoring engine)'!$K$5:$K$515,9),'Calc (scoring engine)'!$K$5:$K$515,0))),""))</f>
        <v/>
      </c>
      <c r="R29" s="41">
        <f>IF(OR(9&gt;MAX(3,MIN(15,N($D$18))),IFERROR(LARGE('Calc (scoring engine)'!$K$5:$K$515,9),-999999)&lt;=-900000),"",IFERROR(IF(INDEX(Database!$T$5:$T$515,MATCH(LARGE('Calc (scoring engine)'!$K$5:$K$515,9),'Calc (scoring engine)'!$K$5:$K$515,0))="","—",INDEX(Database!$T$5:$T$515,MATCH(LARGE('Calc (scoring engine)'!$K$5:$K$515,9),'Calc (scoring engine)'!$K$5:$K$515,0))),""))</f>
        <v/>
      </c>
      <c r="S29" s="42">
        <f>IF(OR(9&gt;MAX(3,MIN(15,N($D$18))),IFERROR(LARGE('Calc (scoring engine)'!$K$5:$K$515,9),-999999)&lt;=-900000),"",IFERROR(IF(INDEX(Database!$U$5:$U$515,MATCH(LARGE('Calc (scoring engine)'!$K$5:$K$515,9),'Calc (scoring engine)'!$K$5:$K$515,0))="","—",INDEX(Database!$U$5:$U$515,MATCH(LARGE('Calc (scoring engine)'!$K$5:$K$515,9),'Calc (scoring engine)'!$K$5:$K$515,0))),""))</f>
        <v/>
      </c>
      <c r="T29" s="28">
        <f>IF(OR(9&gt;MAX(3,MIN(15,N($D$18))),IFERROR(LARGE('Calc (scoring engine)'!$K$5:$K$515,9),-999999)&lt;=-900000),"",IFERROR(IF(INDEX(Database!$V$5:$V$515,MATCH(LARGE('Calc (scoring engine)'!$K$5:$K$515,9),'Calc (scoring engine)'!$K$5:$K$515,0))="","—",INDEX(Database!$V$5:$V$515,MATCH(LARGE('Calc (scoring engine)'!$K$5:$K$515,9),'Calc (scoring engine)'!$K$5:$K$515,0))),""))</f>
        <v/>
      </c>
      <c r="U29" s="10">
        <f>IF(OR(9&gt;MAX(3,MIN(15,N($D$18))),IFERROR(LARGE('Calc (scoring engine)'!$K$5:$K$515,9),-999999)&lt;=-900000),"",IFERROR(IF(INDEX(Database!$W$5:$W$515,MATCH(LARGE('Calc (scoring engine)'!$K$5:$K$515,9),'Calc (scoring engine)'!$K$5:$K$515,0))="","—",INDEX(Database!$W$5:$W$515,MATCH(LARGE('Calc (scoring engine)'!$K$5:$K$515,9),'Calc (scoring engine)'!$K$5:$K$515,0))),""))</f>
        <v/>
      </c>
      <c r="V29" s="28">
        <f>IF(OR(9&gt;MAX(3,MIN(15,N($D$18))),IFERROR(LARGE('Calc (scoring engine)'!$K$5:$K$515,9),-999999)&lt;=-900000),"",IFERROR(IF(INDEX(Database!$Y$5:$Y$515,MATCH(LARGE('Calc (scoring engine)'!$K$5:$K$515,9),'Calc (scoring engine)'!$K$5:$K$515,0))="","—",INDEX(Database!$Y$5:$Y$515,MATCH(LARGE('Calc (scoring engine)'!$K$5:$K$515,9),'Calc (scoring engine)'!$K$5:$K$515,0))),""))</f>
        <v/>
      </c>
      <c r="W29" s="10">
        <f>IF(OR(9&gt;MAX(3,MIN(15,N($D$18))),IFERROR(LARGE('Calc (scoring engine)'!$K$5:$K$515,9),-999999)&lt;=-900000),"",IFERROR(IF(INDEX(Database!$Z$5:$Z$515,MATCH(LARGE('Calc (scoring engine)'!$K$5:$K$515,9),'Calc (scoring engine)'!$K$5:$K$515,0))="","—",INDEX(Database!$Z$5:$Z$515,MATCH(LARGE('Calc (scoring engine)'!$K$5:$K$515,9),'Calc (scoring engine)'!$K$5:$K$515,0))),""))</f>
        <v/>
      </c>
      <c r="X29" s="23">
        <f>IF(OR(9&gt;MAX(3,MIN(15,N($D$18))),IFERROR(LARGE('Calc (scoring engine)'!$K$5:$K$515,9),-999999)&lt;=-900000),"",IFERROR(IF(INDEX(Database!$AA$5:$AA$515,MATCH(LARGE('Calc (scoring engine)'!$K$5:$K$515,9),'Calc (scoring engine)'!$K$5:$K$515,0))="","—",INDEX(Database!$AA$5:$AA$515,MATCH(LARGE('Calc (scoring engine)'!$K$5:$K$515,9),'Calc (scoring engine)'!$K$5:$K$515,0))),""))</f>
        <v/>
      </c>
      <c r="Y29" s="23">
        <f>IF(OR(9&gt;MAX(3,MIN(15,N($D$18))),IFERROR(LARGE('Calc (scoring engine)'!$K$5:$K$515,9),-999999)&lt;=-900000),"",IFERROR(IF(INDEX(Database!$AB$5:$AB$515,MATCH(LARGE('Calc (scoring engine)'!$K$5:$K$515,9),'Calc (scoring engine)'!$K$5:$K$515,0))="","—",INDEX(Database!$AB$5:$AB$515,MATCH(LARGE('Calc (scoring engine)'!$K$5:$K$515,9),'Calc (scoring engine)'!$K$5:$K$515,0))),""))</f>
        <v/>
      </c>
      <c r="Z29" s="23">
        <f>IF(OR(9&gt;MAX(3,MIN(15,N($D$18))),IFERROR(LARGE('Calc (scoring engine)'!$K$5:$K$515,9),-999999)&lt;=-900000),"",IFERROR(IF(INDEX(Database!$AC$5:$AC$515,MATCH(LARGE('Calc (scoring engine)'!$K$5:$K$515,9),'Calc (scoring engine)'!$K$5:$K$515,0))="","—",INDEX(Database!$AC$5:$AC$515,MATCH(LARGE('Calc (scoring engine)'!$K$5:$K$515,9),'Calc (scoring engine)'!$K$5:$K$515,0))),""))</f>
        <v/>
      </c>
      <c r="AA29" s="23">
        <f>IF(OR(9&gt;MAX(3,MIN(15,N($D$18))),IFERROR(LARGE('Calc (scoring engine)'!$K$5:$K$515,9),-999999)&lt;=-900000),"",IFERROR(IF(INDEX(Database!$AD$5:$AD$515,MATCH(LARGE('Calc (scoring engine)'!$K$5:$K$515,9),'Calc (scoring engine)'!$K$5:$K$515,0))="","—",INDEX(Database!$AD$5:$AD$515,MATCH(LARGE('Calc (scoring engine)'!$K$5:$K$515,9),'Calc (scoring engine)'!$K$5:$K$515,0))),""))</f>
        <v/>
      </c>
      <c r="AB29" s="23">
        <f>IF(OR(9&gt;MAX(3,MIN(15,N($D$18))),IFERROR(LARGE('Calc (scoring engine)'!$K$5:$K$515,9),-999999)&lt;=-900000),"",IFERROR(IF(INDEX(Database!$AE$5:$AE$515,MATCH(LARGE('Calc (scoring engine)'!$K$5:$K$515,9),'Calc (scoring engine)'!$K$5:$K$515,0))="","—",INDEX(Database!$AE$5:$AE$515,MATCH(LARGE('Calc (scoring engine)'!$K$5:$K$515,9),'Calc (scoring engine)'!$K$5:$K$515,0))),""))</f>
        <v/>
      </c>
      <c r="AC29" s="23">
        <f>IF(OR(9&gt;MAX(3,MIN(15,N($D$18))),IFERROR(LARGE('Calc (scoring engine)'!$K$5:$K$515,9),-999999)&lt;=-900000),"",IFERROR(IF(INDEX(Database!$AF$5:$AF$515,MATCH(LARGE('Calc (scoring engine)'!$K$5:$K$515,9),'Calc (scoring engine)'!$K$5:$K$515,0))="","—",INDEX(Database!$AF$5:$AF$515,MATCH(LARGE('Calc (scoring engine)'!$K$5:$K$515,9),'Calc (scoring engine)'!$K$5:$K$515,0))),""))</f>
        <v/>
      </c>
      <c r="AD29" s="23">
        <f>IF(OR(9&gt;MAX(3,MIN(15,N($D$18))),IFERROR(LARGE('Calc (scoring engine)'!$K$5:$K$515,9),-999999)&lt;=-900000),"",IFERROR(IF(INDEX(Database!$AG$5:$AG$515,MATCH(LARGE('Calc (scoring engine)'!$K$5:$K$515,9),'Calc (scoring engine)'!$K$5:$K$515,0))="","—",INDEX(Database!$AG$5:$AG$515,MATCH(LARGE('Calc (scoring engine)'!$K$5:$K$515,9),'Calc (scoring engine)'!$K$5:$K$515,0))),""))</f>
        <v/>
      </c>
      <c r="AE29" s="23">
        <f>IF(OR(9&gt;MAX(3,MIN(15,N($D$18))),IFERROR(LARGE('Calc (scoring engine)'!$K$5:$K$515,9),-999999)&lt;=-900000),"",IFERROR(IF(INDEX(Database!$AH$5:$AH$515,MATCH(LARGE('Calc (scoring engine)'!$K$5:$K$515,9),'Calc (scoring engine)'!$K$5:$K$515,0))="","—",INDEX(Database!$AH$5:$AH$515,MATCH(LARGE('Calc (scoring engine)'!$K$5:$K$515,9),'Calc (scoring engine)'!$K$5:$K$515,0))),""))</f>
        <v/>
      </c>
      <c r="AF29" s="23">
        <f>IF(OR(9&gt;MAX(3,MIN(15,N($D$18))),IFERROR(LARGE('Calc (scoring engine)'!$K$5:$K$515,9),-999999)&lt;=-900000),"",IFERROR(IF(INDEX(Database!$AI$5:$AI$515,MATCH(LARGE('Calc (scoring engine)'!$K$5:$K$515,9),'Calc (scoring engine)'!$K$5:$K$515,0))="","—",INDEX(Database!$AI$5:$AI$515,MATCH(LARGE('Calc (scoring engine)'!$K$5:$K$515,9),'Calc (scoring engine)'!$K$5:$K$515,0))),""))</f>
        <v/>
      </c>
      <c r="AG29" s="23">
        <f>IF(OR(9&gt;MAX(3,MIN(15,N($D$18))),IFERROR(LARGE('Calc (scoring engine)'!$K$5:$K$515,9),-999999)&lt;=-900000),"",IFERROR(IF(INDEX(Database!$AJ$5:$AJ$515,MATCH(LARGE('Calc (scoring engine)'!$K$5:$K$515,9),'Calc (scoring engine)'!$K$5:$K$515,0))="","—",INDEX(Database!$AJ$5:$AJ$515,MATCH(LARGE('Calc (scoring engine)'!$K$5:$K$515,9),'Calc (scoring engine)'!$K$5:$K$515,0))),""))</f>
        <v/>
      </c>
      <c r="AH29" s="23">
        <f>IF(OR(9&gt;MAX(3,MIN(15,N($D$18))),IFERROR(LARGE('Calc (scoring engine)'!$K$5:$K$515,9),-999999)&lt;=-900000),"",IFERROR(IF(INDEX(Database!$AK$5:$AK$515,MATCH(LARGE('Calc (scoring engine)'!$K$5:$K$515,9),'Calc (scoring engine)'!$K$5:$K$515,0))="","—",INDEX(Database!$AK$5:$AK$515,MATCH(LARGE('Calc (scoring engine)'!$K$5:$K$515,9),'Calc (scoring engine)'!$K$5:$K$515,0))),""))</f>
        <v/>
      </c>
      <c r="AI29" s="23">
        <f>IF(OR(9&gt;MAX(3,MIN(15,N($D$18))),IFERROR(LARGE('Calc (scoring engine)'!$K$5:$K$515,9),-999999)&lt;=-900000),"",IFERROR(IF(INDEX(Database!$AL$5:$AL$515,MATCH(LARGE('Calc (scoring engine)'!$K$5:$K$515,9),'Calc (scoring engine)'!$K$5:$K$515,0))="","—",INDEX(Database!$AL$5:$AL$515,MATCH(LARGE('Calc (scoring engine)'!$K$5:$K$515,9),'Calc (scoring engine)'!$K$5:$K$515,0))),""))</f>
        <v/>
      </c>
      <c r="AJ29" s="23">
        <f>IF(OR(9&gt;MAX(3,MIN(15,N($D$18))),IFERROR(LARGE('Calc (scoring engine)'!$K$5:$K$515,9),-999999)&lt;=-900000),"",IFERROR(IF(INDEX(Database!$AM$5:$AM$515,MATCH(LARGE('Calc (scoring engine)'!$K$5:$K$515,9),'Calc (scoring engine)'!$K$5:$K$515,0))="","—",INDEX(Database!$AM$5:$AM$515,MATCH(LARGE('Calc (scoring engine)'!$K$5:$K$515,9),'Calc (scoring engine)'!$K$5:$K$515,0))),""))</f>
        <v/>
      </c>
      <c r="AK29" s="23">
        <f>IF(OR(9&gt;MAX(3,MIN(15,N($D$18))),IFERROR(LARGE('Calc (scoring engine)'!$K$5:$K$515,9),-999999)&lt;=-900000),"",IFERROR(IF(INDEX(Database!$AN$5:$AN$515,MATCH(LARGE('Calc (scoring engine)'!$K$5:$K$515,9),'Calc (scoring engine)'!$K$5:$K$515,0))="","—",INDEX(Database!$AN$5:$AN$515,MATCH(LARGE('Calc (scoring engine)'!$K$5:$K$515,9),'Calc (scoring engine)'!$K$5:$K$515,0))),""))</f>
        <v/>
      </c>
      <c r="AL29" s="23">
        <f>IF(OR(9&gt;MAX(3,MIN(15,N($D$18))),IFERROR(LARGE('Calc (scoring engine)'!$K$5:$K$515,9),-999999)&lt;=-900000),"",IFERROR(IF(INDEX(Database!$AO$5:$AO$515,MATCH(LARGE('Calc (scoring engine)'!$K$5:$K$515,9),'Calc (scoring engine)'!$K$5:$K$515,0))="","—",INDEX(Database!$AO$5:$AO$515,MATCH(LARGE('Calc (scoring engine)'!$K$5:$K$515,9),'Calc (scoring engine)'!$K$5:$K$515,0))),""))</f>
        <v/>
      </c>
      <c r="AM29" s="23">
        <f>IF(OR(9&gt;MAX(3,MIN(15,N($D$18))),IFERROR(LARGE('Calc (scoring engine)'!$K$5:$K$515,9),-999999)&lt;=-900000),"",IFERROR(IF(INDEX(Database!$AQ$5:$AQ$515,MATCH(LARGE('Calc (scoring engine)'!$K$5:$K$515,9),'Calc (scoring engine)'!$K$5:$K$515,0))="","—",INDEX(Database!$AQ$5:$AQ$515,MATCH(LARGE('Calc (scoring engine)'!$K$5:$K$515,9),'Calc (scoring engine)'!$K$5:$K$515,0))),""))</f>
        <v/>
      </c>
      <c r="AN29" s="18">
        <f>IF(OR(9&gt;MAX(3,MIN(15,N($D$18))),IFERROR(LARGE('Calc (scoring engine)'!$K$5:$K$515,9),-999999)&lt;=-900000),"",IFERROR(IF(INDEX(Database!$AS$5:$AS$515,MATCH(LARGE('Calc (scoring engine)'!$K$5:$K$515,9),'Calc (scoring engine)'!$K$5:$K$515,0))="","—",INDEX(Database!$AS$5:$AS$515,MATCH(LARGE('Calc (scoring engine)'!$K$5:$K$515,9),'Calc (scoring engine)'!$K$5:$K$515,0))),""))</f>
        <v/>
      </c>
      <c r="AO29" s="18">
        <f>IF(OR(9&gt;MAX(3,MIN(15,N($D$18))),IFERROR(LARGE('Calc (scoring engine)'!$K$5:$K$515,9),-999999)&lt;=-900000),"",IFERROR(IF(INDEX(Database!$AT$5:$AT$515,MATCH(LARGE('Calc (scoring engine)'!$K$5:$K$515,9),'Calc (scoring engine)'!$K$5:$K$515,0))="","—",INDEX(Database!$AT$5:$AT$515,MATCH(LARGE('Calc (scoring engine)'!$K$5:$K$515,9),'Calc (scoring engine)'!$K$5:$K$515,0))),""))</f>
        <v/>
      </c>
      <c r="AP29" s="10">
        <f>IF(OR(9&gt;MAX(3,MIN(15,N($D$18))),IFERROR(LARGE('Calc (scoring engine)'!$K$5:$K$515,9),-999999)&lt;=-900000),"",IFERROR(IF(INDEX(Database!$AU$5:$AU$515,MATCH(LARGE('Calc (scoring engine)'!$K$5:$K$515,9),'Calc (scoring engine)'!$K$5:$K$515,0))="","—",INDEX(Database!$AU$5:$AU$515,MATCH(LARGE('Calc (scoring engine)'!$K$5:$K$515,9),'Calc (scoring engine)'!$K$5:$K$515,0))),""))</f>
        <v/>
      </c>
      <c r="AQ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R29" s="24">
        <f>IF(OR(9&gt;MAX(3,MIN(15,N($D$18))),IFERROR(LARGE('Calc (scoring engine)'!$K$5:$K$515,9),-999999)&lt;=-900000),"",IFERROR(IF(INDEX(Database!$AW$5:$AW$515,MATCH(LARGE('Calc (scoring engine)'!$K$5:$K$515,9),'Calc (scoring engine)'!$K$5:$K$515,0))="","—",INDEX(Database!$AW$5:$AW$515,MATCH(LARGE('Calc (scoring engine)'!$K$5:$K$515,9),'Calc (scoring engine)'!$K$5:$K$515,0))),""))</f>
        <v/>
      </c>
      <c r="AS29" s="24">
        <f>IF(OR(9&gt;MAX(3,MIN(15,N($D$18))),IFERROR(LARGE('Calc (scoring engine)'!$K$5:$K$515,9),-999999)&lt;=-900000),"",IFERROR(IF(INDEX(Database!$AX$5:$AX$515,MATCH(LARGE('Calc (scoring engine)'!$K$5:$K$515,9),'Calc (scoring engine)'!$K$5:$K$515,0))="","—",INDEX(Database!$AX$5:$AX$515,MATCH(LARGE('Calc (scoring engine)'!$K$5:$K$515,9),'Calc (scoring engine)'!$K$5:$K$515,0))),""))</f>
        <v/>
      </c>
      <c r="AT29" s="24">
        <f>IF(OR(9&gt;MAX(3,MIN(15,N($D$18))),IFERROR(LARGE('Calc (scoring engine)'!$K$5:$K$515,9),-999999)&lt;=-900000),"",IFERROR(IF(INDEX(Database!$AY$5:$AY$515,MATCH(LARGE('Calc (scoring engine)'!$K$5:$K$515,9),'Calc (scoring engine)'!$K$5:$K$515,0))="","—",INDEX(Database!$AY$5:$AY$515,MATCH(LARGE('Calc (scoring engine)'!$K$5:$K$515,9),'Calc (scoring engine)'!$K$5:$K$515,0))),""))</f>
        <v/>
      </c>
      <c r="AU29" s="10">
        <f>IF(OR(9&gt;MAX(3,MIN(15,N($D$18))),IFERROR(LARGE('Calc (scoring engine)'!$K$5:$K$515,9),-999999)&lt;=-900000),"",IFERROR(IF(INDEX(Database!$AZ$5:$AZ$515,MATCH(LARGE('Calc (scoring engine)'!$K$5:$K$515,9),'Calc (scoring engine)'!$K$5:$K$515,0))="","—",INDEX(Database!$AZ$5:$AZ$515,MATCH(LARGE('Calc (scoring engine)'!$K$5:$K$515,9),'Calc (scoring engine)'!$K$5:$K$515,0))),""))</f>
        <v/>
      </c>
      <c r="AV29" s="10">
        <f>IF(OR(9&gt;MAX(3,MIN(15,N($D$18))),IFERROR(LARGE('Calc (scoring engine)'!$K$5:$K$515,9),-999999)&lt;=-900000),"",IFERROR(IF(INDEX(Database!$BA$5:$BA$515,MATCH(LARGE('Calc (scoring engine)'!$K$5:$K$515,9),'Calc (scoring engine)'!$K$5:$K$515,0))="","—",INDEX(Database!$BA$5:$BA$515,MATCH(LARGE('Calc (scoring engine)'!$K$5:$K$515,9),'Calc (scoring engine)'!$K$5:$K$515,0))),""))</f>
        <v/>
      </c>
      <c r="AW29" s="23">
        <f>IF(OR(9&gt;MAX(3,MIN(15,N($D$18))),IFERROR(LARGE('Calc (scoring engine)'!$K$5:$K$515,9),-999999)&lt;=-900000),"",IFERROR(IF(INDEX(Database!$BB$5:$BB$515,MATCH(LARGE('Calc (scoring engine)'!$K$5:$K$515,9),'Calc (scoring engine)'!$K$5:$K$515,0))="","—",INDEX(Database!$BB$5:$BB$515,MATCH(LARGE('Calc (scoring engine)'!$K$5:$K$515,9),'Calc (scoring engine)'!$K$5:$K$515,0))),""))</f>
        <v/>
      </c>
      <c r="AX29" s="40">
        <f>IF(OR(9&gt;MAX(3,MIN(15,N($D$18))),IFERROR(LARGE('Calc (scoring engine)'!$K$5:$K$515,9),-999999)&lt;=-900000),"",IFERROR(IF(INDEX(Database!$BC$5:$BC$515,MATCH(LARGE('Calc (scoring engine)'!$K$5:$K$515,9),'Calc (scoring engine)'!$K$5:$K$515,0))="","—",INDEX(Database!$BC$5:$BC$515,MATCH(LARGE('Calc (scoring engine)'!$K$5:$K$515,9),'Calc (scoring engine)'!$K$5:$K$515,0))),""))</f>
        <v/>
      </c>
      <c r="AY29" s="43">
        <f>IF(OR(9&gt;MAX(3,MIN(15,N($D$18))),IFERROR(LARGE('Calc (scoring engine)'!$K$5:$K$515,9),-999999)&lt;=-900000),"",IFERROR(IF(INDEX(Database!$BD$5:$BD$515,MATCH(LARGE('Calc (scoring engine)'!$K$5:$K$515,9),'Calc (scoring engine)'!$K$5:$K$515,0))="","—",INDEX(Database!$BD$5:$BD$515,MATCH(LARGE('Calc (scoring engine)'!$K$5:$K$515,9),'Calc (scoring engine)'!$K$5:$K$515,0))),""))</f>
        <v/>
      </c>
      <c r="AZ29" s="24">
        <f>IF(OR(9&gt;MAX(3,MIN(15,N($D$18))),IFERROR(LARGE('Calc (scoring engine)'!$K$5:$K$515,9),-999999)&lt;=-900000),"",IFERROR(IF(INDEX(Database!$BE$5:$BE$515,MATCH(LARGE('Calc (scoring engine)'!$K$5:$K$515,9),'Calc (scoring engine)'!$K$5:$K$515,0))="","—",INDEX(Database!$BE$5:$BE$515,MATCH(LARGE('Calc (scoring engine)'!$K$5:$K$515,9),'Calc (scoring engine)'!$K$5:$K$515,0))),""))</f>
        <v/>
      </c>
      <c r="BA29" s="24">
        <f>IF(OR(9&gt;MAX(3,MIN(15,N($D$18))),IFERROR(LARGE('Calc (scoring engine)'!$K$5:$K$515,9),-999999)&lt;=-900000),"",IFERROR(IF(INDEX(Database!$BF$5:$BF$515,MATCH(LARGE('Calc (scoring engine)'!$K$5:$K$515,9),'Calc (scoring engine)'!$K$5:$K$515,0))="","—",INDEX(Database!$BF$5:$BF$515,MATCH(LARGE('Calc (scoring engine)'!$K$5:$K$515,9),'Calc (scoring engine)'!$K$5:$K$515,0))),""))</f>
        <v/>
      </c>
      <c r="BB29" s="10">
        <f>IF(OR(9&gt;MAX(3,MIN(15,N($D$18))),IFERROR(LARGE('Calc (scoring engine)'!$K$5:$K$515,9),-999999)&lt;=-900000),"",IFERROR(IF(INDEX(Database!$BG$5:$BG$515,MATCH(LARGE('Calc (scoring engine)'!$K$5:$K$515,9),'Calc (scoring engine)'!$K$5:$K$515,0))="","—",INDEX(Database!$BG$5:$BG$515,MATCH(LARGE('Calc (scoring engine)'!$K$5:$K$515,9),'Calc (scoring engine)'!$K$5:$K$515,0))),""))</f>
        <v/>
      </c>
      <c r="BC29" s="10">
        <f>IF(OR(9&gt;MAX(3,MIN(15,N($D$18))),IFERROR(LARGE('Calc (scoring engine)'!$K$5:$K$515,9),-999999)&lt;=-900000),"",IFERROR(IF(INDEX(Database!$BI$5:$BI$515,MATCH(LARGE('Calc (scoring engine)'!$K$5:$K$515,9),'Calc (scoring engine)'!$K$5:$K$515,0))="","—",INDEX(Database!$BI$5:$BI$515,MATCH(LARGE('Calc (scoring engine)'!$K$5:$K$515,9),'Calc (scoring engine)'!$K$5:$K$515,0))),""))</f>
        <v/>
      </c>
      <c r="BD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E29" s="24">
        <f>IF(OR(9&gt;MAX(3,MIN(15,N($D$18))),IFERROR(LARGE('Calc (scoring engine)'!$K$5:$K$515,9),-999999)&lt;=-900000),"",IFERROR(IFERROR(BDP(TEXT(INDEX(Database!$A$5:$A$515,MATCH(LARGE('Calc (scoring engine)'!$K$5:$K$515,9),'Calc (scoring engine)'!$K$5:$K$515,0)),"0")&amp;" HK Equity","PX_TO_SALES_RATIO"),IF(INDEX(Database!$AY$5:$AY$515,MATCH(LARGE('Calc (scoring engine)'!$K$5:$K$515,9),'Calc (scoring engine)'!$K$5:$K$515,0))="","—",INDEX(Database!$AY$5:$AY$515,MATCH(LARGE('Calc (scoring engine)'!$K$5:$K$515,9),'Calc (scoring engine)'!$K$5:$K$515,0)))),""))</f>
        <v/>
      </c>
      <c r="BF29" s="44">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G29" s="10">
        <f>IF(OR(9&gt;MAX(3,MIN(15,N($D$18))),IFERROR(LARGE('Calc (scoring engine)'!$K$5:$K$515,9),-999999)&lt;=-900000),"",IF(IFERROR(INDEX('Calc (scoring engine)'!$B$5:$B$515,MATCH(LARGE('Calc (scoring engine)'!$K$5:$K$515,9),'Calc (scoring engine)'!$K$5:$K$515,0)),0)=1,"same subsector","sector only"))</f>
        <v/>
      </c>
      <c r="BH29" s="44">
        <f>IF(OR(9&gt;MAX(3,MIN(15,N($D$18))),IFERROR(LARGE('Calc (scoring engine)'!$K$5:$K$515,9),-999999)&lt;=-900000),"",ROUND(IFERROR(LARGE('Calc (scoring engine)'!$K$5:$K$515,9),0),0))</f>
        <v/>
      </c>
      <c r="BI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39">
        <f>IF(OR(10&gt;MAX(3,MIN(15,N($D$18))),IFERROR(LARGE('Calc (scoring engine)'!$K$5:$K$515,10),-999999)&lt;=-900000),"",IFERROR(IF(INDEX(Database!$A$5:$A$515,MATCH(LARGE('Calc (scoring engine)'!$K$5:$K$515,10),'Calc (scoring engine)'!$K$5:$K$515,0))="","—",INDEX(Database!$A$5:$A$515,MATCH(LARGE('Calc (scoring engine)'!$K$5:$K$515,10),'Calc (scoring engine)'!$K$5:$K$515,0))),""))</f>
        <v/>
      </c>
      <c r="D30" s="10">
        <f>IF(OR(10&gt;MAX(3,MIN(15,N($D$18))),IFERROR(LARGE('Calc (scoring engine)'!$K$5:$K$515,10),-999999)&lt;=-900000),"",IFERROR(IF(INDEX(Database!$D$5:$D$515,MATCH(LARGE('Calc (scoring engine)'!$K$5:$K$515,10),'Calc (scoring engine)'!$K$5:$K$515,0))="","—",INDEX(Database!$D$5:$D$515,MATCH(LARGE('Calc (scoring engine)'!$K$5:$K$515,10),'Calc (scoring engine)'!$K$5:$K$515,0))),""))</f>
        <v/>
      </c>
      <c r="E30" s="10">
        <f>IF(OR(10&gt;MAX(3,MIN(15,N($D$18))),IFERROR(LARGE('Calc (scoring engine)'!$K$5:$K$515,10),-999999)&lt;=-900000),"",IFERROR(IF(INDEX(Database!$E$5:$E$515,MATCH(LARGE('Calc (scoring engine)'!$K$5:$K$515,10),'Calc (scoring engine)'!$K$5:$K$515,0))="","—",INDEX(Database!$E$5:$E$515,MATCH(LARGE('Calc (scoring engine)'!$K$5:$K$515,10),'Calc (scoring engine)'!$K$5:$K$515,0))),""))</f>
        <v/>
      </c>
      <c r="F30" s="10">
        <f>IF(OR(10&gt;MAX(3,MIN(15,N($D$18))),IFERROR(LARGE('Calc (scoring engine)'!$K$5:$K$515,10),-999999)&lt;=-900000),"",IFERROR(IF(INDEX(Database!$F$5:$F$515,MATCH(LARGE('Calc (scoring engine)'!$K$5:$K$515,10),'Calc (scoring engine)'!$K$5:$K$515,0))="","—",INDEX(Database!$F$5:$F$515,MATCH(LARGE('Calc (scoring engine)'!$K$5:$K$515,10),'Calc (scoring engine)'!$K$5:$K$515,0))),""))</f>
        <v/>
      </c>
      <c r="G30" s="10">
        <f>IF(OR(10&gt;MAX(3,MIN(15,N($D$18))),IFERROR(LARGE('Calc (scoring engine)'!$K$5:$K$515,10),-999999)&lt;=-900000),"",IFERROR(IF(INDEX(Database!$G$5:$G$515,MATCH(LARGE('Calc (scoring engine)'!$K$5:$K$515,10),'Calc (scoring engine)'!$K$5:$K$515,0))="","—",INDEX(Database!$G$5:$G$515,MATCH(LARGE('Calc (scoring engine)'!$K$5:$K$515,10),'Calc (scoring engine)'!$K$5:$K$515,0))),""))</f>
        <v/>
      </c>
      <c r="H30" s="21">
        <f>IF(OR(10&gt;MAX(3,MIN(15,N($D$18))),IFERROR(LARGE('Calc (scoring engine)'!$K$5:$K$515,10),-999999)&lt;=-900000),"",IFERROR(IF(INDEX(Database!$H$5:$H$515,MATCH(LARGE('Calc (scoring engine)'!$K$5:$K$515,10),'Calc (scoring engine)'!$K$5:$K$515,0))="","—",INDEX(Database!$H$5:$H$515,MATCH(LARGE('Calc (scoring engine)'!$K$5:$K$515,10),'Calc (scoring engine)'!$K$5:$K$515,0))),""))</f>
        <v/>
      </c>
      <c r="I30" s="18">
        <f>IF(OR(10&gt;MAX(3,MIN(15,N($D$18))),IFERROR(LARGE('Calc (scoring engine)'!$K$5:$K$515,10),-999999)&lt;=-900000),"",IFERROR(IF(INDEX(Database!$I$5:$I$515,MATCH(LARGE('Calc (scoring engine)'!$K$5:$K$515,10),'Calc (scoring engine)'!$K$5:$K$515,0))="","—",INDEX(Database!$I$5:$I$515,MATCH(LARGE('Calc (scoring engine)'!$K$5:$K$515,10),'Calc (scoring engine)'!$K$5:$K$515,0))),""))</f>
        <v/>
      </c>
      <c r="J30" s="40">
        <f>IF(OR(10&gt;MAX(3,MIN(15,N($D$18))),IFERROR(LARGE('Calc (scoring engine)'!$K$5:$K$515,10),-999999)&lt;=-900000),"",IFERROR(IF(INDEX(Database!$K$5:$K$515,MATCH(LARGE('Calc (scoring engine)'!$K$5:$K$515,10),'Calc (scoring engine)'!$K$5:$K$515,0))="","—",INDEX(Database!$K$5:$K$515,MATCH(LARGE('Calc (scoring engine)'!$K$5:$K$515,10),'Calc (scoring engine)'!$K$5:$K$515,0))),""))</f>
        <v/>
      </c>
      <c r="K30" s="40">
        <f>IF(OR(10&gt;MAX(3,MIN(15,N($D$18))),IFERROR(LARGE('Calc (scoring engine)'!$K$5:$K$515,10),-999999)&lt;=-900000),"",IFERROR(IF(INDEX(Database!$L$5:$L$515,MATCH(LARGE('Calc (scoring engine)'!$K$5:$K$515,10),'Calc (scoring engine)'!$K$5:$K$515,0))="","—",INDEX(Database!$L$5:$L$515,MATCH(LARGE('Calc (scoring engine)'!$K$5:$K$515,10),'Calc (scoring engine)'!$K$5:$K$515,0))),""))</f>
        <v/>
      </c>
      <c r="L30" s="40">
        <f>IF(OR(10&gt;MAX(3,MIN(15,N($D$18))),IFERROR(LARGE('Calc (scoring engine)'!$K$5:$K$515,10),-999999)&lt;=-900000),"",IFERROR(IF(INDEX(Database!$M$5:$M$515,MATCH(LARGE('Calc (scoring engine)'!$K$5:$K$515,10),'Calc (scoring engine)'!$K$5:$K$515,0))="","—",INDEX(Database!$M$5:$M$515,MATCH(LARGE('Calc (scoring engine)'!$K$5:$K$515,10),'Calc (scoring engine)'!$K$5:$K$515,0))),""))</f>
        <v/>
      </c>
      <c r="M30" s="10">
        <f>IF(OR(10&gt;MAX(3,MIN(15,N($D$18))),IFERROR(LARGE('Calc (scoring engine)'!$K$5:$K$515,10),-999999)&lt;=-900000),"",IFERROR(IF(INDEX(Database!$N$5:$N$515,MATCH(LARGE('Calc (scoring engine)'!$K$5:$K$515,10),'Calc (scoring engine)'!$K$5:$K$515,0))="","—",INDEX(Database!$N$5:$N$515,MATCH(LARGE('Calc (scoring engine)'!$K$5:$K$515,10),'Calc (scoring engine)'!$K$5:$K$515,0))),""))</f>
        <v/>
      </c>
      <c r="N30" s="28">
        <f>IF(OR(10&gt;MAX(3,MIN(15,N($D$18))),IFERROR(LARGE('Calc (scoring engine)'!$K$5:$K$515,10),-999999)&lt;=-900000),"",IFERROR(IF(INDEX(Database!$O$5:$O$515,MATCH(LARGE('Calc (scoring engine)'!$K$5:$K$515,10),'Calc (scoring engine)'!$K$5:$K$515,0))="","—",INDEX(Database!$O$5:$O$515,MATCH(LARGE('Calc (scoring engine)'!$K$5:$K$515,10),'Calc (scoring engine)'!$K$5:$K$515,0))),""))</f>
        <v/>
      </c>
      <c r="O30" s="28">
        <f>IF(OR(10&gt;MAX(3,MIN(15,N($D$18))),IFERROR(LARGE('Calc (scoring engine)'!$K$5:$K$515,10),-999999)&lt;=-900000),"",IFERROR(IF(INDEX(Database!$P$5:$P$515,MATCH(LARGE('Calc (scoring engine)'!$K$5:$K$515,10),'Calc (scoring engine)'!$K$5:$K$515,0))="","—",INDEX(Database!$P$5:$P$515,MATCH(LARGE('Calc (scoring engine)'!$K$5:$K$515,10),'Calc (scoring engine)'!$K$5:$K$515,0))),""))</f>
        <v/>
      </c>
      <c r="P30" s="18">
        <f>IF(OR(10&gt;MAX(3,MIN(15,N($D$18))),IFERROR(LARGE('Calc (scoring engine)'!$K$5:$K$515,10),-999999)&lt;=-900000),"",IFERROR(IF(INDEX(Database!$Q$5:$Q$515,MATCH(LARGE('Calc (scoring engine)'!$K$5:$K$515,10),'Calc (scoring engine)'!$K$5:$K$515,0))="","—",INDEX(Database!$Q$5:$Q$515,MATCH(LARGE('Calc (scoring engine)'!$K$5:$K$515,10),'Calc (scoring engine)'!$K$5:$K$515,0))),""))</f>
        <v/>
      </c>
      <c r="Q30" s="26">
        <f>IF(OR(10&gt;MAX(3,MIN(15,N($D$18))),IFERROR(LARGE('Calc (scoring engine)'!$K$5:$K$515,10),-999999)&lt;=-900000),"",IFERROR(IF(INDEX(Database!$S$5:$S$515,MATCH(LARGE('Calc (scoring engine)'!$K$5:$K$515,10),'Calc (scoring engine)'!$K$5:$K$515,0))="","—",INDEX(Database!$S$5:$S$515,MATCH(LARGE('Calc (scoring engine)'!$K$5:$K$515,10),'Calc (scoring engine)'!$K$5:$K$515,0))),""))</f>
        <v/>
      </c>
      <c r="R30" s="41">
        <f>IF(OR(10&gt;MAX(3,MIN(15,N($D$18))),IFERROR(LARGE('Calc (scoring engine)'!$K$5:$K$515,10),-999999)&lt;=-900000),"",IFERROR(IF(INDEX(Database!$T$5:$T$515,MATCH(LARGE('Calc (scoring engine)'!$K$5:$K$515,10),'Calc (scoring engine)'!$K$5:$K$515,0))="","—",INDEX(Database!$T$5:$T$515,MATCH(LARGE('Calc (scoring engine)'!$K$5:$K$515,10),'Calc (scoring engine)'!$K$5:$K$515,0))),""))</f>
        <v/>
      </c>
      <c r="S30" s="42">
        <f>IF(OR(10&gt;MAX(3,MIN(15,N($D$18))),IFERROR(LARGE('Calc (scoring engine)'!$K$5:$K$515,10),-999999)&lt;=-900000),"",IFERROR(IF(INDEX(Database!$U$5:$U$515,MATCH(LARGE('Calc (scoring engine)'!$K$5:$K$515,10),'Calc (scoring engine)'!$K$5:$K$515,0))="","—",INDEX(Database!$U$5:$U$515,MATCH(LARGE('Calc (scoring engine)'!$K$5:$K$515,10),'Calc (scoring engine)'!$K$5:$K$515,0))),""))</f>
        <v/>
      </c>
      <c r="T30" s="28">
        <f>IF(OR(10&gt;MAX(3,MIN(15,N($D$18))),IFERROR(LARGE('Calc (scoring engine)'!$K$5:$K$515,10),-999999)&lt;=-900000),"",IFERROR(IF(INDEX(Database!$V$5:$V$515,MATCH(LARGE('Calc (scoring engine)'!$K$5:$K$515,10),'Calc (scoring engine)'!$K$5:$K$515,0))="","—",INDEX(Database!$V$5:$V$515,MATCH(LARGE('Calc (scoring engine)'!$K$5:$K$515,10),'Calc (scoring engine)'!$K$5:$K$515,0))),""))</f>
        <v/>
      </c>
      <c r="U30" s="10">
        <f>IF(OR(10&gt;MAX(3,MIN(15,N($D$18))),IFERROR(LARGE('Calc (scoring engine)'!$K$5:$K$515,10),-999999)&lt;=-900000),"",IFERROR(IF(INDEX(Database!$W$5:$W$515,MATCH(LARGE('Calc (scoring engine)'!$K$5:$K$515,10),'Calc (scoring engine)'!$K$5:$K$515,0))="","—",INDEX(Database!$W$5:$W$515,MATCH(LARGE('Calc (scoring engine)'!$K$5:$K$515,10),'Calc (scoring engine)'!$K$5:$K$515,0))),""))</f>
        <v/>
      </c>
      <c r="V30" s="28">
        <f>IF(OR(10&gt;MAX(3,MIN(15,N($D$18))),IFERROR(LARGE('Calc (scoring engine)'!$K$5:$K$515,10),-999999)&lt;=-900000),"",IFERROR(IF(INDEX(Database!$Y$5:$Y$515,MATCH(LARGE('Calc (scoring engine)'!$K$5:$K$515,10),'Calc (scoring engine)'!$K$5:$K$515,0))="","—",INDEX(Database!$Y$5:$Y$515,MATCH(LARGE('Calc (scoring engine)'!$K$5:$K$515,10),'Calc (scoring engine)'!$K$5:$K$515,0))),""))</f>
        <v/>
      </c>
      <c r="W30" s="10">
        <f>IF(OR(10&gt;MAX(3,MIN(15,N($D$18))),IFERROR(LARGE('Calc (scoring engine)'!$K$5:$K$515,10),-999999)&lt;=-900000),"",IFERROR(IF(INDEX(Database!$Z$5:$Z$515,MATCH(LARGE('Calc (scoring engine)'!$K$5:$K$515,10),'Calc (scoring engine)'!$K$5:$K$515,0))="","—",INDEX(Database!$Z$5:$Z$515,MATCH(LARGE('Calc (scoring engine)'!$K$5:$K$515,10),'Calc (scoring engine)'!$K$5:$K$515,0))),""))</f>
        <v/>
      </c>
      <c r="X30" s="23">
        <f>IF(OR(10&gt;MAX(3,MIN(15,N($D$18))),IFERROR(LARGE('Calc (scoring engine)'!$K$5:$K$515,10),-999999)&lt;=-900000),"",IFERROR(IF(INDEX(Database!$AA$5:$AA$515,MATCH(LARGE('Calc (scoring engine)'!$K$5:$K$515,10),'Calc (scoring engine)'!$K$5:$K$515,0))="","—",INDEX(Database!$AA$5:$AA$515,MATCH(LARGE('Calc (scoring engine)'!$K$5:$K$515,10),'Calc (scoring engine)'!$K$5:$K$515,0))),""))</f>
        <v/>
      </c>
      <c r="Y30" s="23">
        <f>IF(OR(10&gt;MAX(3,MIN(15,N($D$18))),IFERROR(LARGE('Calc (scoring engine)'!$K$5:$K$515,10),-999999)&lt;=-900000),"",IFERROR(IF(INDEX(Database!$AB$5:$AB$515,MATCH(LARGE('Calc (scoring engine)'!$K$5:$K$515,10),'Calc (scoring engine)'!$K$5:$K$515,0))="","—",INDEX(Database!$AB$5:$AB$515,MATCH(LARGE('Calc (scoring engine)'!$K$5:$K$515,10),'Calc (scoring engine)'!$K$5:$K$515,0))),""))</f>
        <v/>
      </c>
      <c r="Z30" s="23">
        <f>IF(OR(10&gt;MAX(3,MIN(15,N($D$18))),IFERROR(LARGE('Calc (scoring engine)'!$K$5:$K$515,10),-999999)&lt;=-900000),"",IFERROR(IF(INDEX(Database!$AC$5:$AC$515,MATCH(LARGE('Calc (scoring engine)'!$K$5:$K$515,10),'Calc (scoring engine)'!$K$5:$K$515,0))="","—",INDEX(Database!$AC$5:$AC$515,MATCH(LARGE('Calc (scoring engine)'!$K$5:$K$515,10),'Calc (scoring engine)'!$K$5:$K$515,0))),""))</f>
        <v/>
      </c>
      <c r="AA30" s="23">
        <f>IF(OR(10&gt;MAX(3,MIN(15,N($D$18))),IFERROR(LARGE('Calc (scoring engine)'!$K$5:$K$515,10),-999999)&lt;=-900000),"",IFERROR(IF(INDEX(Database!$AD$5:$AD$515,MATCH(LARGE('Calc (scoring engine)'!$K$5:$K$515,10),'Calc (scoring engine)'!$K$5:$K$515,0))="","—",INDEX(Database!$AD$5:$AD$515,MATCH(LARGE('Calc (scoring engine)'!$K$5:$K$515,10),'Calc (scoring engine)'!$K$5:$K$515,0))),""))</f>
        <v/>
      </c>
      <c r="AB30" s="23">
        <f>IF(OR(10&gt;MAX(3,MIN(15,N($D$18))),IFERROR(LARGE('Calc (scoring engine)'!$K$5:$K$515,10),-999999)&lt;=-900000),"",IFERROR(IF(INDEX(Database!$AE$5:$AE$515,MATCH(LARGE('Calc (scoring engine)'!$K$5:$K$515,10),'Calc (scoring engine)'!$K$5:$K$515,0))="","—",INDEX(Database!$AE$5:$AE$515,MATCH(LARGE('Calc (scoring engine)'!$K$5:$K$515,10),'Calc (scoring engine)'!$K$5:$K$515,0))),""))</f>
        <v/>
      </c>
      <c r="AC30" s="23">
        <f>IF(OR(10&gt;MAX(3,MIN(15,N($D$18))),IFERROR(LARGE('Calc (scoring engine)'!$K$5:$K$515,10),-999999)&lt;=-900000),"",IFERROR(IF(INDEX(Database!$AF$5:$AF$515,MATCH(LARGE('Calc (scoring engine)'!$K$5:$K$515,10),'Calc (scoring engine)'!$K$5:$K$515,0))="","—",INDEX(Database!$AF$5:$AF$515,MATCH(LARGE('Calc (scoring engine)'!$K$5:$K$515,10),'Calc (scoring engine)'!$K$5:$K$515,0))),""))</f>
        <v/>
      </c>
      <c r="AD30" s="23">
        <f>IF(OR(10&gt;MAX(3,MIN(15,N($D$18))),IFERROR(LARGE('Calc (scoring engine)'!$K$5:$K$515,10),-999999)&lt;=-900000),"",IFERROR(IF(INDEX(Database!$AG$5:$AG$515,MATCH(LARGE('Calc (scoring engine)'!$K$5:$K$515,10),'Calc (scoring engine)'!$K$5:$K$515,0))="","—",INDEX(Database!$AG$5:$AG$515,MATCH(LARGE('Calc (scoring engine)'!$K$5:$K$515,10),'Calc (scoring engine)'!$K$5:$K$515,0))),""))</f>
        <v/>
      </c>
      <c r="AE30" s="23">
        <f>IF(OR(10&gt;MAX(3,MIN(15,N($D$18))),IFERROR(LARGE('Calc (scoring engine)'!$K$5:$K$515,10),-999999)&lt;=-900000),"",IFERROR(IF(INDEX(Database!$AH$5:$AH$515,MATCH(LARGE('Calc (scoring engine)'!$K$5:$K$515,10),'Calc (scoring engine)'!$K$5:$K$515,0))="","—",INDEX(Database!$AH$5:$AH$515,MATCH(LARGE('Calc (scoring engine)'!$K$5:$K$515,10),'Calc (scoring engine)'!$K$5:$K$515,0))),""))</f>
        <v/>
      </c>
      <c r="AF30" s="23">
        <f>IF(OR(10&gt;MAX(3,MIN(15,N($D$18))),IFERROR(LARGE('Calc (scoring engine)'!$K$5:$K$515,10),-999999)&lt;=-900000),"",IFERROR(IF(INDEX(Database!$AI$5:$AI$515,MATCH(LARGE('Calc (scoring engine)'!$K$5:$K$515,10),'Calc (scoring engine)'!$K$5:$K$515,0))="","—",INDEX(Database!$AI$5:$AI$515,MATCH(LARGE('Calc (scoring engine)'!$K$5:$K$515,10),'Calc (scoring engine)'!$K$5:$K$515,0))),""))</f>
        <v/>
      </c>
      <c r="AG30" s="23">
        <f>IF(OR(10&gt;MAX(3,MIN(15,N($D$18))),IFERROR(LARGE('Calc (scoring engine)'!$K$5:$K$515,10),-999999)&lt;=-900000),"",IFERROR(IF(INDEX(Database!$AJ$5:$AJ$515,MATCH(LARGE('Calc (scoring engine)'!$K$5:$K$515,10),'Calc (scoring engine)'!$K$5:$K$515,0))="","—",INDEX(Database!$AJ$5:$AJ$515,MATCH(LARGE('Calc (scoring engine)'!$K$5:$K$515,10),'Calc (scoring engine)'!$K$5:$K$515,0))),""))</f>
        <v/>
      </c>
      <c r="AH30" s="23">
        <f>IF(OR(10&gt;MAX(3,MIN(15,N($D$18))),IFERROR(LARGE('Calc (scoring engine)'!$K$5:$K$515,10),-999999)&lt;=-900000),"",IFERROR(IF(INDEX(Database!$AK$5:$AK$515,MATCH(LARGE('Calc (scoring engine)'!$K$5:$K$515,10),'Calc (scoring engine)'!$K$5:$K$515,0))="","—",INDEX(Database!$AK$5:$AK$515,MATCH(LARGE('Calc (scoring engine)'!$K$5:$K$515,10),'Calc (scoring engine)'!$K$5:$K$515,0))),""))</f>
        <v/>
      </c>
      <c r="AI30" s="23">
        <f>IF(OR(10&gt;MAX(3,MIN(15,N($D$18))),IFERROR(LARGE('Calc (scoring engine)'!$K$5:$K$515,10),-999999)&lt;=-900000),"",IFERROR(IF(INDEX(Database!$AL$5:$AL$515,MATCH(LARGE('Calc (scoring engine)'!$K$5:$K$515,10),'Calc (scoring engine)'!$K$5:$K$515,0))="","—",INDEX(Database!$AL$5:$AL$515,MATCH(LARGE('Calc (scoring engine)'!$K$5:$K$515,10),'Calc (scoring engine)'!$K$5:$K$515,0))),""))</f>
        <v/>
      </c>
      <c r="AJ30" s="23">
        <f>IF(OR(10&gt;MAX(3,MIN(15,N($D$18))),IFERROR(LARGE('Calc (scoring engine)'!$K$5:$K$515,10),-999999)&lt;=-900000),"",IFERROR(IF(INDEX(Database!$AM$5:$AM$515,MATCH(LARGE('Calc (scoring engine)'!$K$5:$K$515,10),'Calc (scoring engine)'!$K$5:$K$515,0))="","—",INDEX(Database!$AM$5:$AM$515,MATCH(LARGE('Calc (scoring engine)'!$K$5:$K$515,10),'Calc (scoring engine)'!$K$5:$K$515,0))),""))</f>
        <v/>
      </c>
      <c r="AK30" s="23">
        <f>IF(OR(10&gt;MAX(3,MIN(15,N($D$18))),IFERROR(LARGE('Calc (scoring engine)'!$K$5:$K$515,10),-999999)&lt;=-900000),"",IFERROR(IF(INDEX(Database!$AN$5:$AN$515,MATCH(LARGE('Calc (scoring engine)'!$K$5:$K$515,10),'Calc (scoring engine)'!$K$5:$K$515,0))="","—",INDEX(Database!$AN$5:$AN$515,MATCH(LARGE('Calc (scoring engine)'!$K$5:$K$515,10),'Calc (scoring engine)'!$K$5:$K$515,0))),""))</f>
        <v/>
      </c>
      <c r="AL30" s="23">
        <f>IF(OR(10&gt;MAX(3,MIN(15,N($D$18))),IFERROR(LARGE('Calc (scoring engine)'!$K$5:$K$515,10),-999999)&lt;=-900000),"",IFERROR(IF(INDEX(Database!$AO$5:$AO$515,MATCH(LARGE('Calc (scoring engine)'!$K$5:$K$515,10),'Calc (scoring engine)'!$K$5:$K$515,0))="","—",INDEX(Database!$AO$5:$AO$515,MATCH(LARGE('Calc (scoring engine)'!$K$5:$K$515,10),'Calc (scoring engine)'!$K$5:$K$515,0))),""))</f>
        <v/>
      </c>
      <c r="AM30" s="23">
        <f>IF(OR(10&gt;MAX(3,MIN(15,N($D$18))),IFERROR(LARGE('Calc (scoring engine)'!$K$5:$K$515,10),-999999)&lt;=-900000),"",IFERROR(IF(INDEX(Database!$AQ$5:$AQ$515,MATCH(LARGE('Calc (scoring engine)'!$K$5:$K$515,10),'Calc (scoring engine)'!$K$5:$K$515,0))="","—",INDEX(Database!$AQ$5:$AQ$515,MATCH(LARGE('Calc (scoring engine)'!$K$5:$K$515,10),'Calc (scoring engine)'!$K$5:$K$515,0))),""))</f>
        <v/>
      </c>
      <c r="AN30" s="18">
        <f>IF(OR(10&gt;MAX(3,MIN(15,N($D$18))),IFERROR(LARGE('Calc (scoring engine)'!$K$5:$K$515,10),-999999)&lt;=-900000),"",IFERROR(IF(INDEX(Database!$AS$5:$AS$515,MATCH(LARGE('Calc (scoring engine)'!$K$5:$K$515,10),'Calc (scoring engine)'!$K$5:$K$515,0))="","—",INDEX(Database!$AS$5:$AS$515,MATCH(LARGE('Calc (scoring engine)'!$K$5:$K$515,10),'Calc (scoring engine)'!$K$5:$K$515,0))),""))</f>
        <v/>
      </c>
      <c r="AO30" s="18">
        <f>IF(OR(10&gt;MAX(3,MIN(15,N($D$18))),IFERROR(LARGE('Calc (scoring engine)'!$K$5:$K$515,10),-999999)&lt;=-900000),"",IFERROR(IF(INDEX(Database!$AT$5:$AT$515,MATCH(LARGE('Calc (scoring engine)'!$K$5:$K$515,10),'Calc (scoring engine)'!$K$5:$K$515,0))="","—",INDEX(Database!$AT$5:$AT$515,MATCH(LARGE('Calc (scoring engine)'!$K$5:$K$515,10),'Calc (scoring engine)'!$K$5:$K$515,0))),""))</f>
        <v/>
      </c>
      <c r="AP30" s="10">
        <f>IF(OR(10&gt;MAX(3,MIN(15,N($D$18))),IFERROR(LARGE('Calc (scoring engine)'!$K$5:$K$515,10),-999999)&lt;=-900000),"",IFERROR(IF(INDEX(Database!$AU$5:$AU$515,MATCH(LARGE('Calc (scoring engine)'!$K$5:$K$515,10),'Calc (scoring engine)'!$K$5:$K$515,0))="","—",INDEX(Database!$AU$5:$AU$515,MATCH(LARGE('Calc (scoring engine)'!$K$5:$K$515,10),'Calc (scoring engine)'!$K$5:$K$515,0))),""))</f>
        <v/>
      </c>
      <c r="AQ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R30" s="24">
        <f>IF(OR(10&gt;MAX(3,MIN(15,N($D$18))),IFERROR(LARGE('Calc (scoring engine)'!$K$5:$K$515,10),-999999)&lt;=-900000),"",IFERROR(IF(INDEX(Database!$AW$5:$AW$515,MATCH(LARGE('Calc (scoring engine)'!$K$5:$K$515,10),'Calc (scoring engine)'!$K$5:$K$515,0))="","—",INDEX(Database!$AW$5:$AW$515,MATCH(LARGE('Calc (scoring engine)'!$K$5:$K$515,10),'Calc (scoring engine)'!$K$5:$K$515,0))),""))</f>
        <v/>
      </c>
      <c r="AS30" s="24">
        <f>IF(OR(10&gt;MAX(3,MIN(15,N($D$18))),IFERROR(LARGE('Calc (scoring engine)'!$K$5:$K$515,10),-999999)&lt;=-900000),"",IFERROR(IF(INDEX(Database!$AX$5:$AX$515,MATCH(LARGE('Calc (scoring engine)'!$K$5:$K$515,10),'Calc (scoring engine)'!$K$5:$K$515,0))="","—",INDEX(Database!$AX$5:$AX$515,MATCH(LARGE('Calc (scoring engine)'!$K$5:$K$515,10),'Calc (scoring engine)'!$K$5:$K$515,0))),""))</f>
        <v/>
      </c>
      <c r="AT30" s="24">
        <f>IF(OR(10&gt;MAX(3,MIN(15,N($D$18))),IFERROR(LARGE('Calc (scoring engine)'!$K$5:$K$515,10),-999999)&lt;=-900000),"",IFERROR(IF(INDEX(Database!$AY$5:$AY$515,MATCH(LARGE('Calc (scoring engine)'!$K$5:$K$515,10),'Calc (scoring engine)'!$K$5:$K$515,0))="","—",INDEX(Database!$AY$5:$AY$515,MATCH(LARGE('Calc (scoring engine)'!$K$5:$K$515,10),'Calc (scoring engine)'!$K$5:$K$515,0))),""))</f>
        <v/>
      </c>
      <c r="AU30" s="10">
        <f>IF(OR(10&gt;MAX(3,MIN(15,N($D$18))),IFERROR(LARGE('Calc (scoring engine)'!$K$5:$K$515,10),-999999)&lt;=-900000),"",IFERROR(IF(INDEX(Database!$AZ$5:$AZ$515,MATCH(LARGE('Calc (scoring engine)'!$K$5:$K$515,10),'Calc (scoring engine)'!$K$5:$K$515,0))="","—",INDEX(Database!$AZ$5:$AZ$515,MATCH(LARGE('Calc (scoring engine)'!$K$5:$K$515,10),'Calc (scoring engine)'!$K$5:$K$515,0))),""))</f>
        <v/>
      </c>
      <c r="AV30" s="10">
        <f>IF(OR(10&gt;MAX(3,MIN(15,N($D$18))),IFERROR(LARGE('Calc (scoring engine)'!$K$5:$K$515,10),-999999)&lt;=-900000),"",IFERROR(IF(INDEX(Database!$BA$5:$BA$515,MATCH(LARGE('Calc (scoring engine)'!$K$5:$K$515,10),'Calc (scoring engine)'!$K$5:$K$515,0))="","—",INDEX(Database!$BA$5:$BA$515,MATCH(LARGE('Calc (scoring engine)'!$K$5:$K$515,10),'Calc (scoring engine)'!$K$5:$K$515,0))),""))</f>
        <v/>
      </c>
      <c r="AW30" s="23">
        <f>IF(OR(10&gt;MAX(3,MIN(15,N($D$18))),IFERROR(LARGE('Calc (scoring engine)'!$K$5:$K$515,10),-999999)&lt;=-900000),"",IFERROR(IF(INDEX(Database!$BB$5:$BB$515,MATCH(LARGE('Calc (scoring engine)'!$K$5:$K$515,10),'Calc (scoring engine)'!$K$5:$K$515,0))="","—",INDEX(Database!$BB$5:$BB$515,MATCH(LARGE('Calc (scoring engine)'!$K$5:$K$515,10),'Calc (scoring engine)'!$K$5:$K$515,0))),""))</f>
        <v/>
      </c>
      <c r="AX30" s="40">
        <f>IF(OR(10&gt;MAX(3,MIN(15,N($D$18))),IFERROR(LARGE('Calc (scoring engine)'!$K$5:$K$515,10),-999999)&lt;=-900000),"",IFERROR(IF(INDEX(Database!$BC$5:$BC$515,MATCH(LARGE('Calc (scoring engine)'!$K$5:$K$515,10),'Calc (scoring engine)'!$K$5:$K$515,0))="","—",INDEX(Database!$BC$5:$BC$515,MATCH(LARGE('Calc (scoring engine)'!$K$5:$K$515,10),'Calc (scoring engine)'!$K$5:$K$515,0))),""))</f>
        <v/>
      </c>
      <c r="AY30" s="43">
        <f>IF(OR(10&gt;MAX(3,MIN(15,N($D$18))),IFERROR(LARGE('Calc (scoring engine)'!$K$5:$K$515,10),-999999)&lt;=-900000),"",IFERROR(IF(INDEX(Database!$BD$5:$BD$515,MATCH(LARGE('Calc (scoring engine)'!$K$5:$K$515,10),'Calc (scoring engine)'!$K$5:$K$515,0))="","—",INDEX(Database!$BD$5:$BD$515,MATCH(LARGE('Calc (scoring engine)'!$K$5:$K$515,10),'Calc (scoring engine)'!$K$5:$K$515,0))),""))</f>
        <v/>
      </c>
      <c r="AZ30" s="24">
        <f>IF(OR(10&gt;MAX(3,MIN(15,N($D$18))),IFERROR(LARGE('Calc (scoring engine)'!$K$5:$K$515,10),-999999)&lt;=-900000),"",IFERROR(IF(INDEX(Database!$BE$5:$BE$515,MATCH(LARGE('Calc (scoring engine)'!$K$5:$K$515,10),'Calc (scoring engine)'!$K$5:$K$515,0))="","—",INDEX(Database!$BE$5:$BE$515,MATCH(LARGE('Calc (scoring engine)'!$K$5:$K$515,10),'Calc (scoring engine)'!$K$5:$K$515,0))),""))</f>
        <v/>
      </c>
      <c r="BA30" s="24">
        <f>IF(OR(10&gt;MAX(3,MIN(15,N($D$18))),IFERROR(LARGE('Calc (scoring engine)'!$K$5:$K$515,10),-999999)&lt;=-900000),"",IFERROR(IF(INDEX(Database!$BF$5:$BF$515,MATCH(LARGE('Calc (scoring engine)'!$K$5:$K$515,10),'Calc (scoring engine)'!$K$5:$K$515,0))="","—",INDEX(Database!$BF$5:$BF$515,MATCH(LARGE('Calc (scoring engine)'!$K$5:$K$515,10),'Calc (scoring engine)'!$K$5:$K$515,0))),""))</f>
        <v/>
      </c>
      <c r="BB30" s="10">
        <f>IF(OR(10&gt;MAX(3,MIN(15,N($D$18))),IFERROR(LARGE('Calc (scoring engine)'!$K$5:$K$515,10),-999999)&lt;=-900000),"",IFERROR(IF(INDEX(Database!$BG$5:$BG$515,MATCH(LARGE('Calc (scoring engine)'!$K$5:$K$515,10),'Calc (scoring engine)'!$K$5:$K$515,0))="","—",INDEX(Database!$BG$5:$BG$515,MATCH(LARGE('Calc (scoring engine)'!$K$5:$K$515,10),'Calc (scoring engine)'!$K$5:$K$515,0))),""))</f>
        <v/>
      </c>
      <c r="BC30" s="10">
        <f>IF(OR(10&gt;MAX(3,MIN(15,N($D$18))),IFERROR(LARGE('Calc (scoring engine)'!$K$5:$K$515,10),-999999)&lt;=-900000),"",IFERROR(IF(INDEX(Database!$BI$5:$BI$515,MATCH(LARGE('Calc (scoring engine)'!$K$5:$K$515,10),'Calc (scoring engine)'!$K$5:$K$515,0))="","—",INDEX(Database!$BI$5:$BI$515,MATCH(LARGE('Calc (scoring engine)'!$K$5:$K$515,10),'Calc (scoring engine)'!$K$5:$K$515,0))),""))</f>
        <v/>
      </c>
      <c r="BD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E30" s="24">
        <f>IF(OR(10&gt;MAX(3,MIN(15,N($D$18))),IFERROR(LARGE('Calc (scoring engine)'!$K$5:$K$515,10),-999999)&lt;=-900000),"",IFERROR(IFERROR(BDP(TEXT(INDEX(Database!$A$5:$A$515,MATCH(LARGE('Calc (scoring engine)'!$K$5:$K$515,10),'Calc (scoring engine)'!$K$5:$K$515,0)),"0")&amp;" HK Equity","PX_TO_SALES_RATIO"),IF(INDEX(Database!$AY$5:$AY$515,MATCH(LARGE('Calc (scoring engine)'!$K$5:$K$515,10),'Calc (scoring engine)'!$K$5:$K$515,0))="","—",INDEX(Database!$AY$5:$AY$515,MATCH(LARGE('Calc (scoring engine)'!$K$5:$K$515,10),'Calc (scoring engine)'!$K$5:$K$515,0)))),""))</f>
        <v/>
      </c>
      <c r="BF30" s="44">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G30" s="10">
        <f>IF(OR(10&gt;MAX(3,MIN(15,N($D$18))),IFERROR(LARGE('Calc (scoring engine)'!$K$5:$K$515,10),-999999)&lt;=-900000),"",IF(IFERROR(INDEX('Calc (scoring engine)'!$B$5:$B$515,MATCH(LARGE('Calc (scoring engine)'!$K$5:$K$515,10),'Calc (scoring engine)'!$K$5:$K$515,0)),0)=1,"same subsector","sector only"))</f>
        <v/>
      </c>
      <c r="BH30" s="44">
        <f>IF(OR(10&gt;MAX(3,MIN(15,N($D$18))),IFERROR(LARGE('Calc (scoring engine)'!$K$5:$K$515,10),-999999)&lt;=-900000),"",ROUND(IFERROR(LARGE('Calc (scoring engine)'!$K$5:$K$515,10),0),0))</f>
        <v/>
      </c>
      <c r="BI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39">
        <f>IF(OR(11&gt;MAX(3,MIN(15,N($D$18))),IFERROR(LARGE('Calc (scoring engine)'!$K$5:$K$515,11),-999999)&lt;=-900000),"",IFERROR(IF(INDEX(Database!$A$5:$A$515,MATCH(LARGE('Calc (scoring engine)'!$K$5:$K$515,11),'Calc (scoring engine)'!$K$5:$K$515,0))="","—",INDEX(Database!$A$5:$A$515,MATCH(LARGE('Calc (scoring engine)'!$K$5:$K$515,11),'Calc (scoring engine)'!$K$5:$K$515,0))),""))</f>
        <v/>
      </c>
      <c r="D31" s="10">
        <f>IF(OR(11&gt;MAX(3,MIN(15,N($D$18))),IFERROR(LARGE('Calc (scoring engine)'!$K$5:$K$515,11),-999999)&lt;=-900000),"",IFERROR(IF(INDEX(Database!$D$5:$D$515,MATCH(LARGE('Calc (scoring engine)'!$K$5:$K$515,11),'Calc (scoring engine)'!$K$5:$K$515,0))="","—",INDEX(Database!$D$5:$D$515,MATCH(LARGE('Calc (scoring engine)'!$K$5:$K$515,11),'Calc (scoring engine)'!$K$5:$K$515,0))),""))</f>
        <v/>
      </c>
      <c r="E31" s="10">
        <f>IF(OR(11&gt;MAX(3,MIN(15,N($D$18))),IFERROR(LARGE('Calc (scoring engine)'!$K$5:$K$515,11),-999999)&lt;=-900000),"",IFERROR(IF(INDEX(Database!$E$5:$E$515,MATCH(LARGE('Calc (scoring engine)'!$K$5:$K$515,11),'Calc (scoring engine)'!$K$5:$K$515,0))="","—",INDEX(Database!$E$5:$E$515,MATCH(LARGE('Calc (scoring engine)'!$K$5:$K$515,11),'Calc (scoring engine)'!$K$5:$K$515,0))),""))</f>
        <v/>
      </c>
      <c r="F31" s="10">
        <f>IF(OR(11&gt;MAX(3,MIN(15,N($D$18))),IFERROR(LARGE('Calc (scoring engine)'!$K$5:$K$515,11),-999999)&lt;=-900000),"",IFERROR(IF(INDEX(Database!$F$5:$F$515,MATCH(LARGE('Calc (scoring engine)'!$K$5:$K$515,11),'Calc (scoring engine)'!$K$5:$K$515,0))="","—",INDEX(Database!$F$5:$F$515,MATCH(LARGE('Calc (scoring engine)'!$K$5:$K$515,11),'Calc (scoring engine)'!$K$5:$K$515,0))),""))</f>
        <v/>
      </c>
      <c r="G31" s="10">
        <f>IF(OR(11&gt;MAX(3,MIN(15,N($D$18))),IFERROR(LARGE('Calc (scoring engine)'!$K$5:$K$515,11),-999999)&lt;=-900000),"",IFERROR(IF(INDEX(Database!$G$5:$G$515,MATCH(LARGE('Calc (scoring engine)'!$K$5:$K$515,11),'Calc (scoring engine)'!$K$5:$K$515,0))="","—",INDEX(Database!$G$5:$G$515,MATCH(LARGE('Calc (scoring engine)'!$K$5:$K$515,11),'Calc (scoring engine)'!$K$5:$K$515,0))),""))</f>
        <v/>
      </c>
      <c r="H31" s="21">
        <f>IF(OR(11&gt;MAX(3,MIN(15,N($D$18))),IFERROR(LARGE('Calc (scoring engine)'!$K$5:$K$515,11),-999999)&lt;=-900000),"",IFERROR(IF(INDEX(Database!$H$5:$H$515,MATCH(LARGE('Calc (scoring engine)'!$K$5:$K$515,11),'Calc (scoring engine)'!$K$5:$K$515,0))="","—",INDEX(Database!$H$5:$H$515,MATCH(LARGE('Calc (scoring engine)'!$K$5:$K$515,11),'Calc (scoring engine)'!$K$5:$K$515,0))),""))</f>
        <v/>
      </c>
      <c r="I31" s="18">
        <f>IF(OR(11&gt;MAX(3,MIN(15,N($D$18))),IFERROR(LARGE('Calc (scoring engine)'!$K$5:$K$515,11),-999999)&lt;=-900000),"",IFERROR(IF(INDEX(Database!$I$5:$I$515,MATCH(LARGE('Calc (scoring engine)'!$K$5:$K$515,11),'Calc (scoring engine)'!$K$5:$K$515,0))="","—",INDEX(Database!$I$5:$I$515,MATCH(LARGE('Calc (scoring engine)'!$K$5:$K$515,11),'Calc (scoring engine)'!$K$5:$K$515,0))),""))</f>
        <v/>
      </c>
      <c r="J31" s="40">
        <f>IF(OR(11&gt;MAX(3,MIN(15,N($D$18))),IFERROR(LARGE('Calc (scoring engine)'!$K$5:$K$515,11),-999999)&lt;=-900000),"",IFERROR(IF(INDEX(Database!$K$5:$K$515,MATCH(LARGE('Calc (scoring engine)'!$K$5:$K$515,11),'Calc (scoring engine)'!$K$5:$K$515,0))="","—",INDEX(Database!$K$5:$K$515,MATCH(LARGE('Calc (scoring engine)'!$K$5:$K$515,11),'Calc (scoring engine)'!$K$5:$K$515,0))),""))</f>
        <v/>
      </c>
      <c r="K31" s="40">
        <f>IF(OR(11&gt;MAX(3,MIN(15,N($D$18))),IFERROR(LARGE('Calc (scoring engine)'!$K$5:$K$515,11),-999999)&lt;=-900000),"",IFERROR(IF(INDEX(Database!$L$5:$L$515,MATCH(LARGE('Calc (scoring engine)'!$K$5:$K$515,11),'Calc (scoring engine)'!$K$5:$K$515,0))="","—",INDEX(Database!$L$5:$L$515,MATCH(LARGE('Calc (scoring engine)'!$K$5:$K$515,11),'Calc (scoring engine)'!$K$5:$K$515,0))),""))</f>
        <v/>
      </c>
      <c r="L31" s="40">
        <f>IF(OR(11&gt;MAX(3,MIN(15,N($D$18))),IFERROR(LARGE('Calc (scoring engine)'!$K$5:$K$515,11),-999999)&lt;=-900000),"",IFERROR(IF(INDEX(Database!$M$5:$M$515,MATCH(LARGE('Calc (scoring engine)'!$K$5:$K$515,11),'Calc (scoring engine)'!$K$5:$K$515,0))="","—",INDEX(Database!$M$5:$M$515,MATCH(LARGE('Calc (scoring engine)'!$K$5:$K$515,11),'Calc (scoring engine)'!$K$5:$K$515,0))),""))</f>
        <v/>
      </c>
      <c r="M31" s="10">
        <f>IF(OR(11&gt;MAX(3,MIN(15,N($D$18))),IFERROR(LARGE('Calc (scoring engine)'!$K$5:$K$515,11),-999999)&lt;=-900000),"",IFERROR(IF(INDEX(Database!$N$5:$N$515,MATCH(LARGE('Calc (scoring engine)'!$K$5:$K$515,11),'Calc (scoring engine)'!$K$5:$K$515,0))="","—",INDEX(Database!$N$5:$N$515,MATCH(LARGE('Calc (scoring engine)'!$K$5:$K$515,11),'Calc (scoring engine)'!$K$5:$K$515,0))),""))</f>
        <v/>
      </c>
      <c r="N31" s="28">
        <f>IF(OR(11&gt;MAX(3,MIN(15,N($D$18))),IFERROR(LARGE('Calc (scoring engine)'!$K$5:$K$515,11),-999999)&lt;=-900000),"",IFERROR(IF(INDEX(Database!$O$5:$O$515,MATCH(LARGE('Calc (scoring engine)'!$K$5:$K$515,11),'Calc (scoring engine)'!$K$5:$K$515,0))="","—",INDEX(Database!$O$5:$O$515,MATCH(LARGE('Calc (scoring engine)'!$K$5:$K$515,11),'Calc (scoring engine)'!$K$5:$K$515,0))),""))</f>
        <v/>
      </c>
      <c r="O31" s="28">
        <f>IF(OR(11&gt;MAX(3,MIN(15,N($D$18))),IFERROR(LARGE('Calc (scoring engine)'!$K$5:$K$515,11),-999999)&lt;=-900000),"",IFERROR(IF(INDEX(Database!$P$5:$P$515,MATCH(LARGE('Calc (scoring engine)'!$K$5:$K$515,11),'Calc (scoring engine)'!$K$5:$K$515,0))="","—",INDEX(Database!$P$5:$P$515,MATCH(LARGE('Calc (scoring engine)'!$K$5:$K$515,11),'Calc (scoring engine)'!$K$5:$K$515,0))),""))</f>
        <v/>
      </c>
      <c r="P31" s="18">
        <f>IF(OR(11&gt;MAX(3,MIN(15,N($D$18))),IFERROR(LARGE('Calc (scoring engine)'!$K$5:$K$515,11),-999999)&lt;=-900000),"",IFERROR(IF(INDEX(Database!$Q$5:$Q$515,MATCH(LARGE('Calc (scoring engine)'!$K$5:$K$515,11),'Calc (scoring engine)'!$K$5:$K$515,0))="","—",INDEX(Database!$Q$5:$Q$515,MATCH(LARGE('Calc (scoring engine)'!$K$5:$K$515,11),'Calc (scoring engine)'!$K$5:$K$515,0))),""))</f>
        <v/>
      </c>
      <c r="Q31" s="26">
        <f>IF(OR(11&gt;MAX(3,MIN(15,N($D$18))),IFERROR(LARGE('Calc (scoring engine)'!$K$5:$K$515,11),-999999)&lt;=-900000),"",IFERROR(IF(INDEX(Database!$S$5:$S$515,MATCH(LARGE('Calc (scoring engine)'!$K$5:$K$515,11),'Calc (scoring engine)'!$K$5:$K$515,0))="","—",INDEX(Database!$S$5:$S$515,MATCH(LARGE('Calc (scoring engine)'!$K$5:$K$515,11),'Calc (scoring engine)'!$K$5:$K$515,0))),""))</f>
        <v/>
      </c>
      <c r="R31" s="41">
        <f>IF(OR(11&gt;MAX(3,MIN(15,N($D$18))),IFERROR(LARGE('Calc (scoring engine)'!$K$5:$K$515,11),-999999)&lt;=-900000),"",IFERROR(IF(INDEX(Database!$T$5:$T$515,MATCH(LARGE('Calc (scoring engine)'!$K$5:$K$515,11),'Calc (scoring engine)'!$K$5:$K$515,0))="","—",INDEX(Database!$T$5:$T$515,MATCH(LARGE('Calc (scoring engine)'!$K$5:$K$515,11),'Calc (scoring engine)'!$K$5:$K$515,0))),""))</f>
        <v/>
      </c>
      <c r="S31" s="42">
        <f>IF(OR(11&gt;MAX(3,MIN(15,N($D$18))),IFERROR(LARGE('Calc (scoring engine)'!$K$5:$K$515,11),-999999)&lt;=-900000),"",IFERROR(IF(INDEX(Database!$U$5:$U$515,MATCH(LARGE('Calc (scoring engine)'!$K$5:$K$515,11),'Calc (scoring engine)'!$K$5:$K$515,0))="","—",INDEX(Database!$U$5:$U$515,MATCH(LARGE('Calc (scoring engine)'!$K$5:$K$515,11),'Calc (scoring engine)'!$K$5:$K$515,0))),""))</f>
        <v/>
      </c>
      <c r="T31" s="28">
        <f>IF(OR(11&gt;MAX(3,MIN(15,N($D$18))),IFERROR(LARGE('Calc (scoring engine)'!$K$5:$K$515,11),-999999)&lt;=-900000),"",IFERROR(IF(INDEX(Database!$V$5:$V$515,MATCH(LARGE('Calc (scoring engine)'!$K$5:$K$515,11),'Calc (scoring engine)'!$K$5:$K$515,0))="","—",INDEX(Database!$V$5:$V$515,MATCH(LARGE('Calc (scoring engine)'!$K$5:$K$515,11),'Calc (scoring engine)'!$K$5:$K$515,0))),""))</f>
        <v/>
      </c>
      <c r="U31" s="10">
        <f>IF(OR(11&gt;MAX(3,MIN(15,N($D$18))),IFERROR(LARGE('Calc (scoring engine)'!$K$5:$K$515,11),-999999)&lt;=-900000),"",IFERROR(IF(INDEX(Database!$W$5:$W$515,MATCH(LARGE('Calc (scoring engine)'!$K$5:$K$515,11),'Calc (scoring engine)'!$K$5:$K$515,0))="","—",INDEX(Database!$W$5:$W$515,MATCH(LARGE('Calc (scoring engine)'!$K$5:$K$515,11),'Calc (scoring engine)'!$K$5:$K$515,0))),""))</f>
        <v/>
      </c>
      <c r="V31" s="28">
        <f>IF(OR(11&gt;MAX(3,MIN(15,N($D$18))),IFERROR(LARGE('Calc (scoring engine)'!$K$5:$K$515,11),-999999)&lt;=-900000),"",IFERROR(IF(INDEX(Database!$Y$5:$Y$515,MATCH(LARGE('Calc (scoring engine)'!$K$5:$K$515,11),'Calc (scoring engine)'!$K$5:$K$515,0))="","—",INDEX(Database!$Y$5:$Y$515,MATCH(LARGE('Calc (scoring engine)'!$K$5:$K$515,11),'Calc (scoring engine)'!$K$5:$K$515,0))),""))</f>
        <v/>
      </c>
      <c r="W31" s="10">
        <f>IF(OR(11&gt;MAX(3,MIN(15,N($D$18))),IFERROR(LARGE('Calc (scoring engine)'!$K$5:$K$515,11),-999999)&lt;=-900000),"",IFERROR(IF(INDEX(Database!$Z$5:$Z$515,MATCH(LARGE('Calc (scoring engine)'!$K$5:$K$515,11),'Calc (scoring engine)'!$K$5:$K$515,0))="","—",INDEX(Database!$Z$5:$Z$515,MATCH(LARGE('Calc (scoring engine)'!$K$5:$K$515,11),'Calc (scoring engine)'!$K$5:$K$515,0))),""))</f>
        <v/>
      </c>
      <c r="X31" s="23">
        <f>IF(OR(11&gt;MAX(3,MIN(15,N($D$18))),IFERROR(LARGE('Calc (scoring engine)'!$K$5:$K$515,11),-999999)&lt;=-900000),"",IFERROR(IF(INDEX(Database!$AA$5:$AA$515,MATCH(LARGE('Calc (scoring engine)'!$K$5:$K$515,11),'Calc (scoring engine)'!$K$5:$K$515,0))="","—",INDEX(Database!$AA$5:$AA$515,MATCH(LARGE('Calc (scoring engine)'!$K$5:$K$515,11),'Calc (scoring engine)'!$K$5:$K$515,0))),""))</f>
        <v/>
      </c>
      <c r="Y31" s="23">
        <f>IF(OR(11&gt;MAX(3,MIN(15,N($D$18))),IFERROR(LARGE('Calc (scoring engine)'!$K$5:$K$515,11),-999999)&lt;=-900000),"",IFERROR(IF(INDEX(Database!$AB$5:$AB$515,MATCH(LARGE('Calc (scoring engine)'!$K$5:$K$515,11),'Calc (scoring engine)'!$K$5:$K$515,0))="","—",INDEX(Database!$AB$5:$AB$515,MATCH(LARGE('Calc (scoring engine)'!$K$5:$K$515,11),'Calc (scoring engine)'!$K$5:$K$515,0))),""))</f>
        <v/>
      </c>
      <c r="Z31" s="23">
        <f>IF(OR(11&gt;MAX(3,MIN(15,N($D$18))),IFERROR(LARGE('Calc (scoring engine)'!$K$5:$K$515,11),-999999)&lt;=-900000),"",IFERROR(IF(INDEX(Database!$AC$5:$AC$515,MATCH(LARGE('Calc (scoring engine)'!$K$5:$K$515,11),'Calc (scoring engine)'!$K$5:$K$515,0))="","—",INDEX(Database!$AC$5:$AC$515,MATCH(LARGE('Calc (scoring engine)'!$K$5:$K$515,11),'Calc (scoring engine)'!$K$5:$K$515,0))),""))</f>
        <v/>
      </c>
      <c r="AA31" s="23">
        <f>IF(OR(11&gt;MAX(3,MIN(15,N($D$18))),IFERROR(LARGE('Calc (scoring engine)'!$K$5:$K$515,11),-999999)&lt;=-900000),"",IFERROR(IF(INDEX(Database!$AD$5:$AD$515,MATCH(LARGE('Calc (scoring engine)'!$K$5:$K$515,11),'Calc (scoring engine)'!$K$5:$K$515,0))="","—",INDEX(Database!$AD$5:$AD$515,MATCH(LARGE('Calc (scoring engine)'!$K$5:$K$515,11),'Calc (scoring engine)'!$K$5:$K$515,0))),""))</f>
        <v/>
      </c>
      <c r="AB31" s="23">
        <f>IF(OR(11&gt;MAX(3,MIN(15,N($D$18))),IFERROR(LARGE('Calc (scoring engine)'!$K$5:$K$515,11),-999999)&lt;=-900000),"",IFERROR(IF(INDEX(Database!$AE$5:$AE$515,MATCH(LARGE('Calc (scoring engine)'!$K$5:$K$515,11),'Calc (scoring engine)'!$K$5:$K$515,0))="","—",INDEX(Database!$AE$5:$AE$515,MATCH(LARGE('Calc (scoring engine)'!$K$5:$K$515,11),'Calc (scoring engine)'!$K$5:$K$515,0))),""))</f>
        <v/>
      </c>
      <c r="AC31" s="23">
        <f>IF(OR(11&gt;MAX(3,MIN(15,N($D$18))),IFERROR(LARGE('Calc (scoring engine)'!$K$5:$K$515,11),-999999)&lt;=-900000),"",IFERROR(IF(INDEX(Database!$AF$5:$AF$515,MATCH(LARGE('Calc (scoring engine)'!$K$5:$K$515,11),'Calc (scoring engine)'!$K$5:$K$515,0))="","—",INDEX(Database!$AF$5:$AF$515,MATCH(LARGE('Calc (scoring engine)'!$K$5:$K$515,11),'Calc (scoring engine)'!$K$5:$K$515,0))),""))</f>
        <v/>
      </c>
      <c r="AD31" s="23">
        <f>IF(OR(11&gt;MAX(3,MIN(15,N($D$18))),IFERROR(LARGE('Calc (scoring engine)'!$K$5:$K$515,11),-999999)&lt;=-900000),"",IFERROR(IF(INDEX(Database!$AG$5:$AG$515,MATCH(LARGE('Calc (scoring engine)'!$K$5:$K$515,11),'Calc (scoring engine)'!$K$5:$K$515,0))="","—",INDEX(Database!$AG$5:$AG$515,MATCH(LARGE('Calc (scoring engine)'!$K$5:$K$515,11),'Calc (scoring engine)'!$K$5:$K$515,0))),""))</f>
        <v/>
      </c>
      <c r="AE31" s="23">
        <f>IF(OR(11&gt;MAX(3,MIN(15,N($D$18))),IFERROR(LARGE('Calc (scoring engine)'!$K$5:$K$515,11),-999999)&lt;=-900000),"",IFERROR(IF(INDEX(Database!$AH$5:$AH$515,MATCH(LARGE('Calc (scoring engine)'!$K$5:$K$515,11),'Calc (scoring engine)'!$K$5:$K$515,0))="","—",INDEX(Database!$AH$5:$AH$515,MATCH(LARGE('Calc (scoring engine)'!$K$5:$K$515,11),'Calc (scoring engine)'!$K$5:$K$515,0))),""))</f>
        <v/>
      </c>
      <c r="AF31" s="23">
        <f>IF(OR(11&gt;MAX(3,MIN(15,N($D$18))),IFERROR(LARGE('Calc (scoring engine)'!$K$5:$K$515,11),-999999)&lt;=-900000),"",IFERROR(IF(INDEX(Database!$AI$5:$AI$515,MATCH(LARGE('Calc (scoring engine)'!$K$5:$K$515,11),'Calc (scoring engine)'!$K$5:$K$515,0))="","—",INDEX(Database!$AI$5:$AI$515,MATCH(LARGE('Calc (scoring engine)'!$K$5:$K$515,11),'Calc (scoring engine)'!$K$5:$K$515,0))),""))</f>
        <v/>
      </c>
      <c r="AG31" s="23">
        <f>IF(OR(11&gt;MAX(3,MIN(15,N($D$18))),IFERROR(LARGE('Calc (scoring engine)'!$K$5:$K$515,11),-999999)&lt;=-900000),"",IFERROR(IF(INDEX(Database!$AJ$5:$AJ$515,MATCH(LARGE('Calc (scoring engine)'!$K$5:$K$515,11),'Calc (scoring engine)'!$K$5:$K$515,0))="","—",INDEX(Database!$AJ$5:$AJ$515,MATCH(LARGE('Calc (scoring engine)'!$K$5:$K$515,11),'Calc (scoring engine)'!$K$5:$K$515,0))),""))</f>
        <v/>
      </c>
      <c r="AH31" s="23">
        <f>IF(OR(11&gt;MAX(3,MIN(15,N($D$18))),IFERROR(LARGE('Calc (scoring engine)'!$K$5:$K$515,11),-999999)&lt;=-900000),"",IFERROR(IF(INDEX(Database!$AK$5:$AK$515,MATCH(LARGE('Calc (scoring engine)'!$K$5:$K$515,11),'Calc (scoring engine)'!$K$5:$K$515,0))="","—",INDEX(Database!$AK$5:$AK$515,MATCH(LARGE('Calc (scoring engine)'!$K$5:$K$515,11),'Calc (scoring engine)'!$K$5:$K$515,0))),""))</f>
        <v/>
      </c>
      <c r="AI31" s="23">
        <f>IF(OR(11&gt;MAX(3,MIN(15,N($D$18))),IFERROR(LARGE('Calc (scoring engine)'!$K$5:$K$515,11),-999999)&lt;=-900000),"",IFERROR(IF(INDEX(Database!$AL$5:$AL$515,MATCH(LARGE('Calc (scoring engine)'!$K$5:$K$515,11),'Calc (scoring engine)'!$K$5:$K$515,0))="","—",INDEX(Database!$AL$5:$AL$515,MATCH(LARGE('Calc (scoring engine)'!$K$5:$K$515,11),'Calc (scoring engine)'!$K$5:$K$515,0))),""))</f>
        <v/>
      </c>
      <c r="AJ31" s="23">
        <f>IF(OR(11&gt;MAX(3,MIN(15,N($D$18))),IFERROR(LARGE('Calc (scoring engine)'!$K$5:$K$515,11),-999999)&lt;=-900000),"",IFERROR(IF(INDEX(Database!$AM$5:$AM$515,MATCH(LARGE('Calc (scoring engine)'!$K$5:$K$515,11),'Calc (scoring engine)'!$K$5:$K$515,0))="","—",INDEX(Database!$AM$5:$AM$515,MATCH(LARGE('Calc (scoring engine)'!$K$5:$K$515,11),'Calc (scoring engine)'!$K$5:$K$515,0))),""))</f>
        <v/>
      </c>
      <c r="AK31" s="23">
        <f>IF(OR(11&gt;MAX(3,MIN(15,N($D$18))),IFERROR(LARGE('Calc (scoring engine)'!$K$5:$K$515,11),-999999)&lt;=-900000),"",IFERROR(IF(INDEX(Database!$AN$5:$AN$515,MATCH(LARGE('Calc (scoring engine)'!$K$5:$K$515,11),'Calc (scoring engine)'!$K$5:$K$515,0))="","—",INDEX(Database!$AN$5:$AN$515,MATCH(LARGE('Calc (scoring engine)'!$K$5:$K$515,11),'Calc (scoring engine)'!$K$5:$K$515,0))),""))</f>
        <v/>
      </c>
      <c r="AL31" s="23">
        <f>IF(OR(11&gt;MAX(3,MIN(15,N($D$18))),IFERROR(LARGE('Calc (scoring engine)'!$K$5:$K$515,11),-999999)&lt;=-900000),"",IFERROR(IF(INDEX(Database!$AO$5:$AO$515,MATCH(LARGE('Calc (scoring engine)'!$K$5:$K$515,11),'Calc (scoring engine)'!$K$5:$K$515,0))="","—",INDEX(Database!$AO$5:$AO$515,MATCH(LARGE('Calc (scoring engine)'!$K$5:$K$515,11),'Calc (scoring engine)'!$K$5:$K$515,0))),""))</f>
        <v/>
      </c>
      <c r="AM31" s="23">
        <f>IF(OR(11&gt;MAX(3,MIN(15,N($D$18))),IFERROR(LARGE('Calc (scoring engine)'!$K$5:$K$515,11),-999999)&lt;=-900000),"",IFERROR(IF(INDEX(Database!$AQ$5:$AQ$515,MATCH(LARGE('Calc (scoring engine)'!$K$5:$K$515,11),'Calc (scoring engine)'!$K$5:$K$515,0))="","—",INDEX(Database!$AQ$5:$AQ$515,MATCH(LARGE('Calc (scoring engine)'!$K$5:$K$515,11),'Calc (scoring engine)'!$K$5:$K$515,0))),""))</f>
        <v/>
      </c>
      <c r="AN31" s="18">
        <f>IF(OR(11&gt;MAX(3,MIN(15,N($D$18))),IFERROR(LARGE('Calc (scoring engine)'!$K$5:$K$515,11),-999999)&lt;=-900000),"",IFERROR(IF(INDEX(Database!$AS$5:$AS$515,MATCH(LARGE('Calc (scoring engine)'!$K$5:$K$515,11),'Calc (scoring engine)'!$K$5:$K$515,0))="","—",INDEX(Database!$AS$5:$AS$515,MATCH(LARGE('Calc (scoring engine)'!$K$5:$K$515,11),'Calc (scoring engine)'!$K$5:$K$515,0))),""))</f>
        <v/>
      </c>
      <c r="AO31" s="18">
        <f>IF(OR(11&gt;MAX(3,MIN(15,N($D$18))),IFERROR(LARGE('Calc (scoring engine)'!$K$5:$K$515,11),-999999)&lt;=-900000),"",IFERROR(IF(INDEX(Database!$AT$5:$AT$515,MATCH(LARGE('Calc (scoring engine)'!$K$5:$K$515,11),'Calc (scoring engine)'!$K$5:$K$515,0))="","—",INDEX(Database!$AT$5:$AT$515,MATCH(LARGE('Calc (scoring engine)'!$K$5:$K$515,11),'Calc (scoring engine)'!$K$5:$K$515,0))),""))</f>
        <v/>
      </c>
      <c r="AP31" s="10">
        <f>IF(OR(11&gt;MAX(3,MIN(15,N($D$18))),IFERROR(LARGE('Calc (scoring engine)'!$K$5:$K$515,11),-999999)&lt;=-900000),"",IFERROR(IF(INDEX(Database!$AU$5:$AU$515,MATCH(LARGE('Calc (scoring engine)'!$K$5:$K$515,11),'Calc (scoring engine)'!$K$5:$K$515,0))="","—",INDEX(Database!$AU$5:$AU$515,MATCH(LARGE('Calc (scoring engine)'!$K$5:$K$515,11),'Calc (scoring engine)'!$K$5:$K$515,0))),""))</f>
        <v/>
      </c>
      <c r="AQ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R31" s="24">
        <f>IF(OR(11&gt;MAX(3,MIN(15,N($D$18))),IFERROR(LARGE('Calc (scoring engine)'!$K$5:$K$515,11),-999999)&lt;=-900000),"",IFERROR(IF(INDEX(Database!$AW$5:$AW$515,MATCH(LARGE('Calc (scoring engine)'!$K$5:$K$515,11),'Calc (scoring engine)'!$K$5:$K$515,0))="","—",INDEX(Database!$AW$5:$AW$515,MATCH(LARGE('Calc (scoring engine)'!$K$5:$K$515,11),'Calc (scoring engine)'!$K$5:$K$515,0))),""))</f>
        <v/>
      </c>
      <c r="AS31" s="24">
        <f>IF(OR(11&gt;MAX(3,MIN(15,N($D$18))),IFERROR(LARGE('Calc (scoring engine)'!$K$5:$K$515,11),-999999)&lt;=-900000),"",IFERROR(IF(INDEX(Database!$AX$5:$AX$515,MATCH(LARGE('Calc (scoring engine)'!$K$5:$K$515,11),'Calc (scoring engine)'!$K$5:$K$515,0))="","—",INDEX(Database!$AX$5:$AX$515,MATCH(LARGE('Calc (scoring engine)'!$K$5:$K$515,11),'Calc (scoring engine)'!$K$5:$K$515,0))),""))</f>
        <v/>
      </c>
      <c r="AT31" s="24">
        <f>IF(OR(11&gt;MAX(3,MIN(15,N($D$18))),IFERROR(LARGE('Calc (scoring engine)'!$K$5:$K$515,11),-999999)&lt;=-900000),"",IFERROR(IF(INDEX(Database!$AY$5:$AY$515,MATCH(LARGE('Calc (scoring engine)'!$K$5:$K$515,11),'Calc (scoring engine)'!$K$5:$K$515,0))="","—",INDEX(Database!$AY$5:$AY$515,MATCH(LARGE('Calc (scoring engine)'!$K$5:$K$515,11),'Calc (scoring engine)'!$K$5:$K$515,0))),""))</f>
        <v/>
      </c>
      <c r="AU31" s="10">
        <f>IF(OR(11&gt;MAX(3,MIN(15,N($D$18))),IFERROR(LARGE('Calc (scoring engine)'!$K$5:$K$515,11),-999999)&lt;=-900000),"",IFERROR(IF(INDEX(Database!$AZ$5:$AZ$515,MATCH(LARGE('Calc (scoring engine)'!$K$5:$K$515,11),'Calc (scoring engine)'!$K$5:$K$515,0))="","—",INDEX(Database!$AZ$5:$AZ$515,MATCH(LARGE('Calc (scoring engine)'!$K$5:$K$515,11),'Calc (scoring engine)'!$K$5:$K$515,0))),""))</f>
        <v/>
      </c>
      <c r="AV31" s="10">
        <f>IF(OR(11&gt;MAX(3,MIN(15,N($D$18))),IFERROR(LARGE('Calc (scoring engine)'!$K$5:$K$515,11),-999999)&lt;=-900000),"",IFERROR(IF(INDEX(Database!$BA$5:$BA$515,MATCH(LARGE('Calc (scoring engine)'!$K$5:$K$515,11),'Calc (scoring engine)'!$K$5:$K$515,0))="","—",INDEX(Database!$BA$5:$BA$515,MATCH(LARGE('Calc (scoring engine)'!$K$5:$K$515,11),'Calc (scoring engine)'!$K$5:$K$515,0))),""))</f>
        <v/>
      </c>
      <c r="AW31" s="23">
        <f>IF(OR(11&gt;MAX(3,MIN(15,N($D$18))),IFERROR(LARGE('Calc (scoring engine)'!$K$5:$K$515,11),-999999)&lt;=-900000),"",IFERROR(IF(INDEX(Database!$BB$5:$BB$515,MATCH(LARGE('Calc (scoring engine)'!$K$5:$K$515,11),'Calc (scoring engine)'!$K$5:$K$515,0))="","—",INDEX(Database!$BB$5:$BB$515,MATCH(LARGE('Calc (scoring engine)'!$K$5:$K$515,11),'Calc (scoring engine)'!$K$5:$K$515,0))),""))</f>
        <v/>
      </c>
      <c r="AX31" s="40">
        <f>IF(OR(11&gt;MAX(3,MIN(15,N($D$18))),IFERROR(LARGE('Calc (scoring engine)'!$K$5:$K$515,11),-999999)&lt;=-900000),"",IFERROR(IF(INDEX(Database!$BC$5:$BC$515,MATCH(LARGE('Calc (scoring engine)'!$K$5:$K$515,11),'Calc (scoring engine)'!$K$5:$K$515,0))="","—",INDEX(Database!$BC$5:$BC$515,MATCH(LARGE('Calc (scoring engine)'!$K$5:$K$515,11),'Calc (scoring engine)'!$K$5:$K$515,0))),""))</f>
        <v/>
      </c>
      <c r="AY31" s="43">
        <f>IF(OR(11&gt;MAX(3,MIN(15,N($D$18))),IFERROR(LARGE('Calc (scoring engine)'!$K$5:$K$515,11),-999999)&lt;=-900000),"",IFERROR(IF(INDEX(Database!$BD$5:$BD$515,MATCH(LARGE('Calc (scoring engine)'!$K$5:$K$515,11),'Calc (scoring engine)'!$K$5:$K$515,0))="","—",INDEX(Database!$BD$5:$BD$515,MATCH(LARGE('Calc (scoring engine)'!$K$5:$K$515,11),'Calc (scoring engine)'!$K$5:$K$515,0))),""))</f>
        <v/>
      </c>
      <c r="AZ31" s="24">
        <f>IF(OR(11&gt;MAX(3,MIN(15,N($D$18))),IFERROR(LARGE('Calc (scoring engine)'!$K$5:$K$515,11),-999999)&lt;=-900000),"",IFERROR(IF(INDEX(Database!$BE$5:$BE$515,MATCH(LARGE('Calc (scoring engine)'!$K$5:$K$515,11),'Calc (scoring engine)'!$K$5:$K$515,0))="","—",INDEX(Database!$BE$5:$BE$515,MATCH(LARGE('Calc (scoring engine)'!$K$5:$K$515,11),'Calc (scoring engine)'!$K$5:$K$515,0))),""))</f>
        <v/>
      </c>
      <c r="BA31" s="24">
        <f>IF(OR(11&gt;MAX(3,MIN(15,N($D$18))),IFERROR(LARGE('Calc (scoring engine)'!$K$5:$K$515,11),-999999)&lt;=-900000),"",IFERROR(IF(INDEX(Database!$BF$5:$BF$515,MATCH(LARGE('Calc (scoring engine)'!$K$5:$K$515,11),'Calc (scoring engine)'!$K$5:$K$515,0))="","—",INDEX(Database!$BF$5:$BF$515,MATCH(LARGE('Calc (scoring engine)'!$K$5:$K$515,11),'Calc (scoring engine)'!$K$5:$K$515,0))),""))</f>
        <v/>
      </c>
      <c r="BB31" s="10">
        <f>IF(OR(11&gt;MAX(3,MIN(15,N($D$18))),IFERROR(LARGE('Calc (scoring engine)'!$K$5:$K$515,11),-999999)&lt;=-900000),"",IFERROR(IF(INDEX(Database!$BG$5:$BG$515,MATCH(LARGE('Calc (scoring engine)'!$K$5:$K$515,11),'Calc (scoring engine)'!$K$5:$K$515,0))="","—",INDEX(Database!$BG$5:$BG$515,MATCH(LARGE('Calc (scoring engine)'!$K$5:$K$515,11),'Calc (scoring engine)'!$K$5:$K$515,0))),""))</f>
        <v/>
      </c>
      <c r="BC31" s="10">
        <f>IF(OR(11&gt;MAX(3,MIN(15,N($D$18))),IFERROR(LARGE('Calc (scoring engine)'!$K$5:$K$515,11),-999999)&lt;=-900000),"",IFERROR(IF(INDEX(Database!$BI$5:$BI$515,MATCH(LARGE('Calc (scoring engine)'!$K$5:$K$515,11),'Calc (scoring engine)'!$K$5:$K$515,0))="","—",INDEX(Database!$BI$5:$BI$515,MATCH(LARGE('Calc (scoring engine)'!$K$5:$K$515,11),'Calc (scoring engine)'!$K$5:$K$515,0))),""))</f>
        <v/>
      </c>
      <c r="BD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E31" s="24">
        <f>IF(OR(11&gt;MAX(3,MIN(15,N($D$18))),IFERROR(LARGE('Calc (scoring engine)'!$K$5:$K$515,11),-999999)&lt;=-900000),"",IFERROR(IFERROR(BDP(TEXT(INDEX(Database!$A$5:$A$515,MATCH(LARGE('Calc (scoring engine)'!$K$5:$K$515,11),'Calc (scoring engine)'!$K$5:$K$515,0)),"0")&amp;" HK Equity","PX_TO_SALES_RATIO"),IF(INDEX(Database!$AY$5:$AY$515,MATCH(LARGE('Calc (scoring engine)'!$K$5:$K$515,11),'Calc (scoring engine)'!$K$5:$K$515,0))="","—",INDEX(Database!$AY$5:$AY$515,MATCH(LARGE('Calc (scoring engine)'!$K$5:$K$515,11),'Calc (scoring engine)'!$K$5:$K$515,0)))),""))</f>
        <v/>
      </c>
      <c r="BF31" s="44">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G31" s="10">
        <f>IF(OR(11&gt;MAX(3,MIN(15,N($D$18))),IFERROR(LARGE('Calc (scoring engine)'!$K$5:$K$515,11),-999999)&lt;=-900000),"",IF(IFERROR(INDEX('Calc (scoring engine)'!$B$5:$B$515,MATCH(LARGE('Calc (scoring engine)'!$K$5:$K$515,11),'Calc (scoring engine)'!$K$5:$K$515,0)),0)=1,"same subsector","sector only"))</f>
        <v/>
      </c>
      <c r="BH31" s="44">
        <f>IF(OR(11&gt;MAX(3,MIN(15,N($D$18))),IFERROR(LARGE('Calc (scoring engine)'!$K$5:$K$515,11),-999999)&lt;=-900000),"",ROUND(IFERROR(LARGE('Calc (scoring engine)'!$K$5:$K$515,11),0),0))</f>
        <v/>
      </c>
      <c r="BI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39">
        <f>IF(OR(12&gt;MAX(3,MIN(15,N($D$18))),IFERROR(LARGE('Calc (scoring engine)'!$K$5:$K$515,12),-999999)&lt;=-900000),"",IFERROR(IF(INDEX(Database!$A$5:$A$515,MATCH(LARGE('Calc (scoring engine)'!$K$5:$K$515,12),'Calc (scoring engine)'!$K$5:$K$515,0))="","—",INDEX(Database!$A$5:$A$515,MATCH(LARGE('Calc (scoring engine)'!$K$5:$K$515,12),'Calc (scoring engine)'!$K$5:$K$515,0))),""))</f>
        <v/>
      </c>
      <c r="D32" s="10">
        <f>IF(OR(12&gt;MAX(3,MIN(15,N($D$18))),IFERROR(LARGE('Calc (scoring engine)'!$K$5:$K$515,12),-999999)&lt;=-900000),"",IFERROR(IF(INDEX(Database!$D$5:$D$515,MATCH(LARGE('Calc (scoring engine)'!$K$5:$K$515,12),'Calc (scoring engine)'!$K$5:$K$515,0))="","—",INDEX(Database!$D$5:$D$515,MATCH(LARGE('Calc (scoring engine)'!$K$5:$K$515,12),'Calc (scoring engine)'!$K$5:$K$515,0))),""))</f>
        <v/>
      </c>
      <c r="E32" s="10">
        <f>IF(OR(12&gt;MAX(3,MIN(15,N($D$18))),IFERROR(LARGE('Calc (scoring engine)'!$K$5:$K$515,12),-999999)&lt;=-900000),"",IFERROR(IF(INDEX(Database!$E$5:$E$515,MATCH(LARGE('Calc (scoring engine)'!$K$5:$K$515,12),'Calc (scoring engine)'!$K$5:$K$515,0))="","—",INDEX(Database!$E$5:$E$515,MATCH(LARGE('Calc (scoring engine)'!$K$5:$K$515,12),'Calc (scoring engine)'!$K$5:$K$515,0))),""))</f>
        <v/>
      </c>
      <c r="F32" s="10">
        <f>IF(OR(12&gt;MAX(3,MIN(15,N($D$18))),IFERROR(LARGE('Calc (scoring engine)'!$K$5:$K$515,12),-999999)&lt;=-900000),"",IFERROR(IF(INDEX(Database!$F$5:$F$515,MATCH(LARGE('Calc (scoring engine)'!$K$5:$K$515,12),'Calc (scoring engine)'!$K$5:$K$515,0))="","—",INDEX(Database!$F$5:$F$515,MATCH(LARGE('Calc (scoring engine)'!$K$5:$K$515,12),'Calc (scoring engine)'!$K$5:$K$515,0))),""))</f>
        <v/>
      </c>
      <c r="G32" s="10">
        <f>IF(OR(12&gt;MAX(3,MIN(15,N($D$18))),IFERROR(LARGE('Calc (scoring engine)'!$K$5:$K$515,12),-999999)&lt;=-900000),"",IFERROR(IF(INDEX(Database!$G$5:$G$515,MATCH(LARGE('Calc (scoring engine)'!$K$5:$K$515,12),'Calc (scoring engine)'!$K$5:$K$515,0))="","—",INDEX(Database!$G$5:$G$515,MATCH(LARGE('Calc (scoring engine)'!$K$5:$K$515,12),'Calc (scoring engine)'!$K$5:$K$515,0))),""))</f>
        <v/>
      </c>
      <c r="H32" s="21">
        <f>IF(OR(12&gt;MAX(3,MIN(15,N($D$18))),IFERROR(LARGE('Calc (scoring engine)'!$K$5:$K$515,12),-999999)&lt;=-900000),"",IFERROR(IF(INDEX(Database!$H$5:$H$515,MATCH(LARGE('Calc (scoring engine)'!$K$5:$K$515,12),'Calc (scoring engine)'!$K$5:$K$515,0))="","—",INDEX(Database!$H$5:$H$515,MATCH(LARGE('Calc (scoring engine)'!$K$5:$K$515,12),'Calc (scoring engine)'!$K$5:$K$515,0))),""))</f>
        <v/>
      </c>
      <c r="I32" s="18">
        <f>IF(OR(12&gt;MAX(3,MIN(15,N($D$18))),IFERROR(LARGE('Calc (scoring engine)'!$K$5:$K$515,12),-999999)&lt;=-900000),"",IFERROR(IF(INDEX(Database!$I$5:$I$515,MATCH(LARGE('Calc (scoring engine)'!$K$5:$K$515,12),'Calc (scoring engine)'!$K$5:$K$515,0))="","—",INDEX(Database!$I$5:$I$515,MATCH(LARGE('Calc (scoring engine)'!$K$5:$K$515,12),'Calc (scoring engine)'!$K$5:$K$515,0))),""))</f>
        <v/>
      </c>
      <c r="J32" s="40">
        <f>IF(OR(12&gt;MAX(3,MIN(15,N($D$18))),IFERROR(LARGE('Calc (scoring engine)'!$K$5:$K$515,12),-999999)&lt;=-900000),"",IFERROR(IF(INDEX(Database!$K$5:$K$515,MATCH(LARGE('Calc (scoring engine)'!$K$5:$K$515,12),'Calc (scoring engine)'!$K$5:$K$515,0))="","—",INDEX(Database!$K$5:$K$515,MATCH(LARGE('Calc (scoring engine)'!$K$5:$K$515,12),'Calc (scoring engine)'!$K$5:$K$515,0))),""))</f>
        <v/>
      </c>
      <c r="K32" s="40">
        <f>IF(OR(12&gt;MAX(3,MIN(15,N($D$18))),IFERROR(LARGE('Calc (scoring engine)'!$K$5:$K$515,12),-999999)&lt;=-900000),"",IFERROR(IF(INDEX(Database!$L$5:$L$515,MATCH(LARGE('Calc (scoring engine)'!$K$5:$K$515,12),'Calc (scoring engine)'!$K$5:$K$515,0))="","—",INDEX(Database!$L$5:$L$515,MATCH(LARGE('Calc (scoring engine)'!$K$5:$K$515,12),'Calc (scoring engine)'!$K$5:$K$515,0))),""))</f>
        <v/>
      </c>
      <c r="L32" s="40">
        <f>IF(OR(12&gt;MAX(3,MIN(15,N($D$18))),IFERROR(LARGE('Calc (scoring engine)'!$K$5:$K$515,12),-999999)&lt;=-900000),"",IFERROR(IF(INDEX(Database!$M$5:$M$515,MATCH(LARGE('Calc (scoring engine)'!$K$5:$K$515,12),'Calc (scoring engine)'!$K$5:$K$515,0))="","—",INDEX(Database!$M$5:$M$515,MATCH(LARGE('Calc (scoring engine)'!$K$5:$K$515,12),'Calc (scoring engine)'!$K$5:$K$515,0))),""))</f>
        <v/>
      </c>
      <c r="M32" s="10">
        <f>IF(OR(12&gt;MAX(3,MIN(15,N($D$18))),IFERROR(LARGE('Calc (scoring engine)'!$K$5:$K$515,12),-999999)&lt;=-900000),"",IFERROR(IF(INDEX(Database!$N$5:$N$515,MATCH(LARGE('Calc (scoring engine)'!$K$5:$K$515,12),'Calc (scoring engine)'!$K$5:$K$515,0))="","—",INDEX(Database!$N$5:$N$515,MATCH(LARGE('Calc (scoring engine)'!$K$5:$K$515,12),'Calc (scoring engine)'!$K$5:$K$515,0))),""))</f>
        <v/>
      </c>
      <c r="N32" s="28">
        <f>IF(OR(12&gt;MAX(3,MIN(15,N($D$18))),IFERROR(LARGE('Calc (scoring engine)'!$K$5:$K$515,12),-999999)&lt;=-900000),"",IFERROR(IF(INDEX(Database!$O$5:$O$515,MATCH(LARGE('Calc (scoring engine)'!$K$5:$K$515,12),'Calc (scoring engine)'!$K$5:$K$515,0))="","—",INDEX(Database!$O$5:$O$515,MATCH(LARGE('Calc (scoring engine)'!$K$5:$K$515,12),'Calc (scoring engine)'!$K$5:$K$515,0))),""))</f>
        <v/>
      </c>
      <c r="O32" s="28">
        <f>IF(OR(12&gt;MAX(3,MIN(15,N($D$18))),IFERROR(LARGE('Calc (scoring engine)'!$K$5:$K$515,12),-999999)&lt;=-900000),"",IFERROR(IF(INDEX(Database!$P$5:$P$515,MATCH(LARGE('Calc (scoring engine)'!$K$5:$K$515,12),'Calc (scoring engine)'!$K$5:$K$515,0))="","—",INDEX(Database!$P$5:$P$515,MATCH(LARGE('Calc (scoring engine)'!$K$5:$K$515,12),'Calc (scoring engine)'!$K$5:$K$515,0))),""))</f>
        <v/>
      </c>
      <c r="P32" s="18">
        <f>IF(OR(12&gt;MAX(3,MIN(15,N($D$18))),IFERROR(LARGE('Calc (scoring engine)'!$K$5:$K$515,12),-999999)&lt;=-900000),"",IFERROR(IF(INDEX(Database!$Q$5:$Q$515,MATCH(LARGE('Calc (scoring engine)'!$K$5:$K$515,12),'Calc (scoring engine)'!$K$5:$K$515,0))="","—",INDEX(Database!$Q$5:$Q$515,MATCH(LARGE('Calc (scoring engine)'!$K$5:$K$515,12),'Calc (scoring engine)'!$K$5:$K$515,0))),""))</f>
        <v/>
      </c>
      <c r="Q32" s="26">
        <f>IF(OR(12&gt;MAX(3,MIN(15,N($D$18))),IFERROR(LARGE('Calc (scoring engine)'!$K$5:$K$515,12),-999999)&lt;=-900000),"",IFERROR(IF(INDEX(Database!$S$5:$S$515,MATCH(LARGE('Calc (scoring engine)'!$K$5:$K$515,12),'Calc (scoring engine)'!$K$5:$K$515,0))="","—",INDEX(Database!$S$5:$S$515,MATCH(LARGE('Calc (scoring engine)'!$K$5:$K$515,12),'Calc (scoring engine)'!$K$5:$K$515,0))),""))</f>
        <v/>
      </c>
      <c r="R32" s="41">
        <f>IF(OR(12&gt;MAX(3,MIN(15,N($D$18))),IFERROR(LARGE('Calc (scoring engine)'!$K$5:$K$515,12),-999999)&lt;=-900000),"",IFERROR(IF(INDEX(Database!$T$5:$T$515,MATCH(LARGE('Calc (scoring engine)'!$K$5:$K$515,12),'Calc (scoring engine)'!$K$5:$K$515,0))="","—",INDEX(Database!$T$5:$T$515,MATCH(LARGE('Calc (scoring engine)'!$K$5:$K$515,12),'Calc (scoring engine)'!$K$5:$K$515,0))),""))</f>
        <v/>
      </c>
      <c r="S32" s="42">
        <f>IF(OR(12&gt;MAX(3,MIN(15,N($D$18))),IFERROR(LARGE('Calc (scoring engine)'!$K$5:$K$515,12),-999999)&lt;=-900000),"",IFERROR(IF(INDEX(Database!$U$5:$U$515,MATCH(LARGE('Calc (scoring engine)'!$K$5:$K$515,12),'Calc (scoring engine)'!$K$5:$K$515,0))="","—",INDEX(Database!$U$5:$U$515,MATCH(LARGE('Calc (scoring engine)'!$K$5:$K$515,12),'Calc (scoring engine)'!$K$5:$K$515,0))),""))</f>
        <v/>
      </c>
      <c r="T32" s="28">
        <f>IF(OR(12&gt;MAX(3,MIN(15,N($D$18))),IFERROR(LARGE('Calc (scoring engine)'!$K$5:$K$515,12),-999999)&lt;=-900000),"",IFERROR(IF(INDEX(Database!$V$5:$V$515,MATCH(LARGE('Calc (scoring engine)'!$K$5:$K$515,12),'Calc (scoring engine)'!$K$5:$K$515,0))="","—",INDEX(Database!$V$5:$V$515,MATCH(LARGE('Calc (scoring engine)'!$K$5:$K$515,12),'Calc (scoring engine)'!$K$5:$K$515,0))),""))</f>
        <v/>
      </c>
      <c r="U32" s="10">
        <f>IF(OR(12&gt;MAX(3,MIN(15,N($D$18))),IFERROR(LARGE('Calc (scoring engine)'!$K$5:$K$515,12),-999999)&lt;=-900000),"",IFERROR(IF(INDEX(Database!$W$5:$W$515,MATCH(LARGE('Calc (scoring engine)'!$K$5:$K$515,12),'Calc (scoring engine)'!$K$5:$K$515,0))="","—",INDEX(Database!$W$5:$W$515,MATCH(LARGE('Calc (scoring engine)'!$K$5:$K$515,12),'Calc (scoring engine)'!$K$5:$K$515,0))),""))</f>
        <v/>
      </c>
      <c r="V32" s="28">
        <f>IF(OR(12&gt;MAX(3,MIN(15,N($D$18))),IFERROR(LARGE('Calc (scoring engine)'!$K$5:$K$515,12),-999999)&lt;=-900000),"",IFERROR(IF(INDEX(Database!$Y$5:$Y$515,MATCH(LARGE('Calc (scoring engine)'!$K$5:$K$515,12),'Calc (scoring engine)'!$K$5:$K$515,0))="","—",INDEX(Database!$Y$5:$Y$515,MATCH(LARGE('Calc (scoring engine)'!$K$5:$K$515,12),'Calc (scoring engine)'!$K$5:$K$515,0))),""))</f>
        <v/>
      </c>
      <c r="W32" s="10">
        <f>IF(OR(12&gt;MAX(3,MIN(15,N($D$18))),IFERROR(LARGE('Calc (scoring engine)'!$K$5:$K$515,12),-999999)&lt;=-900000),"",IFERROR(IF(INDEX(Database!$Z$5:$Z$515,MATCH(LARGE('Calc (scoring engine)'!$K$5:$K$515,12),'Calc (scoring engine)'!$K$5:$K$515,0))="","—",INDEX(Database!$Z$5:$Z$515,MATCH(LARGE('Calc (scoring engine)'!$K$5:$K$515,12),'Calc (scoring engine)'!$K$5:$K$515,0))),""))</f>
        <v/>
      </c>
      <c r="X32" s="23">
        <f>IF(OR(12&gt;MAX(3,MIN(15,N($D$18))),IFERROR(LARGE('Calc (scoring engine)'!$K$5:$K$515,12),-999999)&lt;=-900000),"",IFERROR(IF(INDEX(Database!$AA$5:$AA$515,MATCH(LARGE('Calc (scoring engine)'!$K$5:$K$515,12),'Calc (scoring engine)'!$K$5:$K$515,0))="","—",INDEX(Database!$AA$5:$AA$515,MATCH(LARGE('Calc (scoring engine)'!$K$5:$K$515,12),'Calc (scoring engine)'!$K$5:$K$515,0))),""))</f>
        <v/>
      </c>
      <c r="Y32" s="23">
        <f>IF(OR(12&gt;MAX(3,MIN(15,N($D$18))),IFERROR(LARGE('Calc (scoring engine)'!$K$5:$K$515,12),-999999)&lt;=-900000),"",IFERROR(IF(INDEX(Database!$AB$5:$AB$515,MATCH(LARGE('Calc (scoring engine)'!$K$5:$K$515,12),'Calc (scoring engine)'!$K$5:$K$515,0))="","—",INDEX(Database!$AB$5:$AB$515,MATCH(LARGE('Calc (scoring engine)'!$K$5:$K$515,12),'Calc (scoring engine)'!$K$5:$K$515,0))),""))</f>
        <v/>
      </c>
      <c r="Z32" s="23">
        <f>IF(OR(12&gt;MAX(3,MIN(15,N($D$18))),IFERROR(LARGE('Calc (scoring engine)'!$K$5:$K$515,12),-999999)&lt;=-900000),"",IFERROR(IF(INDEX(Database!$AC$5:$AC$515,MATCH(LARGE('Calc (scoring engine)'!$K$5:$K$515,12),'Calc (scoring engine)'!$K$5:$K$515,0))="","—",INDEX(Database!$AC$5:$AC$515,MATCH(LARGE('Calc (scoring engine)'!$K$5:$K$515,12),'Calc (scoring engine)'!$K$5:$K$515,0))),""))</f>
        <v/>
      </c>
      <c r="AA32" s="23">
        <f>IF(OR(12&gt;MAX(3,MIN(15,N($D$18))),IFERROR(LARGE('Calc (scoring engine)'!$K$5:$K$515,12),-999999)&lt;=-900000),"",IFERROR(IF(INDEX(Database!$AD$5:$AD$515,MATCH(LARGE('Calc (scoring engine)'!$K$5:$K$515,12),'Calc (scoring engine)'!$K$5:$K$515,0))="","—",INDEX(Database!$AD$5:$AD$515,MATCH(LARGE('Calc (scoring engine)'!$K$5:$K$515,12),'Calc (scoring engine)'!$K$5:$K$515,0))),""))</f>
        <v/>
      </c>
      <c r="AB32" s="23">
        <f>IF(OR(12&gt;MAX(3,MIN(15,N($D$18))),IFERROR(LARGE('Calc (scoring engine)'!$K$5:$K$515,12),-999999)&lt;=-900000),"",IFERROR(IF(INDEX(Database!$AE$5:$AE$515,MATCH(LARGE('Calc (scoring engine)'!$K$5:$K$515,12),'Calc (scoring engine)'!$K$5:$K$515,0))="","—",INDEX(Database!$AE$5:$AE$515,MATCH(LARGE('Calc (scoring engine)'!$K$5:$K$515,12),'Calc (scoring engine)'!$K$5:$K$515,0))),""))</f>
        <v/>
      </c>
      <c r="AC32" s="23">
        <f>IF(OR(12&gt;MAX(3,MIN(15,N($D$18))),IFERROR(LARGE('Calc (scoring engine)'!$K$5:$K$515,12),-999999)&lt;=-900000),"",IFERROR(IF(INDEX(Database!$AF$5:$AF$515,MATCH(LARGE('Calc (scoring engine)'!$K$5:$K$515,12),'Calc (scoring engine)'!$K$5:$K$515,0))="","—",INDEX(Database!$AF$5:$AF$515,MATCH(LARGE('Calc (scoring engine)'!$K$5:$K$515,12),'Calc (scoring engine)'!$K$5:$K$515,0))),""))</f>
        <v/>
      </c>
      <c r="AD32" s="23">
        <f>IF(OR(12&gt;MAX(3,MIN(15,N($D$18))),IFERROR(LARGE('Calc (scoring engine)'!$K$5:$K$515,12),-999999)&lt;=-900000),"",IFERROR(IF(INDEX(Database!$AG$5:$AG$515,MATCH(LARGE('Calc (scoring engine)'!$K$5:$K$515,12),'Calc (scoring engine)'!$K$5:$K$515,0))="","—",INDEX(Database!$AG$5:$AG$515,MATCH(LARGE('Calc (scoring engine)'!$K$5:$K$515,12),'Calc (scoring engine)'!$K$5:$K$515,0))),""))</f>
        <v/>
      </c>
      <c r="AE32" s="23">
        <f>IF(OR(12&gt;MAX(3,MIN(15,N($D$18))),IFERROR(LARGE('Calc (scoring engine)'!$K$5:$K$515,12),-999999)&lt;=-900000),"",IFERROR(IF(INDEX(Database!$AH$5:$AH$515,MATCH(LARGE('Calc (scoring engine)'!$K$5:$K$515,12),'Calc (scoring engine)'!$K$5:$K$515,0))="","—",INDEX(Database!$AH$5:$AH$515,MATCH(LARGE('Calc (scoring engine)'!$K$5:$K$515,12),'Calc (scoring engine)'!$K$5:$K$515,0))),""))</f>
        <v/>
      </c>
      <c r="AF32" s="23">
        <f>IF(OR(12&gt;MAX(3,MIN(15,N($D$18))),IFERROR(LARGE('Calc (scoring engine)'!$K$5:$K$515,12),-999999)&lt;=-900000),"",IFERROR(IF(INDEX(Database!$AI$5:$AI$515,MATCH(LARGE('Calc (scoring engine)'!$K$5:$K$515,12),'Calc (scoring engine)'!$K$5:$K$515,0))="","—",INDEX(Database!$AI$5:$AI$515,MATCH(LARGE('Calc (scoring engine)'!$K$5:$K$515,12),'Calc (scoring engine)'!$K$5:$K$515,0))),""))</f>
        <v/>
      </c>
      <c r="AG32" s="23">
        <f>IF(OR(12&gt;MAX(3,MIN(15,N($D$18))),IFERROR(LARGE('Calc (scoring engine)'!$K$5:$K$515,12),-999999)&lt;=-900000),"",IFERROR(IF(INDEX(Database!$AJ$5:$AJ$515,MATCH(LARGE('Calc (scoring engine)'!$K$5:$K$515,12),'Calc (scoring engine)'!$K$5:$K$515,0))="","—",INDEX(Database!$AJ$5:$AJ$515,MATCH(LARGE('Calc (scoring engine)'!$K$5:$K$515,12),'Calc (scoring engine)'!$K$5:$K$515,0))),""))</f>
        <v/>
      </c>
      <c r="AH32" s="23">
        <f>IF(OR(12&gt;MAX(3,MIN(15,N($D$18))),IFERROR(LARGE('Calc (scoring engine)'!$K$5:$K$515,12),-999999)&lt;=-900000),"",IFERROR(IF(INDEX(Database!$AK$5:$AK$515,MATCH(LARGE('Calc (scoring engine)'!$K$5:$K$515,12),'Calc (scoring engine)'!$K$5:$K$515,0))="","—",INDEX(Database!$AK$5:$AK$515,MATCH(LARGE('Calc (scoring engine)'!$K$5:$K$515,12),'Calc (scoring engine)'!$K$5:$K$515,0))),""))</f>
        <v/>
      </c>
      <c r="AI32" s="23">
        <f>IF(OR(12&gt;MAX(3,MIN(15,N($D$18))),IFERROR(LARGE('Calc (scoring engine)'!$K$5:$K$515,12),-999999)&lt;=-900000),"",IFERROR(IF(INDEX(Database!$AL$5:$AL$515,MATCH(LARGE('Calc (scoring engine)'!$K$5:$K$515,12),'Calc (scoring engine)'!$K$5:$K$515,0))="","—",INDEX(Database!$AL$5:$AL$515,MATCH(LARGE('Calc (scoring engine)'!$K$5:$K$515,12),'Calc (scoring engine)'!$K$5:$K$515,0))),""))</f>
        <v/>
      </c>
      <c r="AJ32" s="23">
        <f>IF(OR(12&gt;MAX(3,MIN(15,N($D$18))),IFERROR(LARGE('Calc (scoring engine)'!$K$5:$K$515,12),-999999)&lt;=-900000),"",IFERROR(IF(INDEX(Database!$AM$5:$AM$515,MATCH(LARGE('Calc (scoring engine)'!$K$5:$K$515,12),'Calc (scoring engine)'!$K$5:$K$515,0))="","—",INDEX(Database!$AM$5:$AM$515,MATCH(LARGE('Calc (scoring engine)'!$K$5:$K$515,12),'Calc (scoring engine)'!$K$5:$K$515,0))),""))</f>
        <v/>
      </c>
      <c r="AK32" s="23">
        <f>IF(OR(12&gt;MAX(3,MIN(15,N($D$18))),IFERROR(LARGE('Calc (scoring engine)'!$K$5:$K$515,12),-999999)&lt;=-900000),"",IFERROR(IF(INDEX(Database!$AN$5:$AN$515,MATCH(LARGE('Calc (scoring engine)'!$K$5:$K$515,12),'Calc (scoring engine)'!$K$5:$K$515,0))="","—",INDEX(Database!$AN$5:$AN$515,MATCH(LARGE('Calc (scoring engine)'!$K$5:$K$515,12),'Calc (scoring engine)'!$K$5:$K$515,0))),""))</f>
        <v/>
      </c>
      <c r="AL32" s="23">
        <f>IF(OR(12&gt;MAX(3,MIN(15,N($D$18))),IFERROR(LARGE('Calc (scoring engine)'!$K$5:$K$515,12),-999999)&lt;=-900000),"",IFERROR(IF(INDEX(Database!$AO$5:$AO$515,MATCH(LARGE('Calc (scoring engine)'!$K$5:$K$515,12),'Calc (scoring engine)'!$K$5:$K$515,0))="","—",INDEX(Database!$AO$5:$AO$515,MATCH(LARGE('Calc (scoring engine)'!$K$5:$K$515,12),'Calc (scoring engine)'!$K$5:$K$515,0))),""))</f>
        <v/>
      </c>
      <c r="AM32" s="23">
        <f>IF(OR(12&gt;MAX(3,MIN(15,N($D$18))),IFERROR(LARGE('Calc (scoring engine)'!$K$5:$K$515,12),-999999)&lt;=-900000),"",IFERROR(IF(INDEX(Database!$AQ$5:$AQ$515,MATCH(LARGE('Calc (scoring engine)'!$K$5:$K$515,12),'Calc (scoring engine)'!$K$5:$K$515,0))="","—",INDEX(Database!$AQ$5:$AQ$515,MATCH(LARGE('Calc (scoring engine)'!$K$5:$K$515,12),'Calc (scoring engine)'!$K$5:$K$515,0))),""))</f>
        <v/>
      </c>
      <c r="AN32" s="18">
        <f>IF(OR(12&gt;MAX(3,MIN(15,N($D$18))),IFERROR(LARGE('Calc (scoring engine)'!$K$5:$K$515,12),-999999)&lt;=-900000),"",IFERROR(IF(INDEX(Database!$AS$5:$AS$515,MATCH(LARGE('Calc (scoring engine)'!$K$5:$K$515,12),'Calc (scoring engine)'!$K$5:$K$515,0))="","—",INDEX(Database!$AS$5:$AS$515,MATCH(LARGE('Calc (scoring engine)'!$K$5:$K$515,12),'Calc (scoring engine)'!$K$5:$K$515,0))),""))</f>
        <v/>
      </c>
      <c r="AO32" s="18">
        <f>IF(OR(12&gt;MAX(3,MIN(15,N($D$18))),IFERROR(LARGE('Calc (scoring engine)'!$K$5:$K$515,12),-999999)&lt;=-900000),"",IFERROR(IF(INDEX(Database!$AT$5:$AT$515,MATCH(LARGE('Calc (scoring engine)'!$K$5:$K$515,12),'Calc (scoring engine)'!$K$5:$K$515,0))="","—",INDEX(Database!$AT$5:$AT$515,MATCH(LARGE('Calc (scoring engine)'!$K$5:$K$515,12),'Calc (scoring engine)'!$K$5:$K$515,0))),""))</f>
        <v/>
      </c>
      <c r="AP32" s="10">
        <f>IF(OR(12&gt;MAX(3,MIN(15,N($D$18))),IFERROR(LARGE('Calc (scoring engine)'!$K$5:$K$515,12),-999999)&lt;=-900000),"",IFERROR(IF(INDEX(Database!$AU$5:$AU$515,MATCH(LARGE('Calc (scoring engine)'!$K$5:$K$515,12),'Calc (scoring engine)'!$K$5:$K$515,0))="","—",INDEX(Database!$AU$5:$AU$515,MATCH(LARGE('Calc (scoring engine)'!$K$5:$K$515,12),'Calc (scoring engine)'!$K$5:$K$515,0))),""))</f>
        <v/>
      </c>
      <c r="AQ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R32" s="24">
        <f>IF(OR(12&gt;MAX(3,MIN(15,N($D$18))),IFERROR(LARGE('Calc (scoring engine)'!$K$5:$K$515,12),-999999)&lt;=-900000),"",IFERROR(IF(INDEX(Database!$AW$5:$AW$515,MATCH(LARGE('Calc (scoring engine)'!$K$5:$K$515,12),'Calc (scoring engine)'!$K$5:$K$515,0))="","—",INDEX(Database!$AW$5:$AW$515,MATCH(LARGE('Calc (scoring engine)'!$K$5:$K$515,12),'Calc (scoring engine)'!$K$5:$K$515,0))),""))</f>
        <v/>
      </c>
      <c r="AS32" s="24">
        <f>IF(OR(12&gt;MAX(3,MIN(15,N($D$18))),IFERROR(LARGE('Calc (scoring engine)'!$K$5:$K$515,12),-999999)&lt;=-900000),"",IFERROR(IF(INDEX(Database!$AX$5:$AX$515,MATCH(LARGE('Calc (scoring engine)'!$K$5:$K$515,12),'Calc (scoring engine)'!$K$5:$K$515,0))="","—",INDEX(Database!$AX$5:$AX$515,MATCH(LARGE('Calc (scoring engine)'!$K$5:$K$515,12),'Calc (scoring engine)'!$K$5:$K$515,0))),""))</f>
        <v/>
      </c>
      <c r="AT32" s="24">
        <f>IF(OR(12&gt;MAX(3,MIN(15,N($D$18))),IFERROR(LARGE('Calc (scoring engine)'!$K$5:$K$515,12),-999999)&lt;=-900000),"",IFERROR(IF(INDEX(Database!$AY$5:$AY$515,MATCH(LARGE('Calc (scoring engine)'!$K$5:$K$515,12),'Calc (scoring engine)'!$K$5:$K$515,0))="","—",INDEX(Database!$AY$5:$AY$515,MATCH(LARGE('Calc (scoring engine)'!$K$5:$K$515,12),'Calc (scoring engine)'!$K$5:$K$515,0))),""))</f>
        <v/>
      </c>
      <c r="AU32" s="10">
        <f>IF(OR(12&gt;MAX(3,MIN(15,N($D$18))),IFERROR(LARGE('Calc (scoring engine)'!$K$5:$K$515,12),-999999)&lt;=-900000),"",IFERROR(IF(INDEX(Database!$AZ$5:$AZ$515,MATCH(LARGE('Calc (scoring engine)'!$K$5:$K$515,12),'Calc (scoring engine)'!$K$5:$K$515,0))="","—",INDEX(Database!$AZ$5:$AZ$515,MATCH(LARGE('Calc (scoring engine)'!$K$5:$K$515,12),'Calc (scoring engine)'!$K$5:$K$515,0))),""))</f>
        <v/>
      </c>
      <c r="AV32" s="10">
        <f>IF(OR(12&gt;MAX(3,MIN(15,N($D$18))),IFERROR(LARGE('Calc (scoring engine)'!$K$5:$K$515,12),-999999)&lt;=-900000),"",IFERROR(IF(INDEX(Database!$BA$5:$BA$515,MATCH(LARGE('Calc (scoring engine)'!$K$5:$K$515,12),'Calc (scoring engine)'!$K$5:$K$515,0))="","—",INDEX(Database!$BA$5:$BA$515,MATCH(LARGE('Calc (scoring engine)'!$K$5:$K$515,12),'Calc (scoring engine)'!$K$5:$K$515,0))),""))</f>
        <v/>
      </c>
      <c r="AW32" s="23">
        <f>IF(OR(12&gt;MAX(3,MIN(15,N($D$18))),IFERROR(LARGE('Calc (scoring engine)'!$K$5:$K$515,12),-999999)&lt;=-900000),"",IFERROR(IF(INDEX(Database!$BB$5:$BB$515,MATCH(LARGE('Calc (scoring engine)'!$K$5:$K$515,12),'Calc (scoring engine)'!$K$5:$K$515,0))="","—",INDEX(Database!$BB$5:$BB$515,MATCH(LARGE('Calc (scoring engine)'!$K$5:$K$515,12),'Calc (scoring engine)'!$K$5:$K$515,0))),""))</f>
        <v/>
      </c>
      <c r="AX32" s="40">
        <f>IF(OR(12&gt;MAX(3,MIN(15,N($D$18))),IFERROR(LARGE('Calc (scoring engine)'!$K$5:$K$515,12),-999999)&lt;=-900000),"",IFERROR(IF(INDEX(Database!$BC$5:$BC$515,MATCH(LARGE('Calc (scoring engine)'!$K$5:$K$515,12),'Calc (scoring engine)'!$K$5:$K$515,0))="","—",INDEX(Database!$BC$5:$BC$515,MATCH(LARGE('Calc (scoring engine)'!$K$5:$K$515,12),'Calc (scoring engine)'!$K$5:$K$515,0))),""))</f>
        <v/>
      </c>
      <c r="AY32" s="43">
        <f>IF(OR(12&gt;MAX(3,MIN(15,N($D$18))),IFERROR(LARGE('Calc (scoring engine)'!$K$5:$K$515,12),-999999)&lt;=-900000),"",IFERROR(IF(INDEX(Database!$BD$5:$BD$515,MATCH(LARGE('Calc (scoring engine)'!$K$5:$K$515,12),'Calc (scoring engine)'!$K$5:$K$515,0))="","—",INDEX(Database!$BD$5:$BD$515,MATCH(LARGE('Calc (scoring engine)'!$K$5:$K$515,12),'Calc (scoring engine)'!$K$5:$K$515,0))),""))</f>
        <v/>
      </c>
      <c r="AZ32" s="24">
        <f>IF(OR(12&gt;MAX(3,MIN(15,N($D$18))),IFERROR(LARGE('Calc (scoring engine)'!$K$5:$K$515,12),-999999)&lt;=-900000),"",IFERROR(IF(INDEX(Database!$BE$5:$BE$515,MATCH(LARGE('Calc (scoring engine)'!$K$5:$K$515,12),'Calc (scoring engine)'!$K$5:$K$515,0))="","—",INDEX(Database!$BE$5:$BE$515,MATCH(LARGE('Calc (scoring engine)'!$K$5:$K$515,12),'Calc (scoring engine)'!$K$5:$K$515,0))),""))</f>
        <v/>
      </c>
      <c r="BA32" s="24">
        <f>IF(OR(12&gt;MAX(3,MIN(15,N($D$18))),IFERROR(LARGE('Calc (scoring engine)'!$K$5:$K$515,12),-999999)&lt;=-900000),"",IFERROR(IF(INDEX(Database!$BF$5:$BF$515,MATCH(LARGE('Calc (scoring engine)'!$K$5:$K$515,12),'Calc (scoring engine)'!$K$5:$K$515,0))="","—",INDEX(Database!$BF$5:$BF$515,MATCH(LARGE('Calc (scoring engine)'!$K$5:$K$515,12),'Calc (scoring engine)'!$K$5:$K$515,0))),""))</f>
        <v/>
      </c>
      <c r="BB32" s="10">
        <f>IF(OR(12&gt;MAX(3,MIN(15,N($D$18))),IFERROR(LARGE('Calc (scoring engine)'!$K$5:$K$515,12),-999999)&lt;=-900000),"",IFERROR(IF(INDEX(Database!$BG$5:$BG$515,MATCH(LARGE('Calc (scoring engine)'!$K$5:$K$515,12),'Calc (scoring engine)'!$K$5:$K$515,0))="","—",INDEX(Database!$BG$5:$BG$515,MATCH(LARGE('Calc (scoring engine)'!$K$5:$K$515,12),'Calc (scoring engine)'!$K$5:$K$515,0))),""))</f>
        <v/>
      </c>
      <c r="BC32" s="10">
        <f>IF(OR(12&gt;MAX(3,MIN(15,N($D$18))),IFERROR(LARGE('Calc (scoring engine)'!$K$5:$K$515,12),-999999)&lt;=-900000),"",IFERROR(IF(INDEX(Database!$BI$5:$BI$515,MATCH(LARGE('Calc (scoring engine)'!$K$5:$K$515,12),'Calc (scoring engine)'!$K$5:$K$515,0))="","—",INDEX(Database!$BI$5:$BI$515,MATCH(LARGE('Calc (scoring engine)'!$K$5:$K$515,12),'Calc (scoring engine)'!$K$5:$K$515,0))),""))</f>
        <v/>
      </c>
      <c r="BD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E32" s="24">
        <f>IF(OR(12&gt;MAX(3,MIN(15,N($D$18))),IFERROR(LARGE('Calc (scoring engine)'!$K$5:$K$515,12),-999999)&lt;=-900000),"",IFERROR(IFERROR(BDP(TEXT(INDEX(Database!$A$5:$A$515,MATCH(LARGE('Calc (scoring engine)'!$K$5:$K$515,12),'Calc (scoring engine)'!$K$5:$K$515,0)),"0")&amp;" HK Equity","PX_TO_SALES_RATIO"),IF(INDEX(Database!$AY$5:$AY$515,MATCH(LARGE('Calc (scoring engine)'!$K$5:$K$515,12),'Calc (scoring engine)'!$K$5:$K$515,0))="","—",INDEX(Database!$AY$5:$AY$515,MATCH(LARGE('Calc (scoring engine)'!$K$5:$K$515,12),'Calc (scoring engine)'!$K$5:$K$515,0)))),""))</f>
        <v/>
      </c>
      <c r="BF32" s="44">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G32" s="10">
        <f>IF(OR(12&gt;MAX(3,MIN(15,N($D$18))),IFERROR(LARGE('Calc (scoring engine)'!$K$5:$K$515,12),-999999)&lt;=-900000),"",IF(IFERROR(INDEX('Calc (scoring engine)'!$B$5:$B$515,MATCH(LARGE('Calc (scoring engine)'!$K$5:$K$515,12),'Calc (scoring engine)'!$K$5:$K$515,0)),0)=1,"same subsector","sector only"))</f>
        <v/>
      </c>
      <c r="BH32" s="44">
        <f>IF(OR(12&gt;MAX(3,MIN(15,N($D$18))),IFERROR(LARGE('Calc (scoring engine)'!$K$5:$K$515,12),-999999)&lt;=-900000),"",ROUND(IFERROR(LARGE('Calc (scoring engine)'!$K$5:$K$515,12),0),0))</f>
        <v/>
      </c>
      <c r="BI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39">
        <f>IF(OR(13&gt;MAX(3,MIN(15,N($D$18))),IFERROR(LARGE('Calc (scoring engine)'!$K$5:$K$515,13),-999999)&lt;=-900000),"",IFERROR(IF(INDEX(Database!$A$5:$A$515,MATCH(LARGE('Calc (scoring engine)'!$K$5:$K$515,13),'Calc (scoring engine)'!$K$5:$K$515,0))="","—",INDEX(Database!$A$5:$A$515,MATCH(LARGE('Calc (scoring engine)'!$K$5:$K$515,13),'Calc (scoring engine)'!$K$5:$K$515,0))),""))</f>
        <v/>
      </c>
      <c r="D33" s="10">
        <f>IF(OR(13&gt;MAX(3,MIN(15,N($D$18))),IFERROR(LARGE('Calc (scoring engine)'!$K$5:$K$515,13),-999999)&lt;=-900000),"",IFERROR(IF(INDEX(Database!$D$5:$D$515,MATCH(LARGE('Calc (scoring engine)'!$K$5:$K$515,13),'Calc (scoring engine)'!$K$5:$K$515,0))="","—",INDEX(Database!$D$5:$D$515,MATCH(LARGE('Calc (scoring engine)'!$K$5:$K$515,13),'Calc (scoring engine)'!$K$5:$K$515,0))),""))</f>
        <v/>
      </c>
      <c r="E33" s="10">
        <f>IF(OR(13&gt;MAX(3,MIN(15,N($D$18))),IFERROR(LARGE('Calc (scoring engine)'!$K$5:$K$515,13),-999999)&lt;=-900000),"",IFERROR(IF(INDEX(Database!$E$5:$E$515,MATCH(LARGE('Calc (scoring engine)'!$K$5:$K$515,13),'Calc (scoring engine)'!$K$5:$K$515,0))="","—",INDEX(Database!$E$5:$E$515,MATCH(LARGE('Calc (scoring engine)'!$K$5:$K$515,13),'Calc (scoring engine)'!$K$5:$K$515,0))),""))</f>
        <v/>
      </c>
      <c r="F33" s="10">
        <f>IF(OR(13&gt;MAX(3,MIN(15,N($D$18))),IFERROR(LARGE('Calc (scoring engine)'!$K$5:$K$515,13),-999999)&lt;=-900000),"",IFERROR(IF(INDEX(Database!$F$5:$F$515,MATCH(LARGE('Calc (scoring engine)'!$K$5:$K$515,13),'Calc (scoring engine)'!$K$5:$K$515,0))="","—",INDEX(Database!$F$5:$F$515,MATCH(LARGE('Calc (scoring engine)'!$K$5:$K$515,13),'Calc (scoring engine)'!$K$5:$K$515,0))),""))</f>
        <v/>
      </c>
      <c r="G33" s="10">
        <f>IF(OR(13&gt;MAX(3,MIN(15,N($D$18))),IFERROR(LARGE('Calc (scoring engine)'!$K$5:$K$515,13),-999999)&lt;=-900000),"",IFERROR(IF(INDEX(Database!$G$5:$G$515,MATCH(LARGE('Calc (scoring engine)'!$K$5:$K$515,13),'Calc (scoring engine)'!$K$5:$K$515,0))="","—",INDEX(Database!$G$5:$G$515,MATCH(LARGE('Calc (scoring engine)'!$K$5:$K$515,13),'Calc (scoring engine)'!$K$5:$K$515,0))),""))</f>
        <v/>
      </c>
      <c r="H33" s="21">
        <f>IF(OR(13&gt;MAX(3,MIN(15,N($D$18))),IFERROR(LARGE('Calc (scoring engine)'!$K$5:$K$515,13),-999999)&lt;=-900000),"",IFERROR(IF(INDEX(Database!$H$5:$H$515,MATCH(LARGE('Calc (scoring engine)'!$K$5:$K$515,13),'Calc (scoring engine)'!$K$5:$K$515,0))="","—",INDEX(Database!$H$5:$H$515,MATCH(LARGE('Calc (scoring engine)'!$K$5:$K$515,13),'Calc (scoring engine)'!$K$5:$K$515,0))),""))</f>
        <v/>
      </c>
      <c r="I33" s="18">
        <f>IF(OR(13&gt;MAX(3,MIN(15,N($D$18))),IFERROR(LARGE('Calc (scoring engine)'!$K$5:$K$515,13),-999999)&lt;=-900000),"",IFERROR(IF(INDEX(Database!$I$5:$I$515,MATCH(LARGE('Calc (scoring engine)'!$K$5:$K$515,13),'Calc (scoring engine)'!$K$5:$K$515,0))="","—",INDEX(Database!$I$5:$I$515,MATCH(LARGE('Calc (scoring engine)'!$K$5:$K$515,13),'Calc (scoring engine)'!$K$5:$K$515,0))),""))</f>
        <v/>
      </c>
      <c r="J33" s="40">
        <f>IF(OR(13&gt;MAX(3,MIN(15,N($D$18))),IFERROR(LARGE('Calc (scoring engine)'!$K$5:$K$515,13),-999999)&lt;=-900000),"",IFERROR(IF(INDEX(Database!$K$5:$K$515,MATCH(LARGE('Calc (scoring engine)'!$K$5:$K$515,13),'Calc (scoring engine)'!$K$5:$K$515,0))="","—",INDEX(Database!$K$5:$K$515,MATCH(LARGE('Calc (scoring engine)'!$K$5:$K$515,13),'Calc (scoring engine)'!$K$5:$K$515,0))),""))</f>
        <v/>
      </c>
      <c r="K33" s="40">
        <f>IF(OR(13&gt;MAX(3,MIN(15,N($D$18))),IFERROR(LARGE('Calc (scoring engine)'!$K$5:$K$515,13),-999999)&lt;=-900000),"",IFERROR(IF(INDEX(Database!$L$5:$L$515,MATCH(LARGE('Calc (scoring engine)'!$K$5:$K$515,13),'Calc (scoring engine)'!$K$5:$K$515,0))="","—",INDEX(Database!$L$5:$L$515,MATCH(LARGE('Calc (scoring engine)'!$K$5:$K$515,13),'Calc (scoring engine)'!$K$5:$K$515,0))),""))</f>
        <v/>
      </c>
      <c r="L33" s="40">
        <f>IF(OR(13&gt;MAX(3,MIN(15,N($D$18))),IFERROR(LARGE('Calc (scoring engine)'!$K$5:$K$515,13),-999999)&lt;=-900000),"",IFERROR(IF(INDEX(Database!$M$5:$M$515,MATCH(LARGE('Calc (scoring engine)'!$K$5:$K$515,13),'Calc (scoring engine)'!$K$5:$K$515,0))="","—",INDEX(Database!$M$5:$M$515,MATCH(LARGE('Calc (scoring engine)'!$K$5:$K$515,13),'Calc (scoring engine)'!$K$5:$K$515,0))),""))</f>
        <v/>
      </c>
      <c r="M33" s="10">
        <f>IF(OR(13&gt;MAX(3,MIN(15,N($D$18))),IFERROR(LARGE('Calc (scoring engine)'!$K$5:$K$515,13),-999999)&lt;=-900000),"",IFERROR(IF(INDEX(Database!$N$5:$N$515,MATCH(LARGE('Calc (scoring engine)'!$K$5:$K$515,13),'Calc (scoring engine)'!$K$5:$K$515,0))="","—",INDEX(Database!$N$5:$N$515,MATCH(LARGE('Calc (scoring engine)'!$K$5:$K$515,13),'Calc (scoring engine)'!$K$5:$K$515,0))),""))</f>
        <v/>
      </c>
      <c r="N33" s="28">
        <f>IF(OR(13&gt;MAX(3,MIN(15,N($D$18))),IFERROR(LARGE('Calc (scoring engine)'!$K$5:$K$515,13),-999999)&lt;=-900000),"",IFERROR(IF(INDEX(Database!$O$5:$O$515,MATCH(LARGE('Calc (scoring engine)'!$K$5:$K$515,13),'Calc (scoring engine)'!$K$5:$K$515,0))="","—",INDEX(Database!$O$5:$O$515,MATCH(LARGE('Calc (scoring engine)'!$K$5:$K$515,13),'Calc (scoring engine)'!$K$5:$K$515,0))),""))</f>
        <v/>
      </c>
      <c r="O33" s="28">
        <f>IF(OR(13&gt;MAX(3,MIN(15,N($D$18))),IFERROR(LARGE('Calc (scoring engine)'!$K$5:$K$515,13),-999999)&lt;=-900000),"",IFERROR(IF(INDEX(Database!$P$5:$P$515,MATCH(LARGE('Calc (scoring engine)'!$K$5:$K$515,13),'Calc (scoring engine)'!$K$5:$K$515,0))="","—",INDEX(Database!$P$5:$P$515,MATCH(LARGE('Calc (scoring engine)'!$K$5:$K$515,13),'Calc (scoring engine)'!$K$5:$K$515,0))),""))</f>
        <v/>
      </c>
      <c r="P33" s="18">
        <f>IF(OR(13&gt;MAX(3,MIN(15,N($D$18))),IFERROR(LARGE('Calc (scoring engine)'!$K$5:$K$515,13),-999999)&lt;=-900000),"",IFERROR(IF(INDEX(Database!$Q$5:$Q$515,MATCH(LARGE('Calc (scoring engine)'!$K$5:$K$515,13),'Calc (scoring engine)'!$K$5:$K$515,0))="","—",INDEX(Database!$Q$5:$Q$515,MATCH(LARGE('Calc (scoring engine)'!$K$5:$K$515,13),'Calc (scoring engine)'!$K$5:$K$515,0))),""))</f>
        <v/>
      </c>
      <c r="Q33" s="26">
        <f>IF(OR(13&gt;MAX(3,MIN(15,N($D$18))),IFERROR(LARGE('Calc (scoring engine)'!$K$5:$K$515,13),-999999)&lt;=-900000),"",IFERROR(IF(INDEX(Database!$S$5:$S$515,MATCH(LARGE('Calc (scoring engine)'!$K$5:$K$515,13),'Calc (scoring engine)'!$K$5:$K$515,0))="","—",INDEX(Database!$S$5:$S$515,MATCH(LARGE('Calc (scoring engine)'!$K$5:$K$515,13),'Calc (scoring engine)'!$K$5:$K$515,0))),""))</f>
        <v/>
      </c>
      <c r="R33" s="41">
        <f>IF(OR(13&gt;MAX(3,MIN(15,N($D$18))),IFERROR(LARGE('Calc (scoring engine)'!$K$5:$K$515,13),-999999)&lt;=-900000),"",IFERROR(IF(INDEX(Database!$T$5:$T$515,MATCH(LARGE('Calc (scoring engine)'!$K$5:$K$515,13),'Calc (scoring engine)'!$K$5:$K$515,0))="","—",INDEX(Database!$T$5:$T$515,MATCH(LARGE('Calc (scoring engine)'!$K$5:$K$515,13),'Calc (scoring engine)'!$K$5:$K$515,0))),""))</f>
        <v/>
      </c>
      <c r="S33" s="42">
        <f>IF(OR(13&gt;MAX(3,MIN(15,N($D$18))),IFERROR(LARGE('Calc (scoring engine)'!$K$5:$K$515,13),-999999)&lt;=-900000),"",IFERROR(IF(INDEX(Database!$U$5:$U$515,MATCH(LARGE('Calc (scoring engine)'!$K$5:$K$515,13),'Calc (scoring engine)'!$K$5:$K$515,0))="","—",INDEX(Database!$U$5:$U$515,MATCH(LARGE('Calc (scoring engine)'!$K$5:$K$515,13),'Calc (scoring engine)'!$K$5:$K$515,0))),""))</f>
        <v/>
      </c>
      <c r="T33" s="28">
        <f>IF(OR(13&gt;MAX(3,MIN(15,N($D$18))),IFERROR(LARGE('Calc (scoring engine)'!$K$5:$K$515,13),-999999)&lt;=-900000),"",IFERROR(IF(INDEX(Database!$V$5:$V$515,MATCH(LARGE('Calc (scoring engine)'!$K$5:$K$515,13),'Calc (scoring engine)'!$K$5:$K$515,0))="","—",INDEX(Database!$V$5:$V$515,MATCH(LARGE('Calc (scoring engine)'!$K$5:$K$515,13),'Calc (scoring engine)'!$K$5:$K$515,0))),""))</f>
        <v/>
      </c>
      <c r="U33" s="10">
        <f>IF(OR(13&gt;MAX(3,MIN(15,N($D$18))),IFERROR(LARGE('Calc (scoring engine)'!$K$5:$K$515,13),-999999)&lt;=-900000),"",IFERROR(IF(INDEX(Database!$W$5:$W$515,MATCH(LARGE('Calc (scoring engine)'!$K$5:$K$515,13),'Calc (scoring engine)'!$K$5:$K$515,0))="","—",INDEX(Database!$W$5:$W$515,MATCH(LARGE('Calc (scoring engine)'!$K$5:$K$515,13),'Calc (scoring engine)'!$K$5:$K$515,0))),""))</f>
        <v/>
      </c>
      <c r="V33" s="28">
        <f>IF(OR(13&gt;MAX(3,MIN(15,N($D$18))),IFERROR(LARGE('Calc (scoring engine)'!$K$5:$K$515,13),-999999)&lt;=-900000),"",IFERROR(IF(INDEX(Database!$Y$5:$Y$515,MATCH(LARGE('Calc (scoring engine)'!$K$5:$K$515,13),'Calc (scoring engine)'!$K$5:$K$515,0))="","—",INDEX(Database!$Y$5:$Y$515,MATCH(LARGE('Calc (scoring engine)'!$K$5:$K$515,13),'Calc (scoring engine)'!$K$5:$K$515,0))),""))</f>
        <v/>
      </c>
      <c r="W33" s="10">
        <f>IF(OR(13&gt;MAX(3,MIN(15,N($D$18))),IFERROR(LARGE('Calc (scoring engine)'!$K$5:$K$515,13),-999999)&lt;=-900000),"",IFERROR(IF(INDEX(Database!$Z$5:$Z$515,MATCH(LARGE('Calc (scoring engine)'!$K$5:$K$515,13),'Calc (scoring engine)'!$K$5:$K$515,0))="","—",INDEX(Database!$Z$5:$Z$515,MATCH(LARGE('Calc (scoring engine)'!$K$5:$K$515,13),'Calc (scoring engine)'!$K$5:$K$515,0))),""))</f>
        <v/>
      </c>
      <c r="X33" s="23">
        <f>IF(OR(13&gt;MAX(3,MIN(15,N($D$18))),IFERROR(LARGE('Calc (scoring engine)'!$K$5:$K$515,13),-999999)&lt;=-900000),"",IFERROR(IF(INDEX(Database!$AA$5:$AA$515,MATCH(LARGE('Calc (scoring engine)'!$K$5:$K$515,13),'Calc (scoring engine)'!$K$5:$K$515,0))="","—",INDEX(Database!$AA$5:$AA$515,MATCH(LARGE('Calc (scoring engine)'!$K$5:$K$515,13),'Calc (scoring engine)'!$K$5:$K$515,0))),""))</f>
        <v/>
      </c>
      <c r="Y33" s="23">
        <f>IF(OR(13&gt;MAX(3,MIN(15,N($D$18))),IFERROR(LARGE('Calc (scoring engine)'!$K$5:$K$515,13),-999999)&lt;=-900000),"",IFERROR(IF(INDEX(Database!$AB$5:$AB$515,MATCH(LARGE('Calc (scoring engine)'!$K$5:$K$515,13),'Calc (scoring engine)'!$K$5:$K$515,0))="","—",INDEX(Database!$AB$5:$AB$515,MATCH(LARGE('Calc (scoring engine)'!$K$5:$K$515,13),'Calc (scoring engine)'!$K$5:$K$515,0))),""))</f>
        <v/>
      </c>
      <c r="Z33" s="23">
        <f>IF(OR(13&gt;MAX(3,MIN(15,N($D$18))),IFERROR(LARGE('Calc (scoring engine)'!$K$5:$K$515,13),-999999)&lt;=-900000),"",IFERROR(IF(INDEX(Database!$AC$5:$AC$515,MATCH(LARGE('Calc (scoring engine)'!$K$5:$K$515,13),'Calc (scoring engine)'!$K$5:$K$515,0))="","—",INDEX(Database!$AC$5:$AC$515,MATCH(LARGE('Calc (scoring engine)'!$K$5:$K$515,13),'Calc (scoring engine)'!$K$5:$K$515,0))),""))</f>
        <v/>
      </c>
      <c r="AA33" s="23">
        <f>IF(OR(13&gt;MAX(3,MIN(15,N($D$18))),IFERROR(LARGE('Calc (scoring engine)'!$K$5:$K$515,13),-999999)&lt;=-900000),"",IFERROR(IF(INDEX(Database!$AD$5:$AD$515,MATCH(LARGE('Calc (scoring engine)'!$K$5:$K$515,13),'Calc (scoring engine)'!$K$5:$K$515,0))="","—",INDEX(Database!$AD$5:$AD$515,MATCH(LARGE('Calc (scoring engine)'!$K$5:$K$515,13),'Calc (scoring engine)'!$K$5:$K$515,0))),""))</f>
        <v/>
      </c>
      <c r="AB33" s="23">
        <f>IF(OR(13&gt;MAX(3,MIN(15,N($D$18))),IFERROR(LARGE('Calc (scoring engine)'!$K$5:$K$515,13),-999999)&lt;=-900000),"",IFERROR(IF(INDEX(Database!$AE$5:$AE$515,MATCH(LARGE('Calc (scoring engine)'!$K$5:$K$515,13),'Calc (scoring engine)'!$K$5:$K$515,0))="","—",INDEX(Database!$AE$5:$AE$515,MATCH(LARGE('Calc (scoring engine)'!$K$5:$K$515,13),'Calc (scoring engine)'!$K$5:$K$515,0))),""))</f>
        <v/>
      </c>
      <c r="AC33" s="23">
        <f>IF(OR(13&gt;MAX(3,MIN(15,N($D$18))),IFERROR(LARGE('Calc (scoring engine)'!$K$5:$K$515,13),-999999)&lt;=-900000),"",IFERROR(IF(INDEX(Database!$AF$5:$AF$515,MATCH(LARGE('Calc (scoring engine)'!$K$5:$K$515,13),'Calc (scoring engine)'!$K$5:$K$515,0))="","—",INDEX(Database!$AF$5:$AF$515,MATCH(LARGE('Calc (scoring engine)'!$K$5:$K$515,13),'Calc (scoring engine)'!$K$5:$K$515,0))),""))</f>
        <v/>
      </c>
      <c r="AD33" s="23">
        <f>IF(OR(13&gt;MAX(3,MIN(15,N($D$18))),IFERROR(LARGE('Calc (scoring engine)'!$K$5:$K$515,13),-999999)&lt;=-900000),"",IFERROR(IF(INDEX(Database!$AG$5:$AG$515,MATCH(LARGE('Calc (scoring engine)'!$K$5:$K$515,13),'Calc (scoring engine)'!$K$5:$K$515,0))="","—",INDEX(Database!$AG$5:$AG$515,MATCH(LARGE('Calc (scoring engine)'!$K$5:$K$515,13),'Calc (scoring engine)'!$K$5:$K$515,0))),""))</f>
        <v/>
      </c>
      <c r="AE33" s="23">
        <f>IF(OR(13&gt;MAX(3,MIN(15,N($D$18))),IFERROR(LARGE('Calc (scoring engine)'!$K$5:$K$515,13),-999999)&lt;=-900000),"",IFERROR(IF(INDEX(Database!$AH$5:$AH$515,MATCH(LARGE('Calc (scoring engine)'!$K$5:$K$515,13),'Calc (scoring engine)'!$K$5:$K$515,0))="","—",INDEX(Database!$AH$5:$AH$515,MATCH(LARGE('Calc (scoring engine)'!$K$5:$K$515,13),'Calc (scoring engine)'!$K$5:$K$515,0))),""))</f>
        <v/>
      </c>
      <c r="AF33" s="23">
        <f>IF(OR(13&gt;MAX(3,MIN(15,N($D$18))),IFERROR(LARGE('Calc (scoring engine)'!$K$5:$K$515,13),-999999)&lt;=-900000),"",IFERROR(IF(INDEX(Database!$AI$5:$AI$515,MATCH(LARGE('Calc (scoring engine)'!$K$5:$K$515,13),'Calc (scoring engine)'!$K$5:$K$515,0))="","—",INDEX(Database!$AI$5:$AI$515,MATCH(LARGE('Calc (scoring engine)'!$K$5:$K$515,13),'Calc (scoring engine)'!$K$5:$K$515,0))),""))</f>
        <v/>
      </c>
      <c r="AG33" s="23">
        <f>IF(OR(13&gt;MAX(3,MIN(15,N($D$18))),IFERROR(LARGE('Calc (scoring engine)'!$K$5:$K$515,13),-999999)&lt;=-900000),"",IFERROR(IF(INDEX(Database!$AJ$5:$AJ$515,MATCH(LARGE('Calc (scoring engine)'!$K$5:$K$515,13),'Calc (scoring engine)'!$K$5:$K$515,0))="","—",INDEX(Database!$AJ$5:$AJ$515,MATCH(LARGE('Calc (scoring engine)'!$K$5:$K$515,13),'Calc (scoring engine)'!$K$5:$K$515,0))),""))</f>
        <v/>
      </c>
      <c r="AH33" s="23">
        <f>IF(OR(13&gt;MAX(3,MIN(15,N($D$18))),IFERROR(LARGE('Calc (scoring engine)'!$K$5:$K$515,13),-999999)&lt;=-900000),"",IFERROR(IF(INDEX(Database!$AK$5:$AK$515,MATCH(LARGE('Calc (scoring engine)'!$K$5:$K$515,13),'Calc (scoring engine)'!$K$5:$K$515,0))="","—",INDEX(Database!$AK$5:$AK$515,MATCH(LARGE('Calc (scoring engine)'!$K$5:$K$515,13),'Calc (scoring engine)'!$K$5:$K$515,0))),""))</f>
        <v/>
      </c>
      <c r="AI33" s="23">
        <f>IF(OR(13&gt;MAX(3,MIN(15,N($D$18))),IFERROR(LARGE('Calc (scoring engine)'!$K$5:$K$515,13),-999999)&lt;=-900000),"",IFERROR(IF(INDEX(Database!$AL$5:$AL$515,MATCH(LARGE('Calc (scoring engine)'!$K$5:$K$515,13),'Calc (scoring engine)'!$K$5:$K$515,0))="","—",INDEX(Database!$AL$5:$AL$515,MATCH(LARGE('Calc (scoring engine)'!$K$5:$K$515,13),'Calc (scoring engine)'!$K$5:$K$515,0))),""))</f>
        <v/>
      </c>
      <c r="AJ33" s="23">
        <f>IF(OR(13&gt;MAX(3,MIN(15,N($D$18))),IFERROR(LARGE('Calc (scoring engine)'!$K$5:$K$515,13),-999999)&lt;=-900000),"",IFERROR(IF(INDEX(Database!$AM$5:$AM$515,MATCH(LARGE('Calc (scoring engine)'!$K$5:$K$515,13),'Calc (scoring engine)'!$K$5:$K$515,0))="","—",INDEX(Database!$AM$5:$AM$515,MATCH(LARGE('Calc (scoring engine)'!$K$5:$K$515,13),'Calc (scoring engine)'!$K$5:$K$515,0))),""))</f>
        <v/>
      </c>
      <c r="AK33" s="23">
        <f>IF(OR(13&gt;MAX(3,MIN(15,N($D$18))),IFERROR(LARGE('Calc (scoring engine)'!$K$5:$K$515,13),-999999)&lt;=-900000),"",IFERROR(IF(INDEX(Database!$AN$5:$AN$515,MATCH(LARGE('Calc (scoring engine)'!$K$5:$K$515,13),'Calc (scoring engine)'!$K$5:$K$515,0))="","—",INDEX(Database!$AN$5:$AN$515,MATCH(LARGE('Calc (scoring engine)'!$K$5:$K$515,13),'Calc (scoring engine)'!$K$5:$K$515,0))),""))</f>
        <v/>
      </c>
      <c r="AL33" s="23">
        <f>IF(OR(13&gt;MAX(3,MIN(15,N($D$18))),IFERROR(LARGE('Calc (scoring engine)'!$K$5:$K$515,13),-999999)&lt;=-900000),"",IFERROR(IF(INDEX(Database!$AO$5:$AO$515,MATCH(LARGE('Calc (scoring engine)'!$K$5:$K$515,13),'Calc (scoring engine)'!$K$5:$K$515,0))="","—",INDEX(Database!$AO$5:$AO$515,MATCH(LARGE('Calc (scoring engine)'!$K$5:$K$515,13),'Calc (scoring engine)'!$K$5:$K$515,0))),""))</f>
        <v/>
      </c>
      <c r="AM33" s="23">
        <f>IF(OR(13&gt;MAX(3,MIN(15,N($D$18))),IFERROR(LARGE('Calc (scoring engine)'!$K$5:$K$515,13),-999999)&lt;=-900000),"",IFERROR(IF(INDEX(Database!$AQ$5:$AQ$515,MATCH(LARGE('Calc (scoring engine)'!$K$5:$K$515,13),'Calc (scoring engine)'!$K$5:$K$515,0))="","—",INDEX(Database!$AQ$5:$AQ$515,MATCH(LARGE('Calc (scoring engine)'!$K$5:$K$515,13),'Calc (scoring engine)'!$K$5:$K$515,0))),""))</f>
        <v/>
      </c>
      <c r="AN33" s="18">
        <f>IF(OR(13&gt;MAX(3,MIN(15,N($D$18))),IFERROR(LARGE('Calc (scoring engine)'!$K$5:$K$515,13),-999999)&lt;=-900000),"",IFERROR(IF(INDEX(Database!$AS$5:$AS$515,MATCH(LARGE('Calc (scoring engine)'!$K$5:$K$515,13),'Calc (scoring engine)'!$K$5:$K$515,0))="","—",INDEX(Database!$AS$5:$AS$515,MATCH(LARGE('Calc (scoring engine)'!$K$5:$K$515,13),'Calc (scoring engine)'!$K$5:$K$515,0))),""))</f>
        <v/>
      </c>
      <c r="AO33" s="18">
        <f>IF(OR(13&gt;MAX(3,MIN(15,N($D$18))),IFERROR(LARGE('Calc (scoring engine)'!$K$5:$K$515,13),-999999)&lt;=-900000),"",IFERROR(IF(INDEX(Database!$AT$5:$AT$515,MATCH(LARGE('Calc (scoring engine)'!$K$5:$K$515,13),'Calc (scoring engine)'!$K$5:$K$515,0))="","—",INDEX(Database!$AT$5:$AT$515,MATCH(LARGE('Calc (scoring engine)'!$K$5:$K$515,13),'Calc (scoring engine)'!$K$5:$K$515,0))),""))</f>
        <v/>
      </c>
      <c r="AP33" s="10">
        <f>IF(OR(13&gt;MAX(3,MIN(15,N($D$18))),IFERROR(LARGE('Calc (scoring engine)'!$K$5:$K$515,13),-999999)&lt;=-900000),"",IFERROR(IF(INDEX(Database!$AU$5:$AU$515,MATCH(LARGE('Calc (scoring engine)'!$K$5:$K$515,13),'Calc (scoring engine)'!$K$5:$K$515,0))="","—",INDEX(Database!$AU$5:$AU$515,MATCH(LARGE('Calc (scoring engine)'!$K$5:$K$515,13),'Calc (scoring engine)'!$K$5:$K$515,0))),""))</f>
        <v/>
      </c>
      <c r="AQ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R33" s="24">
        <f>IF(OR(13&gt;MAX(3,MIN(15,N($D$18))),IFERROR(LARGE('Calc (scoring engine)'!$K$5:$K$515,13),-999999)&lt;=-900000),"",IFERROR(IF(INDEX(Database!$AW$5:$AW$515,MATCH(LARGE('Calc (scoring engine)'!$K$5:$K$515,13),'Calc (scoring engine)'!$K$5:$K$515,0))="","—",INDEX(Database!$AW$5:$AW$515,MATCH(LARGE('Calc (scoring engine)'!$K$5:$K$515,13),'Calc (scoring engine)'!$K$5:$K$515,0))),""))</f>
        <v/>
      </c>
      <c r="AS33" s="24">
        <f>IF(OR(13&gt;MAX(3,MIN(15,N($D$18))),IFERROR(LARGE('Calc (scoring engine)'!$K$5:$K$515,13),-999999)&lt;=-900000),"",IFERROR(IF(INDEX(Database!$AX$5:$AX$515,MATCH(LARGE('Calc (scoring engine)'!$K$5:$K$515,13),'Calc (scoring engine)'!$K$5:$K$515,0))="","—",INDEX(Database!$AX$5:$AX$515,MATCH(LARGE('Calc (scoring engine)'!$K$5:$K$515,13),'Calc (scoring engine)'!$K$5:$K$515,0))),""))</f>
        <v/>
      </c>
      <c r="AT33" s="24">
        <f>IF(OR(13&gt;MAX(3,MIN(15,N($D$18))),IFERROR(LARGE('Calc (scoring engine)'!$K$5:$K$515,13),-999999)&lt;=-900000),"",IFERROR(IF(INDEX(Database!$AY$5:$AY$515,MATCH(LARGE('Calc (scoring engine)'!$K$5:$K$515,13),'Calc (scoring engine)'!$K$5:$K$515,0))="","—",INDEX(Database!$AY$5:$AY$515,MATCH(LARGE('Calc (scoring engine)'!$K$5:$K$515,13),'Calc (scoring engine)'!$K$5:$K$515,0))),""))</f>
        <v/>
      </c>
      <c r="AU33" s="10">
        <f>IF(OR(13&gt;MAX(3,MIN(15,N($D$18))),IFERROR(LARGE('Calc (scoring engine)'!$K$5:$K$515,13),-999999)&lt;=-900000),"",IFERROR(IF(INDEX(Database!$AZ$5:$AZ$515,MATCH(LARGE('Calc (scoring engine)'!$K$5:$K$515,13),'Calc (scoring engine)'!$K$5:$K$515,0))="","—",INDEX(Database!$AZ$5:$AZ$515,MATCH(LARGE('Calc (scoring engine)'!$K$5:$K$515,13),'Calc (scoring engine)'!$K$5:$K$515,0))),""))</f>
        <v/>
      </c>
      <c r="AV33" s="10">
        <f>IF(OR(13&gt;MAX(3,MIN(15,N($D$18))),IFERROR(LARGE('Calc (scoring engine)'!$K$5:$K$515,13),-999999)&lt;=-900000),"",IFERROR(IF(INDEX(Database!$BA$5:$BA$515,MATCH(LARGE('Calc (scoring engine)'!$K$5:$K$515,13),'Calc (scoring engine)'!$K$5:$K$515,0))="","—",INDEX(Database!$BA$5:$BA$515,MATCH(LARGE('Calc (scoring engine)'!$K$5:$K$515,13),'Calc (scoring engine)'!$K$5:$K$515,0))),""))</f>
        <v/>
      </c>
      <c r="AW33" s="23">
        <f>IF(OR(13&gt;MAX(3,MIN(15,N($D$18))),IFERROR(LARGE('Calc (scoring engine)'!$K$5:$K$515,13),-999999)&lt;=-900000),"",IFERROR(IF(INDEX(Database!$BB$5:$BB$515,MATCH(LARGE('Calc (scoring engine)'!$K$5:$K$515,13),'Calc (scoring engine)'!$K$5:$K$515,0))="","—",INDEX(Database!$BB$5:$BB$515,MATCH(LARGE('Calc (scoring engine)'!$K$5:$K$515,13),'Calc (scoring engine)'!$K$5:$K$515,0))),""))</f>
        <v/>
      </c>
      <c r="AX33" s="40">
        <f>IF(OR(13&gt;MAX(3,MIN(15,N($D$18))),IFERROR(LARGE('Calc (scoring engine)'!$K$5:$K$515,13),-999999)&lt;=-900000),"",IFERROR(IF(INDEX(Database!$BC$5:$BC$515,MATCH(LARGE('Calc (scoring engine)'!$K$5:$K$515,13),'Calc (scoring engine)'!$K$5:$K$515,0))="","—",INDEX(Database!$BC$5:$BC$515,MATCH(LARGE('Calc (scoring engine)'!$K$5:$K$515,13),'Calc (scoring engine)'!$K$5:$K$515,0))),""))</f>
        <v/>
      </c>
      <c r="AY33" s="43">
        <f>IF(OR(13&gt;MAX(3,MIN(15,N($D$18))),IFERROR(LARGE('Calc (scoring engine)'!$K$5:$K$515,13),-999999)&lt;=-900000),"",IFERROR(IF(INDEX(Database!$BD$5:$BD$515,MATCH(LARGE('Calc (scoring engine)'!$K$5:$K$515,13),'Calc (scoring engine)'!$K$5:$K$515,0))="","—",INDEX(Database!$BD$5:$BD$515,MATCH(LARGE('Calc (scoring engine)'!$K$5:$K$515,13),'Calc (scoring engine)'!$K$5:$K$515,0))),""))</f>
        <v/>
      </c>
      <c r="AZ33" s="24">
        <f>IF(OR(13&gt;MAX(3,MIN(15,N($D$18))),IFERROR(LARGE('Calc (scoring engine)'!$K$5:$K$515,13),-999999)&lt;=-900000),"",IFERROR(IF(INDEX(Database!$BE$5:$BE$515,MATCH(LARGE('Calc (scoring engine)'!$K$5:$K$515,13),'Calc (scoring engine)'!$K$5:$K$515,0))="","—",INDEX(Database!$BE$5:$BE$515,MATCH(LARGE('Calc (scoring engine)'!$K$5:$K$515,13),'Calc (scoring engine)'!$K$5:$K$515,0))),""))</f>
        <v/>
      </c>
      <c r="BA33" s="24">
        <f>IF(OR(13&gt;MAX(3,MIN(15,N($D$18))),IFERROR(LARGE('Calc (scoring engine)'!$K$5:$K$515,13),-999999)&lt;=-900000),"",IFERROR(IF(INDEX(Database!$BF$5:$BF$515,MATCH(LARGE('Calc (scoring engine)'!$K$5:$K$515,13),'Calc (scoring engine)'!$K$5:$K$515,0))="","—",INDEX(Database!$BF$5:$BF$515,MATCH(LARGE('Calc (scoring engine)'!$K$5:$K$515,13),'Calc (scoring engine)'!$K$5:$K$515,0))),""))</f>
        <v/>
      </c>
      <c r="BB33" s="10">
        <f>IF(OR(13&gt;MAX(3,MIN(15,N($D$18))),IFERROR(LARGE('Calc (scoring engine)'!$K$5:$K$515,13),-999999)&lt;=-900000),"",IFERROR(IF(INDEX(Database!$BG$5:$BG$515,MATCH(LARGE('Calc (scoring engine)'!$K$5:$K$515,13),'Calc (scoring engine)'!$K$5:$K$515,0))="","—",INDEX(Database!$BG$5:$BG$515,MATCH(LARGE('Calc (scoring engine)'!$K$5:$K$515,13),'Calc (scoring engine)'!$K$5:$K$515,0))),""))</f>
        <v/>
      </c>
      <c r="BC33" s="10">
        <f>IF(OR(13&gt;MAX(3,MIN(15,N($D$18))),IFERROR(LARGE('Calc (scoring engine)'!$K$5:$K$515,13),-999999)&lt;=-900000),"",IFERROR(IF(INDEX(Database!$BI$5:$BI$515,MATCH(LARGE('Calc (scoring engine)'!$K$5:$K$515,13),'Calc (scoring engine)'!$K$5:$K$515,0))="","—",INDEX(Database!$BI$5:$BI$515,MATCH(LARGE('Calc (scoring engine)'!$K$5:$K$515,13),'Calc (scoring engine)'!$K$5:$K$515,0))),""))</f>
        <v/>
      </c>
      <c r="BD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E33" s="24">
        <f>IF(OR(13&gt;MAX(3,MIN(15,N($D$18))),IFERROR(LARGE('Calc (scoring engine)'!$K$5:$K$515,13),-999999)&lt;=-900000),"",IFERROR(IFERROR(BDP(TEXT(INDEX(Database!$A$5:$A$515,MATCH(LARGE('Calc (scoring engine)'!$K$5:$K$515,13),'Calc (scoring engine)'!$K$5:$K$515,0)),"0")&amp;" HK Equity","PX_TO_SALES_RATIO"),IF(INDEX(Database!$AY$5:$AY$515,MATCH(LARGE('Calc (scoring engine)'!$K$5:$K$515,13),'Calc (scoring engine)'!$K$5:$K$515,0))="","—",INDEX(Database!$AY$5:$AY$515,MATCH(LARGE('Calc (scoring engine)'!$K$5:$K$515,13),'Calc (scoring engine)'!$K$5:$K$515,0)))),""))</f>
        <v/>
      </c>
      <c r="BF33" s="44">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G33" s="10">
        <f>IF(OR(13&gt;MAX(3,MIN(15,N($D$18))),IFERROR(LARGE('Calc (scoring engine)'!$K$5:$K$515,13),-999999)&lt;=-900000),"",IF(IFERROR(INDEX('Calc (scoring engine)'!$B$5:$B$515,MATCH(LARGE('Calc (scoring engine)'!$K$5:$K$515,13),'Calc (scoring engine)'!$K$5:$K$515,0)),0)=1,"same subsector","sector only"))</f>
        <v/>
      </c>
      <c r="BH33" s="44">
        <f>IF(OR(13&gt;MAX(3,MIN(15,N($D$18))),IFERROR(LARGE('Calc (scoring engine)'!$K$5:$K$515,13),-999999)&lt;=-900000),"",ROUND(IFERROR(LARGE('Calc (scoring engine)'!$K$5:$K$515,13),0),0))</f>
        <v/>
      </c>
      <c r="BI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39">
        <f>IF(OR(14&gt;MAX(3,MIN(15,N($D$18))),IFERROR(LARGE('Calc (scoring engine)'!$K$5:$K$515,14),-999999)&lt;=-900000),"",IFERROR(IF(INDEX(Database!$A$5:$A$515,MATCH(LARGE('Calc (scoring engine)'!$K$5:$K$515,14),'Calc (scoring engine)'!$K$5:$K$515,0))="","—",INDEX(Database!$A$5:$A$515,MATCH(LARGE('Calc (scoring engine)'!$K$5:$K$515,14),'Calc (scoring engine)'!$K$5:$K$515,0))),""))</f>
        <v/>
      </c>
      <c r="D34" s="10">
        <f>IF(OR(14&gt;MAX(3,MIN(15,N($D$18))),IFERROR(LARGE('Calc (scoring engine)'!$K$5:$K$515,14),-999999)&lt;=-900000),"",IFERROR(IF(INDEX(Database!$D$5:$D$515,MATCH(LARGE('Calc (scoring engine)'!$K$5:$K$515,14),'Calc (scoring engine)'!$K$5:$K$515,0))="","—",INDEX(Database!$D$5:$D$515,MATCH(LARGE('Calc (scoring engine)'!$K$5:$K$515,14),'Calc (scoring engine)'!$K$5:$K$515,0))),""))</f>
        <v/>
      </c>
      <c r="E34" s="10">
        <f>IF(OR(14&gt;MAX(3,MIN(15,N($D$18))),IFERROR(LARGE('Calc (scoring engine)'!$K$5:$K$515,14),-999999)&lt;=-900000),"",IFERROR(IF(INDEX(Database!$E$5:$E$515,MATCH(LARGE('Calc (scoring engine)'!$K$5:$K$515,14),'Calc (scoring engine)'!$K$5:$K$515,0))="","—",INDEX(Database!$E$5:$E$515,MATCH(LARGE('Calc (scoring engine)'!$K$5:$K$515,14),'Calc (scoring engine)'!$K$5:$K$515,0))),""))</f>
        <v/>
      </c>
      <c r="F34" s="10">
        <f>IF(OR(14&gt;MAX(3,MIN(15,N($D$18))),IFERROR(LARGE('Calc (scoring engine)'!$K$5:$K$515,14),-999999)&lt;=-900000),"",IFERROR(IF(INDEX(Database!$F$5:$F$515,MATCH(LARGE('Calc (scoring engine)'!$K$5:$K$515,14),'Calc (scoring engine)'!$K$5:$K$515,0))="","—",INDEX(Database!$F$5:$F$515,MATCH(LARGE('Calc (scoring engine)'!$K$5:$K$515,14),'Calc (scoring engine)'!$K$5:$K$515,0))),""))</f>
        <v/>
      </c>
      <c r="G34" s="10">
        <f>IF(OR(14&gt;MAX(3,MIN(15,N($D$18))),IFERROR(LARGE('Calc (scoring engine)'!$K$5:$K$515,14),-999999)&lt;=-900000),"",IFERROR(IF(INDEX(Database!$G$5:$G$515,MATCH(LARGE('Calc (scoring engine)'!$K$5:$K$515,14),'Calc (scoring engine)'!$K$5:$K$515,0))="","—",INDEX(Database!$G$5:$G$515,MATCH(LARGE('Calc (scoring engine)'!$K$5:$K$515,14),'Calc (scoring engine)'!$K$5:$K$515,0))),""))</f>
        <v/>
      </c>
      <c r="H34" s="21">
        <f>IF(OR(14&gt;MAX(3,MIN(15,N($D$18))),IFERROR(LARGE('Calc (scoring engine)'!$K$5:$K$515,14),-999999)&lt;=-900000),"",IFERROR(IF(INDEX(Database!$H$5:$H$515,MATCH(LARGE('Calc (scoring engine)'!$K$5:$K$515,14),'Calc (scoring engine)'!$K$5:$K$515,0))="","—",INDEX(Database!$H$5:$H$515,MATCH(LARGE('Calc (scoring engine)'!$K$5:$K$515,14),'Calc (scoring engine)'!$K$5:$K$515,0))),""))</f>
        <v/>
      </c>
      <c r="I34" s="18">
        <f>IF(OR(14&gt;MAX(3,MIN(15,N($D$18))),IFERROR(LARGE('Calc (scoring engine)'!$K$5:$K$515,14),-999999)&lt;=-900000),"",IFERROR(IF(INDEX(Database!$I$5:$I$515,MATCH(LARGE('Calc (scoring engine)'!$K$5:$K$515,14),'Calc (scoring engine)'!$K$5:$K$515,0))="","—",INDEX(Database!$I$5:$I$515,MATCH(LARGE('Calc (scoring engine)'!$K$5:$K$515,14),'Calc (scoring engine)'!$K$5:$K$515,0))),""))</f>
        <v/>
      </c>
      <c r="J34" s="40">
        <f>IF(OR(14&gt;MAX(3,MIN(15,N($D$18))),IFERROR(LARGE('Calc (scoring engine)'!$K$5:$K$515,14),-999999)&lt;=-900000),"",IFERROR(IF(INDEX(Database!$K$5:$K$515,MATCH(LARGE('Calc (scoring engine)'!$K$5:$K$515,14),'Calc (scoring engine)'!$K$5:$K$515,0))="","—",INDEX(Database!$K$5:$K$515,MATCH(LARGE('Calc (scoring engine)'!$K$5:$K$515,14),'Calc (scoring engine)'!$K$5:$K$515,0))),""))</f>
        <v/>
      </c>
      <c r="K34" s="40">
        <f>IF(OR(14&gt;MAX(3,MIN(15,N($D$18))),IFERROR(LARGE('Calc (scoring engine)'!$K$5:$K$515,14),-999999)&lt;=-900000),"",IFERROR(IF(INDEX(Database!$L$5:$L$515,MATCH(LARGE('Calc (scoring engine)'!$K$5:$K$515,14),'Calc (scoring engine)'!$K$5:$K$515,0))="","—",INDEX(Database!$L$5:$L$515,MATCH(LARGE('Calc (scoring engine)'!$K$5:$K$515,14),'Calc (scoring engine)'!$K$5:$K$515,0))),""))</f>
        <v/>
      </c>
      <c r="L34" s="40">
        <f>IF(OR(14&gt;MAX(3,MIN(15,N($D$18))),IFERROR(LARGE('Calc (scoring engine)'!$K$5:$K$515,14),-999999)&lt;=-900000),"",IFERROR(IF(INDEX(Database!$M$5:$M$515,MATCH(LARGE('Calc (scoring engine)'!$K$5:$K$515,14),'Calc (scoring engine)'!$K$5:$K$515,0))="","—",INDEX(Database!$M$5:$M$515,MATCH(LARGE('Calc (scoring engine)'!$K$5:$K$515,14),'Calc (scoring engine)'!$K$5:$K$515,0))),""))</f>
        <v/>
      </c>
      <c r="M34" s="10">
        <f>IF(OR(14&gt;MAX(3,MIN(15,N($D$18))),IFERROR(LARGE('Calc (scoring engine)'!$K$5:$K$515,14),-999999)&lt;=-900000),"",IFERROR(IF(INDEX(Database!$N$5:$N$515,MATCH(LARGE('Calc (scoring engine)'!$K$5:$K$515,14),'Calc (scoring engine)'!$K$5:$K$515,0))="","—",INDEX(Database!$N$5:$N$515,MATCH(LARGE('Calc (scoring engine)'!$K$5:$K$515,14),'Calc (scoring engine)'!$K$5:$K$515,0))),""))</f>
        <v/>
      </c>
      <c r="N34" s="28">
        <f>IF(OR(14&gt;MAX(3,MIN(15,N($D$18))),IFERROR(LARGE('Calc (scoring engine)'!$K$5:$K$515,14),-999999)&lt;=-900000),"",IFERROR(IF(INDEX(Database!$O$5:$O$515,MATCH(LARGE('Calc (scoring engine)'!$K$5:$K$515,14),'Calc (scoring engine)'!$K$5:$K$515,0))="","—",INDEX(Database!$O$5:$O$515,MATCH(LARGE('Calc (scoring engine)'!$K$5:$K$515,14),'Calc (scoring engine)'!$K$5:$K$515,0))),""))</f>
        <v/>
      </c>
      <c r="O34" s="28">
        <f>IF(OR(14&gt;MAX(3,MIN(15,N($D$18))),IFERROR(LARGE('Calc (scoring engine)'!$K$5:$K$515,14),-999999)&lt;=-900000),"",IFERROR(IF(INDEX(Database!$P$5:$P$515,MATCH(LARGE('Calc (scoring engine)'!$K$5:$K$515,14),'Calc (scoring engine)'!$K$5:$K$515,0))="","—",INDEX(Database!$P$5:$P$515,MATCH(LARGE('Calc (scoring engine)'!$K$5:$K$515,14),'Calc (scoring engine)'!$K$5:$K$515,0))),""))</f>
        <v/>
      </c>
      <c r="P34" s="18">
        <f>IF(OR(14&gt;MAX(3,MIN(15,N($D$18))),IFERROR(LARGE('Calc (scoring engine)'!$K$5:$K$515,14),-999999)&lt;=-900000),"",IFERROR(IF(INDEX(Database!$Q$5:$Q$515,MATCH(LARGE('Calc (scoring engine)'!$K$5:$K$515,14),'Calc (scoring engine)'!$K$5:$K$515,0))="","—",INDEX(Database!$Q$5:$Q$515,MATCH(LARGE('Calc (scoring engine)'!$K$5:$K$515,14),'Calc (scoring engine)'!$K$5:$K$515,0))),""))</f>
        <v/>
      </c>
      <c r="Q34" s="26">
        <f>IF(OR(14&gt;MAX(3,MIN(15,N($D$18))),IFERROR(LARGE('Calc (scoring engine)'!$K$5:$K$515,14),-999999)&lt;=-900000),"",IFERROR(IF(INDEX(Database!$S$5:$S$515,MATCH(LARGE('Calc (scoring engine)'!$K$5:$K$515,14),'Calc (scoring engine)'!$K$5:$K$515,0))="","—",INDEX(Database!$S$5:$S$515,MATCH(LARGE('Calc (scoring engine)'!$K$5:$K$515,14),'Calc (scoring engine)'!$K$5:$K$515,0))),""))</f>
        <v/>
      </c>
      <c r="R34" s="41">
        <f>IF(OR(14&gt;MAX(3,MIN(15,N($D$18))),IFERROR(LARGE('Calc (scoring engine)'!$K$5:$K$515,14),-999999)&lt;=-900000),"",IFERROR(IF(INDEX(Database!$T$5:$T$515,MATCH(LARGE('Calc (scoring engine)'!$K$5:$K$515,14),'Calc (scoring engine)'!$K$5:$K$515,0))="","—",INDEX(Database!$T$5:$T$515,MATCH(LARGE('Calc (scoring engine)'!$K$5:$K$515,14),'Calc (scoring engine)'!$K$5:$K$515,0))),""))</f>
        <v/>
      </c>
      <c r="S34" s="42">
        <f>IF(OR(14&gt;MAX(3,MIN(15,N($D$18))),IFERROR(LARGE('Calc (scoring engine)'!$K$5:$K$515,14),-999999)&lt;=-900000),"",IFERROR(IF(INDEX(Database!$U$5:$U$515,MATCH(LARGE('Calc (scoring engine)'!$K$5:$K$515,14),'Calc (scoring engine)'!$K$5:$K$515,0))="","—",INDEX(Database!$U$5:$U$515,MATCH(LARGE('Calc (scoring engine)'!$K$5:$K$515,14),'Calc (scoring engine)'!$K$5:$K$515,0))),""))</f>
        <v/>
      </c>
      <c r="T34" s="28">
        <f>IF(OR(14&gt;MAX(3,MIN(15,N($D$18))),IFERROR(LARGE('Calc (scoring engine)'!$K$5:$K$515,14),-999999)&lt;=-900000),"",IFERROR(IF(INDEX(Database!$V$5:$V$515,MATCH(LARGE('Calc (scoring engine)'!$K$5:$K$515,14),'Calc (scoring engine)'!$K$5:$K$515,0))="","—",INDEX(Database!$V$5:$V$515,MATCH(LARGE('Calc (scoring engine)'!$K$5:$K$515,14),'Calc (scoring engine)'!$K$5:$K$515,0))),""))</f>
        <v/>
      </c>
      <c r="U34" s="10">
        <f>IF(OR(14&gt;MAX(3,MIN(15,N($D$18))),IFERROR(LARGE('Calc (scoring engine)'!$K$5:$K$515,14),-999999)&lt;=-900000),"",IFERROR(IF(INDEX(Database!$W$5:$W$515,MATCH(LARGE('Calc (scoring engine)'!$K$5:$K$515,14),'Calc (scoring engine)'!$K$5:$K$515,0))="","—",INDEX(Database!$W$5:$W$515,MATCH(LARGE('Calc (scoring engine)'!$K$5:$K$515,14),'Calc (scoring engine)'!$K$5:$K$515,0))),""))</f>
        <v/>
      </c>
      <c r="V34" s="28">
        <f>IF(OR(14&gt;MAX(3,MIN(15,N($D$18))),IFERROR(LARGE('Calc (scoring engine)'!$K$5:$K$515,14),-999999)&lt;=-900000),"",IFERROR(IF(INDEX(Database!$Y$5:$Y$515,MATCH(LARGE('Calc (scoring engine)'!$K$5:$K$515,14),'Calc (scoring engine)'!$K$5:$K$515,0))="","—",INDEX(Database!$Y$5:$Y$515,MATCH(LARGE('Calc (scoring engine)'!$K$5:$K$515,14),'Calc (scoring engine)'!$K$5:$K$515,0))),""))</f>
        <v/>
      </c>
      <c r="W34" s="10">
        <f>IF(OR(14&gt;MAX(3,MIN(15,N($D$18))),IFERROR(LARGE('Calc (scoring engine)'!$K$5:$K$515,14),-999999)&lt;=-900000),"",IFERROR(IF(INDEX(Database!$Z$5:$Z$515,MATCH(LARGE('Calc (scoring engine)'!$K$5:$K$515,14),'Calc (scoring engine)'!$K$5:$K$515,0))="","—",INDEX(Database!$Z$5:$Z$515,MATCH(LARGE('Calc (scoring engine)'!$K$5:$K$515,14),'Calc (scoring engine)'!$K$5:$K$515,0))),""))</f>
        <v/>
      </c>
      <c r="X34" s="23">
        <f>IF(OR(14&gt;MAX(3,MIN(15,N($D$18))),IFERROR(LARGE('Calc (scoring engine)'!$K$5:$K$515,14),-999999)&lt;=-900000),"",IFERROR(IF(INDEX(Database!$AA$5:$AA$515,MATCH(LARGE('Calc (scoring engine)'!$K$5:$K$515,14),'Calc (scoring engine)'!$K$5:$K$515,0))="","—",INDEX(Database!$AA$5:$AA$515,MATCH(LARGE('Calc (scoring engine)'!$K$5:$K$515,14),'Calc (scoring engine)'!$K$5:$K$515,0))),""))</f>
        <v/>
      </c>
      <c r="Y34" s="23">
        <f>IF(OR(14&gt;MAX(3,MIN(15,N($D$18))),IFERROR(LARGE('Calc (scoring engine)'!$K$5:$K$515,14),-999999)&lt;=-900000),"",IFERROR(IF(INDEX(Database!$AB$5:$AB$515,MATCH(LARGE('Calc (scoring engine)'!$K$5:$K$515,14),'Calc (scoring engine)'!$K$5:$K$515,0))="","—",INDEX(Database!$AB$5:$AB$515,MATCH(LARGE('Calc (scoring engine)'!$K$5:$K$515,14),'Calc (scoring engine)'!$K$5:$K$515,0))),""))</f>
        <v/>
      </c>
      <c r="Z34" s="23">
        <f>IF(OR(14&gt;MAX(3,MIN(15,N($D$18))),IFERROR(LARGE('Calc (scoring engine)'!$K$5:$K$515,14),-999999)&lt;=-900000),"",IFERROR(IF(INDEX(Database!$AC$5:$AC$515,MATCH(LARGE('Calc (scoring engine)'!$K$5:$K$515,14),'Calc (scoring engine)'!$K$5:$K$515,0))="","—",INDEX(Database!$AC$5:$AC$515,MATCH(LARGE('Calc (scoring engine)'!$K$5:$K$515,14),'Calc (scoring engine)'!$K$5:$K$515,0))),""))</f>
        <v/>
      </c>
      <c r="AA34" s="23">
        <f>IF(OR(14&gt;MAX(3,MIN(15,N($D$18))),IFERROR(LARGE('Calc (scoring engine)'!$K$5:$K$515,14),-999999)&lt;=-900000),"",IFERROR(IF(INDEX(Database!$AD$5:$AD$515,MATCH(LARGE('Calc (scoring engine)'!$K$5:$K$515,14),'Calc (scoring engine)'!$K$5:$K$515,0))="","—",INDEX(Database!$AD$5:$AD$515,MATCH(LARGE('Calc (scoring engine)'!$K$5:$K$515,14),'Calc (scoring engine)'!$K$5:$K$515,0))),""))</f>
        <v/>
      </c>
      <c r="AB34" s="23">
        <f>IF(OR(14&gt;MAX(3,MIN(15,N($D$18))),IFERROR(LARGE('Calc (scoring engine)'!$K$5:$K$515,14),-999999)&lt;=-900000),"",IFERROR(IF(INDEX(Database!$AE$5:$AE$515,MATCH(LARGE('Calc (scoring engine)'!$K$5:$K$515,14),'Calc (scoring engine)'!$K$5:$K$515,0))="","—",INDEX(Database!$AE$5:$AE$515,MATCH(LARGE('Calc (scoring engine)'!$K$5:$K$515,14),'Calc (scoring engine)'!$K$5:$K$515,0))),""))</f>
        <v/>
      </c>
      <c r="AC34" s="23">
        <f>IF(OR(14&gt;MAX(3,MIN(15,N($D$18))),IFERROR(LARGE('Calc (scoring engine)'!$K$5:$K$515,14),-999999)&lt;=-900000),"",IFERROR(IF(INDEX(Database!$AF$5:$AF$515,MATCH(LARGE('Calc (scoring engine)'!$K$5:$K$515,14),'Calc (scoring engine)'!$K$5:$K$515,0))="","—",INDEX(Database!$AF$5:$AF$515,MATCH(LARGE('Calc (scoring engine)'!$K$5:$K$515,14),'Calc (scoring engine)'!$K$5:$K$515,0))),""))</f>
        <v/>
      </c>
      <c r="AD34" s="23">
        <f>IF(OR(14&gt;MAX(3,MIN(15,N($D$18))),IFERROR(LARGE('Calc (scoring engine)'!$K$5:$K$515,14),-999999)&lt;=-900000),"",IFERROR(IF(INDEX(Database!$AG$5:$AG$515,MATCH(LARGE('Calc (scoring engine)'!$K$5:$K$515,14),'Calc (scoring engine)'!$K$5:$K$515,0))="","—",INDEX(Database!$AG$5:$AG$515,MATCH(LARGE('Calc (scoring engine)'!$K$5:$K$515,14),'Calc (scoring engine)'!$K$5:$K$515,0))),""))</f>
        <v/>
      </c>
      <c r="AE34" s="23">
        <f>IF(OR(14&gt;MAX(3,MIN(15,N($D$18))),IFERROR(LARGE('Calc (scoring engine)'!$K$5:$K$515,14),-999999)&lt;=-900000),"",IFERROR(IF(INDEX(Database!$AH$5:$AH$515,MATCH(LARGE('Calc (scoring engine)'!$K$5:$K$515,14),'Calc (scoring engine)'!$K$5:$K$515,0))="","—",INDEX(Database!$AH$5:$AH$515,MATCH(LARGE('Calc (scoring engine)'!$K$5:$K$515,14),'Calc (scoring engine)'!$K$5:$K$515,0))),""))</f>
        <v/>
      </c>
      <c r="AF34" s="23">
        <f>IF(OR(14&gt;MAX(3,MIN(15,N($D$18))),IFERROR(LARGE('Calc (scoring engine)'!$K$5:$K$515,14),-999999)&lt;=-900000),"",IFERROR(IF(INDEX(Database!$AI$5:$AI$515,MATCH(LARGE('Calc (scoring engine)'!$K$5:$K$515,14),'Calc (scoring engine)'!$K$5:$K$515,0))="","—",INDEX(Database!$AI$5:$AI$515,MATCH(LARGE('Calc (scoring engine)'!$K$5:$K$515,14),'Calc (scoring engine)'!$K$5:$K$515,0))),""))</f>
        <v/>
      </c>
      <c r="AG34" s="23">
        <f>IF(OR(14&gt;MAX(3,MIN(15,N($D$18))),IFERROR(LARGE('Calc (scoring engine)'!$K$5:$K$515,14),-999999)&lt;=-900000),"",IFERROR(IF(INDEX(Database!$AJ$5:$AJ$515,MATCH(LARGE('Calc (scoring engine)'!$K$5:$K$515,14),'Calc (scoring engine)'!$K$5:$K$515,0))="","—",INDEX(Database!$AJ$5:$AJ$515,MATCH(LARGE('Calc (scoring engine)'!$K$5:$K$515,14),'Calc (scoring engine)'!$K$5:$K$515,0))),""))</f>
        <v/>
      </c>
      <c r="AH34" s="23">
        <f>IF(OR(14&gt;MAX(3,MIN(15,N($D$18))),IFERROR(LARGE('Calc (scoring engine)'!$K$5:$K$515,14),-999999)&lt;=-900000),"",IFERROR(IF(INDEX(Database!$AK$5:$AK$515,MATCH(LARGE('Calc (scoring engine)'!$K$5:$K$515,14),'Calc (scoring engine)'!$K$5:$K$515,0))="","—",INDEX(Database!$AK$5:$AK$515,MATCH(LARGE('Calc (scoring engine)'!$K$5:$K$515,14),'Calc (scoring engine)'!$K$5:$K$515,0))),""))</f>
        <v/>
      </c>
      <c r="AI34" s="23">
        <f>IF(OR(14&gt;MAX(3,MIN(15,N($D$18))),IFERROR(LARGE('Calc (scoring engine)'!$K$5:$K$515,14),-999999)&lt;=-900000),"",IFERROR(IF(INDEX(Database!$AL$5:$AL$515,MATCH(LARGE('Calc (scoring engine)'!$K$5:$K$515,14),'Calc (scoring engine)'!$K$5:$K$515,0))="","—",INDEX(Database!$AL$5:$AL$515,MATCH(LARGE('Calc (scoring engine)'!$K$5:$K$515,14),'Calc (scoring engine)'!$K$5:$K$515,0))),""))</f>
        <v/>
      </c>
      <c r="AJ34" s="23">
        <f>IF(OR(14&gt;MAX(3,MIN(15,N($D$18))),IFERROR(LARGE('Calc (scoring engine)'!$K$5:$K$515,14),-999999)&lt;=-900000),"",IFERROR(IF(INDEX(Database!$AM$5:$AM$515,MATCH(LARGE('Calc (scoring engine)'!$K$5:$K$515,14),'Calc (scoring engine)'!$K$5:$K$515,0))="","—",INDEX(Database!$AM$5:$AM$515,MATCH(LARGE('Calc (scoring engine)'!$K$5:$K$515,14),'Calc (scoring engine)'!$K$5:$K$515,0))),""))</f>
        <v/>
      </c>
      <c r="AK34" s="23">
        <f>IF(OR(14&gt;MAX(3,MIN(15,N($D$18))),IFERROR(LARGE('Calc (scoring engine)'!$K$5:$K$515,14),-999999)&lt;=-900000),"",IFERROR(IF(INDEX(Database!$AN$5:$AN$515,MATCH(LARGE('Calc (scoring engine)'!$K$5:$K$515,14),'Calc (scoring engine)'!$K$5:$K$515,0))="","—",INDEX(Database!$AN$5:$AN$515,MATCH(LARGE('Calc (scoring engine)'!$K$5:$K$515,14),'Calc (scoring engine)'!$K$5:$K$515,0))),""))</f>
        <v/>
      </c>
      <c r="AL34" s="23">
        <f>IF(OR(14&gt;MAX(3,MIN(15,N($D$18))),IFERROR(LARGE('Calc (scoring engine)'!$K$5:$K$515,14),-999999)&lt;=-900000),"",IFERROR(IF(INDEX(Database!$AO$5:$AO$515,MATCH(LARGE('Calc (scoring engine)'!$K$5:$K$515,14),'Calc (scoring engine)'!$K$5:$K$515,0))="","—",INDEX(Database!$AO$5:$AO$515,MATCH(LARGE('Calc (scoring engine)'!$K$5:$K$515,14),'Calc (scoring engine)'!$K$5:$K$515,0))),""))</f>
        <v/>
      </c>
      <c r="AM34" s="23">
        <f>IF(OR(14&gt;MAX(3,MIN(15,N($D$18))),IFERROR(LARGE('Calc (scoring engine)'!$K$5:$K$515,14),-999999)&lt;=-900000),"",IFERROR(IF(INDEX(Database!$AQ$5:$AQ$515,MATCH(LARGE('Calc (scoring engine)'!$K$5:$K$515,14),'Calc (scoring engine)'!$K$5:$K$515,0))="","—",INDEX(Database!$AQ$5:$AQ$515,MATCH(LARGE('Calc (scoring engine)'!$K$5:$K$515,14),'Calc (scoring engine)'!$K$5:$K$515,0))),""))</f>
        <v/>
      </c>
      <c r="AN34" s="18">
        <f>IF(OR(14&gt;MAX(3,MIN(15,N($D$18))),IFERROR(LARGE('Calc (scoring engine)'!$K$5:$K$515,14),-999999)&lt;=-900000),"",IFERROR(IF(INDEX(Database!$AS$5:$AS$515,MATCH(LARGE('Calc (scoring engine)'!$K$5:$K$515,14),'Calc (scoring engine)'!$K$5:$K$515,0))="","—",INDEX(Database!$AS$5:$AS$515,MATCH(LARGE('Calc (scoring engine)'!$K$5:$K$515,14),'Calc (scoring engine)'!$K$5:$K$515,0))),""))</f>
        <v/>
      </c>
      <c r="AO34" s="18">
        <f>IF(OR(14&gt;MAX(3,MIN(15,N($D$18))),IFERROR(LARGE('Calc (scoring engine)'!$K$5:$K$515,14),-999999)&lt;=-900000),"",IFERROR(IF(INDEX(Database!$AT$5:$AT$515,MATCH(LARGE('Calc (scoring engine)'!$K$5:$K$515,14),'Calc (scoring engine)'!$K$5:$K$515,0))="","—",INDEX(Database!$AT$5:$AT$515,MATCH(LARGE('Calc (scoring engine)'!$K$5:$K$515,14),'Calc (scoring engine)'!$K$5:$K$515,0))),""))</f>
        <v/>
      </c>
      <c r="AP34" s="10">
        <f>IF(OR(14&gt;MAX(3,MIN(15,N($D$18))),IFERROR(LARGE('Calc (scoring engine)'!$K$5:$K$515,14),-999999)&lt;=-900000),"",IFERROR(IF(INDEX(Database!$AU$5:$AU$515,MATCH(LARGE('Calc (scoring engine)'!$K$5:$K$515,14),'Calc (scoring engine)'!$K$5:$K$515,0))="","—",INDEX(Database!$AU$5:$AU$515,MATCH(LARGE('Calc (scoring engine)'!$K$5:$K$515,14),'Calc (scoring engine)'!$K$5:$K$515,0))),""))</f>
        <v/>
      </c>
      <c r="AQ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R34" s="24">
        <f>IF(OR(14&gt;MAX(3,MIN(15,N($D$18))),IFERROR(LARGE('Calc (scoring engine)'!$K$5:$K$515,14),-999999)&lt;=-900000),"",IFERROR(IF(INDEX(Database!$AW$5:$AW$515,MATCH(LARGE('Calc (scoring engine)'!$K$5:$K$515,14),'Calc (scoring engine)'!$K$5:$K$515,0))="","—",INDEX(Database!$AW$5:$AW$515,MATCH(LARGE('Calc (scoring engine)'!$K$5:$K$515,14),'Calc (scoring engine)'!$K$5:$K$515,0))),""))</f>
        <v/>
      </c>
      <c r="AS34" s="24">
        <f>IF(OR(14&gt;MAX(3,MIN(15,N($D$18))),IFERROR(LARGE('Calc (scoring engine)'!$K$5:$K$515,14),-999999)&lt;=-900000),"",IFERROR(IF(INDEX(Database!$AX$5:$AX$515,MATCH(LARGE('Calc (scoring engine)'!$K$5:$K$515,14),'Calc (scoring engine)'!$K$5:$K$515,0))="","—",INDEX(Database!$AX$5:$AX$515,MATCH(LARGE('Calc (scoring engine)'!$K$5:$K$515,14),'Calc (scoring engine)'!$K$5:$K$515,0))),""))</f>
        <v/>
      </c>
      <c r="AT34" s="24">
        <f>IF(OR(14&gt;MAX(3,MIN(15,N($D$18))),IFERROR(LARGE('Calc (scoring engine)'!$K$5:$K$515,14),-999999)&lt;=-900000),"",IFERROR(IF(INDEX(Database!$AY$5:$AY$515,MATCH(LARGE('Calc (scoring engine)'!$K$5:$K$515,14),'Calc (scoring engine)'!$K$5:$K$515,0))="","—",INDEX(Database!$AY$5:$AY$515,MATCH(LARGE('Calc (scoring engine)'!$K$5:$K$515,14),'Calc (scoring engine)'!$K$5:$K$515,0))),""))</f>
        <v/>
      </c>
      <c r="AU34" s="10">
        <f>IF(OR(14&gt;MAX(3,MIN(15,N($D$18))),IFERROR(LARGE('Calc (scoring engine)'!$K$5:$K$515,14),-999999)&lt;=-900000),"",IFERROR(IF(INDEX(Database!$AZ$5:$AZ$515,MATCH(LARGE('Calc (scoring engine)'!$K$5:$K$515,14),'Calc (scoring engine)'!$K$5:$K$515,0))="","—",INDEX(Database!$AZ$5:$AZ$515,MATCH(LARGE('Calc (scoring engine)'!$K$5:$K$515,14),'Calc (scoring engine)'!$K$5:$K$515,0))),""))</f>
        <v/>
      </c>
      <c r="AV34" s="10">
        <f>IF(OR(14&gt;MAX(3,MIN(15,N($D$18))),IFERROR(LARGE('Calc (scoring engine)'!$K$5:$K$515,14),-999999)&lt;=-900000),"",IFERROR(IF(INDEX(Database!$BA$5:$BA$515,MATCH(LARGE('Calc (scoring engine)'!$K$5:$K$515,14),'Calc (scoring engine)'!$K$5:$K$515,0))="","—",INDEX(Database!$BA$5:$BA$515,MATCH(LARGE('Calc (scoring engine)'!$K$5:$K$515,14),'Calc (scoring engine)'!$K$5:$K$515,0))),""))</f>
        <v/>
      </c>
      <c r="AW34" s="23">
        <f>IF(OR(14&gt;MAX(3,MIN(15,N($D$18))),IFERROR(LARGE('Calc (scoring engine)'!$K$5:$K$515,14),-999999)&lt;=-900000),"",IFERROR(IF(INDEX(Database!$BB$5:$BB$515,MATCH(LARGE('Calc (scoring engine)'!$K$5:$K$515,14),'Calc (scoring engine)'!$K$5:$K$515,0))="","—",INDEX(Database!$BB$5:$BB$515,MATCH(LARGE('Calc (scoring engine)'!$K$5:$K$515,14),'Calc (scoring engine)'!$K$5:$K$515,0))),""))</f>
        <v/>
      </c>
      <c r="AX34" s="40">
        <f>IF(OR(14&gt;MAX(3,MIN(15,N($D$18))),IFERROR(LARGE('Calc (scoring engine)'!$K$5:$K$515,14),-999999)&lt;=-900000),"",IFERROR(IF(INDEX(Database!$BC$5:$BC$515,MATCH(LARGE('Calc (scoring engine)'!$K$5:$K$515,14),'Calc (scoring engine)'!$K$5:$K$515,0))="","—",INDEX(Database!$BC$5:$BC$515,MATCH(LARGE('Calc (scoring engine)'!$K$5:$K$515,14),'Calc (scoring engine)'!$K$5:$K$515,0))),""))</f>
        <v/>
      </c>
      <c r="AY34" s="43">
        <f>IF(OR(14&gt;MAX(3,MIN(15,N($D$18))),IFERROR(LARGE('Calc (scoring engine)'!$K$5:$K$515,14),-999999)&lt;=-900000),"",IFERROR(IF(INDEX(Database!$BD$5:$BD$515,MATCH(LARGE('Calc (scoring engine)'!$K$5:$K$515,14),'Calc (scoring engine)'!$K$5:$K$515,0))="","—",INDEX(Database!$BD$5:$BD$515,MATCH(LARGE('Calc (scoring engine)'!$K$5:$K$515,14),'Calc (scoring engine)'!$K$5:$K$515,0))),""))</f>
        <v/>
      </c>
      <c r="AZ34" s="24">
        <f>IF(OR(14&gt;MAX(3,MIN(15,N($D$18))),IFERROR(LARGE('Calc (scoring engine)'!$K$5:$K$515,14),-999999)&lt;=-900000),"",IFERROR(IF(INDEX(Database!$BE$5:$BE$515,MATCH(LARGE('Calc (scoring engine)'!$K$5:$K$515,14),'Calc (scoring engine)'!$K$5:$K$515,0))="","—",INDEX(Database!$BE$5:$BE$515,MATCH(LARGE('Calc (scoring engine)'!$K$5:$K$515,14),'Calc (scoring engine)'!$K$5:$K$515,0))),""))</f>
        <v/>
      </c>
      <c r="BA34" s="24">
        <f>IF(OR(14&gt;MAX(3,MIN(15,N($D$18))),IFERROR(LARGE('Calc (scoring engine)'!$K$5:$K$515,14),-999999)&lt;=-900000),"",IFERROR(IF(INDEX(Database!$BF$5:$BF$515,MATCH(LARGE('Calc (scoring engine)'!$K$5:$K$515,14),'Calc (scoring engine)'!$K$5:$K$515,0))="","—",INDEX(Database!$BF$5:$BF$515,MATCH(LARGE('Calc (scoring engine)'!$K$5:$K$515,14),'Calc (scoring engine)'!$K$5:$K$515,0))),""))</f>
        <v/>
      </c>
      <c r="BB34" s="10">
        <f>IF(OR(14&gt;MAX(3,MIN(15,N($D$18))),IFERROR(LARGE('Calc (scoring engine)'!$K$5:$K$515,14),-999999)&lt;=-900000),"",IFERROR(IF(INDEX(Database!$BG$5:$BG$515,MATCH(LARGE('Calc (scoring engine)'!$K$5:$K$515,14),'Calc (scoring engine)'!$K$5:$K$515,0))="","—",INDEX(Database!$BG$5:$BG$515,MATCH(LARGE('Calc (scoring engine)'!$K$5:$K$515,14),'Calc (scoring engine)'!$K$5:$K$515,0))),""))</f>
        <v/>
      </c>
      <c r="BC34" s="10">
        <f>IF(OR(14&gt;MAX(3,MIN(15,N($D$18))),IFERROR(LARGE('Calc (scoring engine)'!$K$5:$K$515,14),-999999)&lt;=-900000),"",IFERROR(IF(INDEX(Database!$BI$5:$BI$515,MATCH(LARGE('Calc (scoring engine)'!$K$5:$K$515,14),'Calc (scoring engine)'!$K$5:$K$515,0))="","—",INDEX(Database!$BI$5:$BI$515,MATCH(LARGE('Calc (scoring engine)'!$K$5:$K$515,14),'Calc (scoring engine)'!$K$5:$K$515,0))),""))</f>
        <v/>
      </c>
      <c r="BD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E34" s="24">
        <f>IF(OR(14&gt;MAX(3,MIN(15,N($D$18))),IFERROR(LARGE('Calc (scoring engine)'!$K$5:$K$515,14),-999999)&lt;=-900000),"",IFERROR(IFERROR(BDP(TEXT(INDEX(Database!$A$5:$A$515,MATCH(LARGE('Calc (scoring engine)'!$K$5:$K$515,14),'Calc (scoring engine)'!$K$5:$K$515,0)),"0")&amp;" HK Equity","PX_TO_SALES_RATIO"),IF(INDEX(Database!$AY$5:$AY$515,MATCH(LARGE('Calc (scoring engine)'!$K$5:$K$515,14),'Calc (scoring engine)'!$K$5:$K$515,0))="","—",INDEX(Database!$AY$5:$AY$515,MATCH(LARGE('Calc (scoring engine)'!$K$5:$K$515,14),'Calc (scoring engine)'!$K$5:$K$515,0)))),""))</f>
        <v/>
      </c>
      <c r="BF34" s="44">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G34" s="10">
        <f>IF(OR(14&gt;MAX(3,MIN(15,N($D$18))),IFERROR(LARGE('Calc (scoring engine)'!$K$5:$K$515,14),-999999)&lt;=-900000),"",IF(IFERROR(INDEX('Calc (scoring engine)'!$B$5:$B$515,MATCH(LARGE('Calc (scoring engine)'!$K$5:$K$515,14),'Calc (scoring engine)'!$K$5:$K$515,0)),0)=1,"same subsector","sector only"))</f>
        <v/>
      </c>
      <c r="BH34" s="44">
        <f>IF(OR(14&gt;MAX(3,MIN(15,N($D$18))),IFERROR(LARGE('Calc (scoring engine)'!$K$5:$K$515,14),-999999)&lt;=-900000),"",ROUND(IFERROR(LARGE('Calc (scoring engine)'!$K$5:$K$515,14),0),0))</f>
        <v/>
      </c>
      <c r="BI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39">
        <f>IF(OR(15&gt;MAX(3,MIN(15,N($D$18))),IFERROR(LARGE('Calc (scoring engine)'!$K$5:$K$515,15),-999999)&lt;=-900000),"",IFERROR(IF(INDEX(Database!$A$5:$A$515,MATCH(LARGE('Calc (scoring engine)'!$K$5:$K$515,15),'Calc (scoring engine)'!$K$5:$K$515,0))="","—",INDEX(Database!$A$5:$A$515,MATCH(LARGE('Calc (scoring engine)'!$K$5:$K$515,15),'Calc (scoring engine)'!$K$5:$K$515,0))),""))</f>
        <v/>
      </c>
      <c r="D35" s="10">
        <f>IF(OR(15&gt;MAX(3,MIN(15,N($D$18))),IFERROR(LARGE('Calc (scoring engine)'!$K$5:$K$515,15),-999999)&lt;=-900000),"",IFERROR(IF(INDEX(Database!$D$5:$D$515,MATCH(LARGE('Calc (scoring engine)'!$K$5:$K$515,15),'Calc (scoring engine)'!$K$5:$K$515,0))="","—",INDEX(Database!$D$5:$D$515,MATCH(LARGE('Calc (scoring engine)'!$K$5:$K$515,15),'Calc (scoring engine)'!$K$5:$K$515,0))),""))</f>
        <v/>
      </c>
      <c r="E35" s="10">
        <f>IF(OR(15&gt;MAX(3,MIN(15,N($D$18))),IFERROR(LARGE('Calc (scoring engine)'!$K$5:$K$515,15),-999999)&lt;=-900000),"",IFERROR(IF(INDEX(Database!$E$5:$E$515,MATCH(LARGE('Calc (scoring engine)'!$K$5:$K$515,15),'Calc (scoring engine)'!$K$5:$K$515,0))="","—",INDEX(Database!$E$5:$E$515,MATCH(LARGE('Calc (scoring engine)'!$K$5:$K$515,15),'Calc (scoring engine)'!$K$5:$K$515,0))),""))</f>
        <v/>
      </c>
      <c r="F35" s="10">
        <f>IF(OR(15&gt;MAX(3,MIN(15,N($D$18))),IFERROR(LARGE('Calc (scoring engine)'!$K$5:$K$515,15),-999999)&lt;=-900000),"",IFERROR(IF(INDEX(Database!$F$5:$F$515,MATCH(LARGE('Calc (scoring engine)'!$K$5:$K$515,15),'Calc (scoring engine)'!$K$5:$K$515,0))="","—",INDEX(Database!$F$5:$F$515,MATCH(LARGE('Calc (scoring engine)'!$K$5:$K$515,15),'Calc (scoring engine)'!$K$5:$K$515,0))),""))</f>
        <v/>
      </c>
      <c r="G35" s="10">
        <f>IF(OR(15&gt;MAX(3,MIN(15,N($D$18))),IFERROR(LARGE('Calc (scoring engine)'!$K$5:$K$515,15),-999999)&lt;=-900000),"",IFERROR(IF(INDEX(Database!$G$5:$G$515,MATCH(LARGE('Calc (scoring engine)'!$K$5:$K$515,15),'Calc (scoring engine)'!$K$5:$K$515,0))="","—",INDEX(Database!$G$5:$G$515,MATCH(LARGE('Calc (scoring engine)'!$K$5:$K$515,15),'Calc (scoring engine)'!$K$5:$K$515,0))),""))</f>
        <v/>
      </c>
      <c r="H35" s="21">
        <f>IF(OR(15&gt;MAX(3,MIN(15,N($D$18))),IFERROR(LARGE('Calc (scoring engine)'!$K$5:$K$515,15),-999999)&lt;=-900000),"",IFERROR(IF(INDEX(Database!$H$5:$H$515,MATCH(LARGE('Calc (scoring engine)'!$K$5:$K$515,15),'Calc (scoring engine)'!$K$5:$K$515,0))="","—",INDEX(Database!$H$5:$H$515,MATCH(LARGE('Calc (scoring engine)'!$K$5:$K$515,15),'Calc (scoring engine)'!$K$5:$K$515,0))),""))</f>
        <v/>
      </c>
      <c r="I35" s="18">
        <f>IF(OR(15&gt;MAX(3,MIN(15,N($D$18))),IFERROR(LARGE('Calc (scoring engine)'!$K$5:$K$515,15),-999999)&lt;=-900000),"",IFERROR(IF(INDEX(Database!$I$5:$I$515,MATCH(LARGE('Calc (scoring engine)'!$K$5:$K$515,15),'Calc (scoring engine)'!$K$5:$K$515,0))="","—",INDEX(Database!$I$5:$I$515,MATCH(LARGE('Calc (scoring engine)'!$K$5:$K$515,15),'Calc (scoring engine)'!$K$5:$K$515,0))),""))</f>
        <v/>
      </c>
      <c r="J35" s="40">
        <f>IF(OR(15&gt;MAX(3,MIN(15,N($D$18))),IFERROR(LARGE('Calc (scoring engine)'!$K$5:$K$515,15),-999999)&lt;=-900000),"",IFERROR(IF(INDEX(Database!$K$5:$K$515,MATCH(LARGE('Calc (scoring engine)'!$K$5:$K$515,15),'Calc (scoring engine)'!$K$5:$K$515,0))="","—",INDEX(Database!$K$5:$K$515,MATCH(LARGE('Calc (scoring engine)'!$K$5:$K$515,15),'Calc (scoring engine)'!$K$5:$K$515,0))),""))</f>
        <v/>
      </c>
      <c r="K35" s="40">
        <f>IF(OR(15&gt;MAX(3,MIN(15,N($D$18))),IFERROR(LARGE('Calc (scoring engine)'!$K$5:$K$515,15),-999999)&lt;=-900000),"",IFERROR(IF(INDEX(Database!$L$5:$L$515,MATCH(LARGE('Calc (scoring engine)'!$K$5:$K$515,15),'Calc (scoring engine)'!$K$5:$K$515,0))="","—",INDEX(Database!$L$5:$L$515,MATCH(LARGE('Calc (scoring engine)'!$K$5:$K$515,15),'Calc (scoring engine)'!$K$5:$K$515,0))),""))</f>
        <v/>
      </c>
      <c r="L35" s="40">
        <f>IF(OR(15&gt;MAX(3,MIN(15,N($D$18))),IFERROR(LARGE('Calc (scoring engine)'!$K$5:$K$515,15),-999999)&lt;=-900000),"",IFERROR(IF(INDEX(Database!$M$5:$M$515,MATCH(LARGE('Calc (scoring engine)'!$K$5:$K$515,15),'Calc (scoring engine)'!$K$5:$K$515,0))="","—",INDEX(Database!$M$5:$M$515,MATCH(LARGE('Calc (scoring engine)'!$K$5:$K$515,15),'Calc (scoring engine)'!$K$5:$K$515,0))),""))</f>
        <v/>
      </c>
      <c r="M35" s="10">
        <f>IF(OR(15&gt;MAX(3,MIN(15,N($D$18))),IFERROR(LARGE('Calc (scoring engine)'!$K$5:$K$515,15),-999999)&lt;=-900000),"",IFERROR(IF(INDEX(Database!$N$5:$N$515,MATCH(LARGE('Calc (scoring engine)'!$K$5:$K$515,15),'Calc (scoring engine)'!$K$5:$K$515,0))="","—",INDEX(Database!$N$5:$N$515,MATCH(LARGE('Calc (scoring engine)'!$K$5:$K$515,15),'Calc (scoring engine)'!$K$5:$K$515,0))),""))</f>
        <v/>
      </c>
      <c r="N35" s="28">
        <f>IF(OR(15&gt;MAX(3,MIN(15,N($D$18))),IFERROR(LARGE('Calc (scoring engine)'!$K$5:$K$515,15),-999999)&lt;=-900000),"",IFERROR(IF(INDEX(Database!$O$5:$O$515,MATCH(LARGE('Calc (scoring engine)'!$K$5:$K$515,15),'Calc (scoring engine)'!$K$5:$K$515,0))="","—",INDEX(Database!$O$5:$O$515,MATCH(LARGE('Calc (scoring engine)'!$K$5:$K$515,15),'Calc (scoring engine)'!$K$5:$K$515,0))),""))</f>
        <v/>
      </c>
      <c r="O35" s="28">
        <f>IF(OR(15&gt;MAX(3,MIN(15,N($D$18))),IFERROR(LARGE('Calc (scoring engine)'!$K$5:$K$515,15),-999999)&lt;=-900000),"",IFERROR(IF(INDEX(Database!$P$5:$P$515,MATCH(LARGE('Calc (scoring engine)'!$K$5:$K$515,15),'Calc (scoring engine)'!$K$5:$K$515,0))="","—",INDEX(Database!$P$5:$P$515,MATCH(LARGE('Calc (scoring engine)'!$K$5:$K$515,15),'Calc (scoring engine)'!$K$5:$K$515,0))),""))</f>
        <v/>
      </c>
      <c r="P35" s="18">
        <f>IF(OR(15&gt;MAX(3,MIN(15,N($D$18))),IFERROR(LARGE('Calc (scoring engine)'!$K$5:$K$515,15),-999999)&lt;=-900000),"",IFERROR(IF(INDEX(Database!$Q$5:$Q$515,MATCH(LARGE('Calc (scoring engine)'!$K$5:$K$515,15),'Calc (scoring engine)'!$K$5:$K$515,0))="","—",INDEX(Database!$Q$5:$Q$515,MATCH(LARGE('Calc (scoring engine)'!$K$5:$K$515,15),'Calc (scoring engine)'!$K$5:$K$515,0))),""))</f>
        <v/>
      </c>
      <c r="Q35" s="26">
        <f>IF(OR(15&gt;MAX(3,MIN(15,N($D$18))),IFERROR(LARGE('Calc (scoring engine)'!$K$5:$K$515,15),-999999)&lt;=-900000),"",IFERROR(IF(INDEX(Database!$S$5:$S$515,MATCH(LARGE('Calc (scoring engine)'!$K$5:$K$515,15),'Calc (scoring engine)'!$K$5:$K$515,0))="","—",INDEX(Database!$S$5:$S$515,MATCH(LARGE('Calc (scoring engine)'!$K$5:$K$515,15),'Calc (scoring engine)'!$K$5:$K$515,0))),""))</f>
        <v/>
      </c>
      <c r="R35" s="41">
        <f>IF(OR(15&gt;MAX(3,MIN(15,N($D$18))),IFERROR(LARGE('Calc (scoring engine)'!$K$5:$K$515,15),-999999)&lt;=-900000),"",IFERROR(IF(INDEX(Database!$T$5:$T$515,MATCH(LARGE('Calc (scoring engine)'!$K$5:$K$515,15),'Calc (scoring engine)'!$K$5:$K$515,0))="","—",INDEX(Database!$T$5:$T$515,MATCH(LARGE('Calc (scoring engine)'!$K$5:$K$515,15),'Calc (scoring engine)'!$K$5:$K$515,0))),""))</f>
        <v/>
      </c>
      <c r="S35" s="42">
        <f>IF(OR(15&gt;MAX(3,MIN(15,N($D$18))),IFERROR(LARGE('Calc (scoring engine)'!$K$5:$K$515,15),-999999)&lt;=-900000),"",IFERROR(IF(INDEX(Database!$U$5:$U$515,MATCH(LARGE('Calc (scoring engine)'!$K$5:$K$515,15),'Calc (scoring engine)'!$K$5:$K$515,0))="","—",INDEX(Database!$U$5:$U$515,MATCH(LARGE('Calc (scoring engine)'!$K$5:$K$515,15),'Calc (scoring engine)'!$K$5:$K$515,0))),""))</f>
        <v/>
      </c>
      <c r="T35" s="28">
        <f>IF(OR(15&gt;MAX(3,MIN(15,N($D$18))),IFERROR(LARGE('Calc (scoring engine)'!$K$5:$K$515,15),-999999)&lt;=-900000),"",IFERROR(IF(INDEX(Database!$V$5:$V$515,MATCH(LARGE('Calc (scoring engine)'!$K$5:$K$515,15),'Calc (scoring engine)'!$K$5:$K$515,0))="","—",INDEX(Database!$V$5:$V$515,MATCH(LARGE('Calc (scoring engine)'!$K$5:$K$515,15),'Calc (scoring engine)'!$K$5:$K$515,0))),""))</f>
        <v/>
      </c>
      <c r="U35" s="10">
        <f>IF(OR(15&gt;MAX(3,MIN(15,N($D$18))),IFERROR(LARGE('Calc (scoring engine)'!$K$5:$K$515,15),-999999)&lt;=-900000),"",IFERROR(IF(INDEX(Database!$W$5:$W$515,MATCH(LARGE('Calc (scoring engine)'!$K$5:$K$515,15),'Calc (scoring engine)'!$K$5:$K$515,0))="","—",INDEX(Database!$W$5:$W$515,MATCH(LARGE('Calc (scoring engine)'!$K$5:$K$515,15),'Calc (scoring engine)'!$K$5:$K$515,0))),""))</f>
        <v/>
      </c>
      <c r="V35" s="28">
        <f>IF(OR(15&gt;MAX(3,MIN(15,N($D$18))),IFERROR(LARGE('Calc (scoring engine)'!$K$5:$K$515,15),-999999)&lt;=-900000),"",IFERROR(IF(INDEX(Database!$Y$5:$Y$515,MATCH(LARGE('Calc (scoring engine)'!$K$5:$K$515,15),'Calc (scoring engine)'!$K$5:$K$515,0))="","—",INDEX(Database!$Y$5:$Y$515,MATCH(LARGE('Calc (scoring engine)'!$K$5:$K$515,15),'Calc (scoring engine)'!$K$5:$K$515,0))),""))</f>
        <v/>
      </c>
      <c r="W35" s="10">
        <f>IF(OR(15&gt;MAX(3,MIN(15,N($D$18))),IFERROR(LARGE('Calc (scoring engine)'!$K$5:$K$515,15),-999999)&lt;=-900000),"",IFERROR(IF(INDEX(Database!$Z$5:$Z$515,MATCH(LARGE('Calc (scoring engine)'!$K$5:$K$515,15),'Calc (scoring engine)'!$K$5:$K$515,0))="","—",INDEX(Database!$Z$5:$Z$515,MATCH(LARGE('Calc (scoring engine)'!$K$5:$K$515,15),'Calc (scoring engine)'!$K$5:$K$515,0))),""))</f>
        <v/>
      </c>
      <c r="X35" s="23">
        <f>IF(OR(15&gt;MAX(3,MIN(15,N($D$18))),IFERROR(LARGE('Calc (scoring engine)'!$K$5:$K$515,15),-999999)&lt;=-900000),"",IFERROR(IF(INDEX(Database!$AA$5:$AA$515,MATCH(LARGE('Calc (scoring engine)'!$K$5:$K$515,15),'Calc (scoring engine)'!$K$5:$K$515,0))="","—",INDEX(Database!$AA$5:$AA$515,MATCH(LARGE('Calc (scoring engine)'!$K$5:$K$515,15),'Calc (scoring engine)'!$K$5:$K$515,0))),""))</f>
        <v/>
      </c>
      <c r="Y35" s="23">
        <f>IF(OR(15&gt;MAX(3,MIN(15,N($D$18))),IFERROR(LARGE('Calc (scoring engine)'!$K$5:$K$515,15),-999999)&lt;=-900000),"",IFERROR(IF(INDEX(Database!$AB$5:$AB$515,MATCH(LARGE('Calc (scoring engine)'!$K$5:$K$515,15),'Calc (scoring engine)'!$K$5:$K$515,0))="","—",INDEX(Database!$AB$5:$AB$515,MATCH(LARGE('Calc (scoring engine)'!$K$5:$K$515,15),'Calc (scoring engine)'!$K$5:$K$515,0))),""))</f>
        <v/>
      </c>
      <c r="Z35" s="23">
        <f>IF(OR(15&gt;MAX(3,MIN(15,N($D$18))),IFERROR(LARGE('Calc (scoring engine)'!$K$5:$K$515,15),-999999)&lt;=-900000),"",IFERROR(IF(INDEX(Database!$AC$5:$AC$515,MATCH(LARGE('Calc (scoring engine)'!$K$5:$K$515,15),'Calc (scoring engine)'!$K$5:$K$515,0))="","—",INDEX(Database!$AC$5:$AC$515,MATCH(LARGE('Calc (scoring engine)'!$K$5:$K$515,15),'Calc (scoring engine)'!$K$5:$K$515,0))),""))</f>
        <v/>
      </c>
      <c r="AA35" s="23">
        <f>IF(OR(15&gt;MAX(3,MIN(15,N($D$18))),IFERROR(LARGE('Calc (scoring engine)'!$K$5:$K$515,15),-999999)&lt;=-900000),"",IFERROR(IF(INDEX(Database!$AD$5:$AD$515,MATCH(LARGE('Calc (scoring engine)'!$K$5:$K$515,15),'Calc (scoring engine)'!$K$5:$K$515,0))="","—",INDEX(Database!$AD$5:$AD$515,MATCH(LARGE('Calc (scoring engine)'!$K$5:$K$515,15),'Calc (scoring engine)'!$K$5:$K$515,0))),""))</f>
        <v/>
      </c>
      <c r="AB35" s="23">
        <f>IF(OR(15&gt;MAX(3,MIN(15,N($D$18))),IFERROR(LARGE('Calc (scoring engine)'!$K$5:$K$515,15),-999999)&lt;=-900000),"",IFERROR(IF(INDEX(Database!$AE$5:$AE$515,MATCH(LARGE('Calc (scoring engine)'!$K$5:$K$515,15),'Calc (scoring engine)'!$K$5:$K$515,0))="","—",INDEX(Database!$AE$5:$AE$515,MATCH(LARGE('Calc (scoring engine)'!$K$5:$K$515,15),'Calc (scoring engine)'!$K$5:$K$515,0))),""))</f>
        <v/>
      </c>
      <c r="AC35" s="23">
        <f>IF(OR(15&gt;MAX(3,MIN(15,N($D$18))),IFERROR(LARGE('Calc (scoring engine)'!$K$5:$K$515,15),-999999)&lt;=-900000),"",IFERROR(IF(INDEX(Database!$AF$5:$AF$515,MATCH(LARGE('Calc (scoring engine)'!$K$5:$K$515,15),'Calc (scoring engine)'!$K$5:$K$515,0))="","—",INDEX(Database!$AF$5:$AF$515,MATCH(LARGE('Calc (scoring engine)'!$K$5:$K$515,15),'Calc (scoring engine)'!$K$5:$K$515,0))),""))</f>
        <v/>
      </c>
      <c r="AD35" s="23">
        <f>IF(OR(15&gt;MAX(3,MIN(15,N($D$18))),IFERROR(LARGE('Calc (scoring engine)'!$K$5:$K$515,15),-999999)&lt;=-900000),"",IFERROR(IF(INDEX(Database!$AG$5:$AG$515,MATCH(LARGE('Calc (scoring engine)'!$K$5:$K$515,15),'Calc (scoring engine)'!$K$5:$K$515,0))="","—",INDEX(Database!$AG$5:$AG$515,MATCH(LARGE('Calc (scoring engine)'!$K$5:$K$515,15),'Calc (scoring engine)'!$K$5:$K$515,0))),""))</f>
        <v/>
      </c>
      <c r="AE35" s="23">
        <f>IF(OR(15&gt;MAX(3,MIN(15,N($D$18))),IFERROR(LARGE('Calc (scoring engine)'!$K$5:$K$515,15),-999999)&lt;=-900000),"",IFERROR(IF(INDEX(Database!$AH$5:$AH$515,MATCH(LARGE('Calc (scoring engine)'!$K$5:$K$515,15),'Calc (scoring engine)'!$K$5:$K$515,0))="","—",INDEX(Database!$AH$5:$AH$515,MATCH(LARGE('Calc (scoring engine)'!$K$5:$K$515,15),'Calc (scoring engine)'!$K$5:$K$515,0))),""))</f>
        <v/>
      </c>
      <c r="AF35" s="23">
        <f>IF(OR(15&gt;MAX(3,MIN(15,N($D$18))),IFERROR(LARGE('Calc (scoring engine)'!$K$5:$K$515,15),-999999)&lt;=-900000),"",IFERROR(IF(INDEX(Database!$AI$5:$AI$515,MATCH(LARGE('Calc (scoring engine)'!$K$5:$K$515,15),'Calc (scoring engine)'!$K$5:$K$515,0))="","—",INDEX(Database!$AI$5:$AI$515,MATCH(LARGE('Calc (scoring engine)'!$K$5:$K$515,15),'Calc (scoring engine)'!$K$5:$K$515,0))),""))</f>
        <v/>
      </c>
      <c r="AG35" s="23">
        <f>IF(OR(15&gt;MAX(3,MIN(15,N($D$18))),IFERROR(LARGE('Calc (scoring engine)'!$K$5:$K$515,15),-999999)&lt;=-900000),"",IFERROR(IF(INDEX(Database!$AJ$5:$AJ$515,MATCH(LARGE('Calc (scoring engine)'!$K$5:$K$515,15),'Calc (scoring engine)'!$K$5:$K$515,0))="","—",INDEX(Database!$AJ$5:$AJ$515,MATCH(LARGE('Calc (scoring engine)'!$K$5:$K$515,15),'Calc (scoring engine)'!$K$5:$K$515,0))),""))</f>
        <v/>
      </c>
      <c r="AH35" s="23">
        <f>IF(OR(15&gt;MAX(3,MIN(15,N($D$18))),IFERROR(LARGE('Calc (scoring engine)'!$K$5:$K$515,15),-999999)&lt;=-900000),"",IFERROR(IF(INDEX(Database!$AK$5:$AK$515,MATCH(LARGE('Calc (scoring engine)'!$K$5:$K$515,15),'Calc (scoring engine)'!$K$5:$K$515,0))="","—",INDEX(Database!$AK$5:$AK$515,MATCH(LARGE('Calc (scoring engine)'!$K$5:$K$515,15),'Calc (scoring engine)'!$K$5:$K$515,0))),""))</f>
        <v/>
      </c>
      <c r="AI35" s="23">
        <f>IF(OR(15&gt;MAX(3,MIN(15,N($D$18))),IFERROR(LARGE('Calc (scoring engine)'!$K$5:$K$515,15),-999999)&lt;=-900000),"",IFERROR(IF(INDEX(Database!$AL$5:$AL$515,MATCH(LARGE('Calc (scoring engine)'!$K$5:$K$515,15),'Calc (scoring engine)'!$K$5:$K$515,0))="","—",INDEX(Database!$AL$5:$AL$515,MATCH(LARGE('Calc (scoring engine)'!$K$5:$K$515,15),'Calc (scoring engine)'!$K$5:$K$515,0))),""))</f>
        <v/>
      </c>
      <c r="AJ35" s="23">
        <f>IF(OR(15&gt;MAX(3,MIN(15,N($D$18))),IFERROR(LARGE('Calc (scoring engine)'!$K$5:$K$515,15),-999999)&lt;=-900000),"",IFERROR(IF(INDEX(Database!$AM$5:$AM$515,MATCH(LARGE('Calc (scoring engine)'!$K$5:$K$515,15),'Calc (scoring engine)'!$K$5:$K$515,0))="","—",INDEX(Database!$AM$5:$AM$515,MATCH(LARGE('Calc (scoring engine)'!$K$5:$K$515,15),'Calc (scoring engine)'!$K$5:$K$515,0))),""))</f>
        <v/>
      </c>
      <c r="AK35" s="23">
        <f>IF(OR(15&gt;MAX(3,MIN(15,N($D$18))),IFERROR(LARGE('Calc (scoring engine)'!$K$5:$K$515,15),-999999)&lt;=-900000),"",IFERROR(IF(INDEX(Database!$AN$5:$AN$515,MATCH(LARGE('Calc (scoring engine)'!$K$5:$K$515,15),'Calc (scoring engine)'!$K$5:$K$515,0))="","—",INDEX(Database!$AN$5:$AN$515,MATCH(LARGE('Calc (scoring engine)'!$K$5:$K$515,15),'Calc (scoring engine)'!$K$5:$K$515,0))),""))</f>
        <v/>
      </c>
      <c r="AL35" s="23">
        <f>IF(OR(15&gt;MAX(3,MIN(15,N($D$18))),IFERROR(LARGE('Calc (scoring engine)'!$K$5:$K$515,15),-999999)&lt;=-900000),"",IFERROR(IF(INDEX(Database!$AO$5:$AO$515,MATCH(LARGE('Calc (scoring engine)'!$K$5:$K$515,15),'Calc (scoring engine)'!$K$5:$K$515,0))="","—",INDEX(Database!$AO$5:$AO$515,MATCH(LARGE('Calc (scoring engine)'!$K$5:$K$515,15),'Calc (scoring engine)'!$K$5:$K$515,0))),""))</f>
        <v/>
      </c>
      <c r="AM35" s="23">
        <f>IF(OR(15&gt;MAX(3,MIN(15,N($D$18))),IFERROR(LARGE('Calc (scoring engine)'!$K$5:$K$515,15),-999999)&lt;=-900000),"",IFERROR(IF(INDEX(Database!$AQ$5:$AQ$515,MATCH(LARGE('Calc (scoring engine)'!$K$5:$K$515,15),'Calc (scoring engine)'!$K$5:$K$515,0))="","—",INDEX(Database!$AQ$5:$AQ$515,MATCH(LARGE('Calc (scoring engine)'!$K$5:$K$515,15),'Calc (scoring engine)'!$K$5:$K$515,0))),""))</f>
        <v/>
      </c>
      <c r="AN35" s="18">
        <f>IF(OR(15&gt;MAX(3,MIN(15,N($D$18))),IFERROR(LARGE('Calc (scoring engine)'!$K$5:$K$515,15),-999999)&lt;=-900000),"",IFERROR(IF(INDEX(Database!$AS$5:$AS$515,MATCH(LARGE('Calc (scoring engine)'!$K$5:$K$515,15),'Calc (scoring engine)'!$K$5:$K$515,0))="","—",INDEX(Database!$AS$5:$AS$515,MATCH(LARGE('Calc (scoring engine)'!$K$5:$K$515,15),'Calc (scoring engine)'!$K$5:$K$515,0))),""))</f>
        <v/>
      </c>
      <c r="AO35" s="18">
        <f>IF(OR(15&gt;MAX(3,MIN(15,N($D$18))),IFERROR(LARGE('Calc (scoring engine)'!$K$5:$K$515,15),-999999)&lt;=-900000),"",IFERROR(IF(INDEX(Database!$AT$5:$AT$515,MATCH(LARGE('Calc (scoring engine)'!$K$5:$K$515,15),'Calc (scoring engine)'!$K$5:$K$515,0))="","—",INDEX(Database!$AT$5:$AT$515,MATCH(LARGE('Calc (scoring engine)'!$K$5:$K$515,15),'Calc (scoring engine)'!$K$5:$K$515,0))),""))</f>
        <v/>
      </c>
      <c r="AP35" s="10">
        <f>IF(OR(15&gt;MAX(3,MIN(15,N($D$18))),IFERROR(LARGE('Calc (scoring engine)'!$K$5:$K$515,15),-999999)&lt;=-900000),"",IFERROR(IF(INDEX(Database!$AU$5:$AU$515,MATCH(LARGE('Calc (scoring engine)'!$K$5:$K$515,15),'Calc (scoring engine)'!$K$5:$K$515,0))="","—",INDEX(Database!$AU$5:$AU$515,MATCH(LARGE('Calc (scoring engine)'!$K$5:$K$515,15),'Calc (scoring engine)'!$K$5:$K$515,0))),""))</f>
        <v/>
      </c>
      <c r="AQ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R35" s="24">
        <f>IF(OR(15&gt;MAX(3,MIN(15,N($D$18))),IFERROR(LARGE('Calc (scoring engine)'!$K$5:$K$515,15),-999999)&lt;=-900000),"",IFERROR(IF(INDEX(Database!$AW$5:$AW$515,MATCH(LARGE('Calc (scoring engine)'!$K$5:$K$515,15),'Calc (scoring engine)'!$K$5:$K$515,0))="","—",INDEX(Database!$AW$5:$AW$515,MATCH(LARGE('Calc (scoring engine)'!$K$5:$K$515,15),'Calc (scoring engine)'!$K$5:$K$515,0))),""))</f>
        <v/>
      </c>
      <c r="AS35" s="24">
        <f>IF(OR(15&gt;MAX(3,MIN(15,N($D$18))),IFERROR(LARGE('Calc (scoring engine)'!$K$5:$K$515,15),-999999)&lt;=-900000),"",IFERROR(IF(INDEX(Database!$AX$5:$AX$515,MATCH(LARGE('Calc (scoring engine)'!$K$5:$K$515,15),'Calc (scoring engine)'!$K$5:$K$515,0))="","—",INDEX(Database!$AX$5:$AX$515,MATCH(LARGE('Calc (scoring engine)'!$K$5:$K$515,15),'Calc (scoring engine)'!$K$5:$K$515,0))),""))</f>
        <v/>
      </c>
      <c r="AT35" s="24">
        <f>IF(OR(15&gt;MAX(3,MIN(15,N($D$18))),IFERROR(LARGE('Calc (scoring engine)'!$K$5:$K$515,15),-999999)&lt;=-900000),"",IFERROR(IF(INDEX(Database!$AY$5:$AY$515,MATCH(LARGE('Calc (scoring engine)'!$K$5:$K$515,15),'Calc (scoring engine)'!$K$5:$K$515,0))="","—",INDEX(Database!$AY$5:$AY$515,MATCH(LARGE('Calc (scoring engine)'!$K$5:$K$515,15),'Calc (scoring engine)'!$K$5:$K$515,0))),""))</f>
        <v/>
      </c>
      <c r="AU35" s="10">
        <f>IF(OR(15&gt;MAX(3,MIN(15,N($D$18))),IFERROR(LARGE('Calc (scoring engine)'!$K$5:$K$515,15),-999999)&lt;=-900000),"",IFERROR(IF(INDEX(Database!$AZ$5:$AZ$515,MATCH(LARGE('Calc (scoring engine)'!$K$5:$K$515,15),'Calc (scoring engine)'!$K$5:$K$515,0))="","—",INDEX(Database!$AZ$5:$AZ$515,MATCH(LARGE('Calc (scoring engine)'!$K$5:$K$515,15),'Calc (scoring engine)'!$K$5:$K$515,0))),""))</f>
        <v/>
      </c>
      <c r="AV35" s="10">
        <f>IF(OR(15&gt;MAX(3,MIN(15,N($D$18))),IFERROR(LARGE('Calc (scoring engine)'!$K$5:$K$515,15),-999999)&lt;=-900000),"",IFERROR(IF(INDEX(Database!$BA$5:$BA$515,MATCH(LARGE('Calc (scoring engine)'!$K$5:$K$515,15),'Calc (scoring engine)'!$K$5:$K$515,0))="","—",INDEX(Database!$BA$5:$BA$515,MATCH(LARGE('Calc (scoring engine)'!$K$5:$K$515,15),'Calc (scoring engine)'!$K$5:$K$515,0))),""))</f>
        <v/>
      </c>
      <c r="AW35" s="23">
        <f>IF(OR(15&gt;MAX(3,MIN(15,N($D$18))),IFERROR(LARGE('Calc (scoring engine)'!$K$5:$K$515,15),-999999)&lt;=-900000),"",IFERROR(IF(INDEX(Database!$BB$5:$BB$515,MATCH(LARGE('Calc (scoring engine)'!$K$5:$K$515,15),'Calc (scoring engine)'!$K$5:$K$515,0))="","—",INDEX(Database!$BB$5:$BB$515,MATCH(LARGE('Calc (scoring engine)'!$K$5:$K$515,15),'Calc (scoring engine)'!$K$5:$K$515,0))),""))</f>
        <v/>
      </c>
      <c r="AX35" s="40">
        <f>IF(OR(15&gt;MAX(3,MIN(15,N($D$18))),IFERROR(LARGE('Calc (scoring engine)'!$K$5:$K$515,15),-999999)&lt;=-900000),"",IFERROR(IF(INDEX(Database!$BC$5:$BC$515,MATCH(LARGE('Calc (scoring engine)'!$K$5:$K$515,15),'Calc (scoring engine)'!$K$5:$K$515,0))="","—",INDEX(Database!$BC$5:$BC$515,MATCH(LARGE('Calc (scoring engine)'!$K$5:$K$515,15),'Calc (scoring engine)'!$K$5:$K$515,0))),""))</f>
        <v/>
      </c>
      <c r="AY35" s="43">
        <f>IF(OR(15&gt;MAX(3,MIN(15,N($D$18))),IFERROR(LARGE('Calc (scoring engine)'!$K$5:$K$515,15),-999999)&lt;=-900000),"",IFERROR(IF(INDEX(Database!$BD$5:$BD$515,MATCH(LARGE('Calc (scoring engine)'!$K$5:$K$515,15),'Calc (scoring engine)'!$K$5:$K$515,0))="","—",INDEX(Database!$BD$5:$BD$515,MATCH(LARGE('Calc (scoring engine)'!$K$5:$K$515,15),'Calc (scoring engine)'!$K$5:$K$515,0))),""))</f>
        <v/>
      </c>
      <c r="AZ35" s="24">
        <f>IF(OR(15&gt;MAX(3,MIN(15,N($D$18))),IFERROR(LARGE('Calc (scoring engine)'!$K$5:$K$515,15),-999999)&lt;=-900000),"",IFERROR(IF(INDEX(Database!$BE$5:$BE$515,MATCH(LARGE('Calc (scoring engine)'!$K$5:$K$515,15),'Calc (scoring engine)'!$K$5:$K$515,0))="","—",INDEX(Database!$BE$5:$BE$515,MATCH(LARGE('Calc (scoring engine)'!$K$5:$K$515,15),'Calc (scoring engine)'!$K$5:$K$515,0))),""))</f>
        <v/>
      </c>
      <c r="BA35" s="24">
        <f>IF(OR(15&gt;MAX(3,MIN(15,N($D$18))),IFERROR(LARGE('Calc (scoring engine)'!$K$5:$K$515,15),-999999)&lt;=-900000),"",IFERROR(IF(INDEX(Database!$BF$5:$BF$515,MATCH(LARGE('Calc (scoring engine)'!$K$5:$K$515,15),'Calc (scoring engine)'!$K$5:$K$515,0))="","—",INDEX(Database!$BF$5:$BF$515,MATCH(LARGE('Calc (scoring engine)'!$K$5:$K$515,15),'Calc (scoring engine)'!$K$5:$K$515,0))),""))</f>
        <v/>
      </c>
      <c r="BB35" s="10">
        <f>IF(OR(15&gt;MAX(3,MIN(15,N($D$18))),IFERROR(LARGE('Calc (scoring engine)'!$K$5:$K$515,15),-999999)&lt;=-900000),"",IFERROR(IF(INDEX(Database!$BG$5:$BG$515,MATCH(LARGE('Calc (scoring engine)'!$K$5:$K$515,15),'Calc (scoring engine)'!$K$5:$K$515,0))="","—",INDEX(Database!$BG$5:$BG$515,MATCH(LARGE('Calc (scoring engine)'!$K$5:$K$515,15),'Calc (scoring engine)'!$K$5:$K$515,0))),""))</f>
        <v/>
      </c>
      <c r="BC35" s="10">
        <f>IF(OR(15&gt;MAX(3,MIN(15,N($D$18))),IFERROR(LARGE('Calc (scoring engine)'!$K$5:$K$515,15),-999999)&lt;=-900000),"",IFERROR(IF(INDEX(Database!$BI$5:$BI$515,MATCH(LARGE('Calc (scoring engine)'!$K$5:$K$515,15),'Calc (scoring engine)'!$K$5:$K$515,0))="","—",INDEX(Database!$BI$5:$BI$515,MATCH(LARGE('Calc (scoring engine)'!$K$5:$K$515,15),'Calc (scoring engine)'!$K$5:$K$515,0))),""))</f>
        <v/>
      </c>
      <c r="BD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E35" s="24">
        <f>IF(OR(15&gt;MAX(3,MIN(15,N($D$18))),IFERROR(LARGE('Calc (scoring engine)'!$K$5:$K$515,15),-999999)&lt;=-900000),"",IFERROR(IFERROR(BDP(TEXT(INDEX(Database!$A$5:$A$515,MATCH(LARGE('Calc (scoring engine)'!$K$5:$K$515,15),'Calc (scoring engine)'!$K$5:$K$515,0)),"0")&amp;" HK Equity","PX_TO_SALES_RATIO"),IF(INDEX(Database!$AY$5:$AY$515,MATCH(LARGE('Calc (scoring engine)'!$K$5:$K$515,15),'Calc (scoring engine)'!$K$5:$K$515,0))="","—",INDEX(Database!$AY$5:$AY$515,MATCH(LARGE('Calc (scoring engine)'!$K$5:$K$515,15),'Calc (scoring engine)'!$K$5:$K$515,0)))),""))</f>
        <v/>
      </c>
      <c r="BF35" s="44">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G35" s="10">
        <f>IF(OR(15&gt;MAX(3,MIN(15,N($D$18))),IFERROR(LARGE('Calc (scoring engine)'!$K$5:$K$515,15),-999999)&lt;=-900000),"",IF(IFERROR(INDEX('Calc (scoring engine)'!$B$5:$B$515,MATCH(LARGE('Calc (scoring engine)'!$K$5:$K$515,15),'Calc (scoring engine)'!$K$5:$K$515,0)),0)=1,"same subsector","sector only"))</f>
        <v/>
      </c>
      <c r="BH35" s="44">
        <f>IF(OR(15&gt;MAX(3,MIN(15,N($D$18))),IFERROR(LARGE('Calc (scoring engine)'!$K$5:$K$515,15),-999999)&lt;=-900000),"",ROUND(IFERROR(LARGE('Calc (scoring engine)'!$K$5:$K$515,15),0),0))</f>
        <v/>
      </c>
      <c r="BI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28">
        <f>IFERROR(MEDIAN(T21:T35),"")</f>
        <v/>
      </c>
      <c r="V37" s="28">
        <f>IFERROR(MEDIAN(V21:V35),"")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18">
        <f>IFERROR(MEDIAN(AN21:AN35),"")</f>
        <v/>
      </c>
      <c r="AO37" s="18">
        <f>IFERROR(MEDIAN(AO21:AO35),"")</f>
        <v/>
      </c>
      <c r="AQ37" s="24">
        <f>IFERROR(MEDIAN(AQ21:AQ35),"")</f>
        <v/>
      </c>
      <c r="AR37" s="24">
        <f>IFERROR(MEDIAN(AR21:AR35),"")</f>
        <v/>
      </c>
      <c r="AS37" s="24">
        <f>IFERROR(MEDIAN(AS21:AS35),"")</f>
        <v/>
      </c>
      <c r="AT37" s="24">
        <f>IFERROR(MEDIAN(AT21:AT35),"")</f>
        <v/>
      </c>
      <c r="AW37" s="23">
        <f>IFERROR(MEDIAN(AW21:AW35),"")</f>
        <v/>
      </c>
      <c r="AX37" s="40">
        <f>IFERROR(MEDIAN(AX21:AX35),"")</f>
        <v/>
      </c>
      <c r="AY37" s="43">
        <f>IFERROR(MEDIAN(AY21:AY35),"")</f>
        <v/>
      </c>
      <c r="AZ37" s="24">
        <f>IFERROR(MEDIAN(AZ21:AZ35),"")</f>
        <v/>
      </c>
      <c r="BA37" s="24">
        <f>IFERROR(MEDIAN(BA21:BA35),"")</f>
        <v/>
      </c>
      <c r="BD37" s="24">
        <f>IFERROR(MEDIAN(BD21:BD35),"")</f>
        <v/>
      </c>
      <c r="BE37" s="24">
        <f>IFERROR(MEDIAN(BE21:BE35),"")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IFERROR($AQ$21,"")</f>
        <v/>
      </c>
      <c r="D45" s="10">
        <f>IFERROR($AQ$37,"")</f>
        <v/>
      </c>
    </row>
    <row r="46">
      <c r="A46" s="16" t="inlineStr">
        <is>
          <t>Public sub (x)</t>
        </is>
      </c>
      <c r="B46" s="10">
        <f>"—"</f>
        <v/>
      </c>
      <c r="C46" s="10">
        <f>IFERROR($Q$21,"")</f>
        <v/>
      </c>
      <c r="D46" s="10">
        <f>IFERROR($Q$37,"")</f>
        <v/>
      </c>
    </row>
    <row r="47">
      <c r="A47" s="16" t="inlineStr">
        <is>
          <t>Day-1</t>
        </is>
      </c>
      <c r="B47" s="10">
        <f>"—"</f>
        <v/>
      </c>
      <c r="C47" s="10">
        <f>IFERROR($X$21,"")</f>
        <v/>
      </c>
      <c r="D47" s="10">
        <f>IFERROR($X$37,"")</f>
        <v/>
      </c>
    </row>
    <row r="48">
      <c r="A48" s="16" t="inlineStr">
        <is>
          <t>1-month</t>
        </is>
      </c>
      <c r="B48" s="10">
        <f>"—"</f>
        <v/>
      </c>
      <c r="C48" s="10">
        <f>IFERROR($AB$21,"")</f>
        <v/>
      </c>
      <c r="D48" s="10">
        <f>IFERROR($AB$37,"")</f>
        <v/>
      </c>
    </row>
    <row r="49">
      <c r="A49" s="16" t="inlineStr">
        <is>
          <t>3-month</t>
        </is>
      </c>
      <c r="B49" s="10">
        <f>"—"</f>
        <v/>
      </c>
      <c r="C49" s="10">
        <f>IFERROR($AC$21,"")</f>
        <v/>
      </c>
      <c r="D49" s="10">
        <f>IFERROR($AC$37,"")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1">
        <f>IFERROR(INDEX(Database!$M$5:$M$515,MATCH($B$5,Database!$B$5:$B$515,0)),IFERROR(INDEX(Pipeline!$K$6:$K$18,MATCH($B$5,Pipeline!$B$6:$B$18,0)),""))</f>
        <v/>
      </c>
    </row>
    <row r="58">
      <c r="A58" s="16" t="inlineStr">
        <is>
          <t>A premium vs H</t>
        </is>
      </c>
      <c r="B58" s="43">
        <f>IFERROR(IF(OR(N(A_HKD)&lt;=0,N(H_TRM)&lt;=0),"n/a",A_HKD/H_TRM-1),"n/a")</f>
        <v/>
      </c>
      <c r="C58" s="2" t="inlineStr">
        <is>
          <t>+ = A above the H terms</t>
        </is>
      </c>
    </row>
    <row r="59"/>
    <row r="60">
      <c r="A60" s="47" t="inlineStr">
        <is>
          <t>HOW CORNERSTONE MATCHING WORKS</t>
        </is>
      </c>
      <c r="B60" s="48" t="n"/>
      <c r="C60" s="48" t="n"/>
      <c r="D60" s="48" t="n"/>
      <c r="E60" s="49" t="n"/>
    </row>
    <row r="61">
      <c r="A61" s="50" t="inlineStr">
        <is>
          <t>Investor names are normalised to a key ('GIC Private Limited' → gic), a comp scores +1 per key it shares, and 'Shared CS' shows the count.</t>
        </is>
      </c>
      <c r="B61" s="51" t="n"/>
      <c r="C61" s="51" t="n"/>
      <c r="D61" s="51" t="n"/>
      <c r="E61" s="52" t="n"/>
    </row>
    <row r="62">
      <c r="A62" s="50" t="inlineStr">
        <is>
          <t>This pick's top-5 keys:</t>
        </is>
      </c>
      <c r="B62" s="51" t="n"/>
      <c r="C62" s="51" t="n"/>
      <c r="D62" s="10">
        <f>TRIM('Calc (scoring engine)'!$U$1&amp;" "&amp;'Calc (scoring engine)'!$V$1&amp;" "&amp;'Calc (scoring engine)'!$W$1&amp;" "&amp;'Calc (scoring engine)'!$X$1&amp;" "&amp;'Calc (scoring engine)'!$Y$1)</f>
        <v/>
      </c>
      <c r="E62" s="52" t="n"/>
    </row>
    <row r="63">
      <c r="A63" s="53" t="inlineStr">
        <is>
          <t>RANK MODES — standard: subsector first · cornerstone overlap first: shared investors dominate · demand-similar first: closest public-subscription level (the best debut predictor).</t>
        </is>
      </c>
      <c r="B63" s="54" t="n"/>
      <c r="C63" s="54" t="n"/>
      <c r="D63" s="54" t="n"/>
      <c r="E63" s="55" t="n"/>
    </row>
  </sheetData>
  <mergeCells count="9">
    <mergeCell ref="BF19:BI19"/>
    <mergeCell ref="AN19:AT19"/>
    <mergeCell ref="A4:E4"/>
    <mergeCell ref="Q19:W19"/>
    <mergeCell ref="X19:AM19"/>
    <mergeCell ref="AU19:BA19"/>
    <mergeCell ref="I19:P19"/>
    <mergeCell ref="A19:H19"/>
    <mergeCell ref="BB19:BE19"/>
  </mergeCells>
  <conditionalFormatting sqref="A21:BI21">
    <cfRule type="expression" priority="22" dxfId="0">
      <formula>$BG21="same subsector"</formula>
    </cfRule>
    <cfRule type="expression" priority="23" dxfId="1">
      <formula>$BG21="sector only"</formula>
    </cfRule>
  </conditionalFormatting>
  <conditionalFormatting sqref="A22:BI22">
    <cfRule type="expression" priority="24" dxfId="0">
      <formula>$BG22="same subsector"</formula>
    </cfRule>
    <cfRule type="expression" priority="25" dxfId="1">
      <formula>$BG22="sector only"</formula>
    </cfRule>
  </conditionalFormatting>
  <conditionalFormatting sqref="A23:BI23">
    <cfRule type="expression" priority="26" dxfId="0">
      <formula>$BG23="same subsector"</formula>
    </cfRule>
    <cfRule type="expression" priority="27" dxfId="1">
      <formula>$BG23="sector only"</formula>
    </cfRule>
  </conditionalFormatting>
  <conditionalFormatting sqref="A24:BI24">
    <cfRule type="expression" priority="28" dxfId="0">
      <formula>$BG24="same subsector"</formula>
    </cfRule>
    <cfRule type="expression" priority="29" dxfId="1">
      <formula>$BG24="sector only"</formula>
    </cfRule>
  </conditionalFormatting>
  <conditionalFormatting sqref="A25:BI25">
    <cfRule type="expression" priority="30" dxfId="0">
      <formula>$BG25="same subsector"</formula>
    </cfRule>
    <cfRule type="expression" priority="31" dxfId="1">
      <formula>$BG25="sector only"</formula>
    </cfRule>
  </conditionalFormatting>
  <conditionalFormatting sqref="A26:BI26">
    <cfRule type="expression" priority="32" dxfId="0">
      <formula>$BG26="same subsector"</formula>
    </cfRule>
    <cfRule type="expression" priority="33" dxfId="1">
      <formula>$BG26="sector only"</formula>
    </cfRule>
  </conditionalFormatting>
  <conditionalFormatting sqref="A27:BI27">
    <cfRule type="expression" priority="34" dxfId="0">
      <formula>$BG27="same subsector"</formula>
    </cfRule>
    <cfRule type="expression" priority="35" dxfId="1">
      <formula>$BG27="sector only"</formula>
    </cfRule>
  </conditionalFormatting>
  <conditionalFormatting sqref="A28:BI28">
    <cfRule type="expression" priority="36" dxfId="0">
      <formula>$BG28="same subsector"</formula>
    </cfRule>
    <cfRule type="expression" priority="37" dxfId="1">
      <formula>$BG28="sector only"</formula>
    </cfRule>
  </conditionalFormatting>
  <conditionalFormatting sqref="A29:BI29">
    <cfRule type="expression" priority="38" dxfId="0">
      <formula>$BG29="same subsector"</formula>
    </cfRule>
    <cfRule type="expression" priority="39" dxfId="1">
      <formula>$BG29="sector only"</formula>
    </cfRule>
  </conditionalFormatting>
  <conditionalFormatting sqref="A30:BI30">
    <cfRule type="expression" priority="40" dxfId="0">
      <formula>$BG30="same subsector"</formula>
    </cfRule>
    <cfRule type="expression" priority="41" dxfId="1">
      <formula>$BG30="sector only"</formula>
    </cfRule>
  </conditionalFormatting>
  <conditionalFormatting sqref="A31:BI31">
    <cfRule type="expression" priority="42" dxfId="0">
      <formula>$BG31="same subsector"</formula>
    </cfRule>
    <cfRule type="expression" priority="43" dxfId="1">
      <formula>$BG31="sector only"</formula>
    </cfRule>
  </conditionalFormatting>
  <conditionalFormatting sqref="A32:BI32">
    <cfRule type="expression" priority="44" dxfId="0">
      <formula>$BG32="same subsector"</formula>
    </cfRule>
    <cfRule type="expression" priority="45" dxfId="1">
      <formula>$BG32="sector only"</formula>
    </cfRule>
  </conditionalFormatting>
  <conditionalFormatting sqref="A33:BI33">
    <cfRule type="expression" priority="46" dxfId="0">
      <formula>$BG33="same subsector"</formula>
    </cfRule>
    <cfRule type="expression" priority="47" dxfId="1">
      <formula>$BG33="sector only"</formula>
    </cfRule>
  </conditionalFormatting>
  <conditionalFormatting sqref="A34:BI34">
    <cfRule type="expression" priority="48" dxfId="0">
      <formula>$BG34="same subsector"</formula>
    </cfRule>
    <cfRule type="expression" priority="49" dxfId="1">
      <formula>$BG34="sector only"</formula>
    </cfRule>
  </conditionalFormatting>
  <conditionalFormatting sqref="A35:BI35">
    <cfRule type="expression" priority="50" dxfId="0">
      <formula>$BG35="same subsector"</formula>
    </cfRule>
    <cfRule type="expression" priority="51" dxfId="1">
      <formula>$BG35="sector only"</formula>
    </cfRule>
  </conditionalFormatting>
  <conditionalFormatting sqref="AH21:AH35">
    <cfRule type="colorScale" priority="1">
      <colorScale>
        <cfvo type="num" val="-60"/>
        <cfvo type="num" val="0"/>
        <cfvo type="num" val="60"/>
        <color rgb="00F8696B"/>
        <color rgb="00FFFFFF"/>
        <color rgb="0063BE7B"/>
      </colorScale>
    </cfRule>
  </conditionalFormatting>
  <conditionalFormatting sqref="Y21:Y35">
    <cfRule type="colorScale" priority="2">
      <colorScale>
        <cfvo type="num" val="-60"/>
        <cfvo type="num" val="0"/>
        <cfvo type="num" val="60"/>
        <color rgb="00F8696B"/>
        <color rgb="00FFFFFF"/>
        <color rgb="0063BE7B"/>
      </colorScale>
    </cfRule>
  </conditionalFormatting>
  <conditionalFormatting sqref="AK21:AK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Y21:AY35">
    <cfRule type="colorScale" priority="5">
      <colorScale>
        <cfvo type="num" val="-60"/>
        <cfvo type="num" val="0"/>
        <cfvo type="num" val="60"/>
        <color rgb="00F8696B"/>
        <color rgb="00FFFFFF"/>
        <color rgb="0063BE7B"/>
      </colorScale>
    </cfRule>
  </conditionalFormatting>
  <conditionalFormatting sqref="AW21:AW35">
    <cfRule type="colorScale" priority="6">
      <colorScale>
        <cfvo type="num" val="-60"/>
        <cfvo type="num" val="0"/>
        <cfvo type="num" val="60"/>
        <color rgb="00F8696B"/>
        <color rgb="00FFFFFF"/>
        <color rgb="0063BE7B"/>
      </colorScale>
    </cfRule>
  </conditionalFormatting>
  <conditionalFormatting sqref="AJ21:AJ35">
    <cfRule type="colorScale" priority="7">
      <colorScale>
        <cfvo type="num" val="-60"/>
        <cfvo type="num" val="0"/>
        <cfvo type="num" val="60"/>
        <color rgb="00F8696B"/>
        <color rgb="00FFFFFF"/>
        <color rgb="0063BE7B"/>
      </colorScale>
    </cfRule>
  </conditionalFormatting>
  <conditionalFormatting sqref="AA21:AA35">
    <cfRule type="colorScale" priority="8">
      <colorScale>
        <cfvo type="num" val="-60"/>
        <cfvo type="num" val="0"/>
        <cfvo type="num" val="60"/>
        <color rgb="00F8696B"/>
        <color rgb="00FFFFFF"/>
        <color rgb="0063BE7B"/>
      </colorScale>
    </cfRule>
  </conditionalFormatting>
  <conditionalFormatting sqref="AC21:AC35">
    <cfRule type="colorScale" priority="9">
      <colorScale>
        <cfvo type="num" val="-60"/>
        <cfvo type="num" val="0"/>
        <cfvo type="num" val="60"/>
        <color rgb="00F8696B"/>
        <color rgb="00FFFFFF"/>
        <color rgb="0063BE7B"/>
      </colorScale>
    </cfRule>
  </conditionalFormatting>
  <conditionalFormatting sqref="X21:X35">
    <cfRule type="colorScale" priority="10">
      <colorScale>
        <cfvo type="num" val="-60"/>
        <cfvo type="num" val="0"/>
        <cfvo type="num" val="60"/>
        <color rgb="00F8696B"/>
        <color rgb="00FFFFFF"/>
        <color rgb="0063BE7B"/>
      </colorScale>
    </cfRule>
  </conditionalFormatting>
  <conditionalFormatting sqref="AL21:AL35">
    <cfRule type="colorScale" priority="11">
      <colorScale>
        <cfvo type="num" val="-60"/>
        <cfvo type="num" val="0"/>
        <cfvo type="num" val="60"/>
        <color rgb="00F8696B"/>
        <color rgb="00FFFFFF"/>
        <color rgb="0063BE7B"/>
      </colorScale>
    </cfRule>
  </conditionalFormatting>
  <conditionalFormatting sqref="AG21:AG35">
    <cfRule type="colorScale" priority="12">
      <colorScale>
        <cfvo type="num" val="-60"/>
        <cfvo type="num" val="0"/>
        <cfvo type="num" val="60"/>
        <color rgb="00F8696B"/>
        <color rgb="00FFFFFF"/>
        <color rgb="0063BE7B"/>
      </colorScale>
    </cfRule>
  </conditionalFormatting>
  <conditionalFormatting sqref="AD21:AD35">
    <cfRule type="colorScale" priority="13">
      <colorScale>
        <cfvo type="num" val="-60"/>
        <cfvo type="num" val="0"/>
        <cfvo type="num" val="60"/>
        <color rgb="00F8696B"/>
        <color rgb="00FFFFFF"/>
        <color rgb="0063BE7B"/>
      </colorScale>
    </cfRule>
  </conditionalFormatting>
  <conditionalFormatting sqref="AM21:AM35">
    <cfRule type="colorScale" priority="14">
      <colorScale>
        <cfvo type="num" val="-60"/>
        <cfvo type="num" val="0"/>
        <cfvo type="num" val="60"/>
        <color rgb="00F8696B"/>
        <color rgb="00FFFFFF"/>
        <color rgb="0063BE7B"/>
      </colorScale>
    </cfRule>
  </conditionalFormatting>
  <conditionalFormatting sqref="AB21:AB35">
    <cfRule type="colorScale" priority="15">
      <colorScale>
        <cfvo type="num" val="-60"/>
        <cfvo type="num" val="0"/>
        <cfvo type="num" val="60"/>
        <color rgb="00F8696B"/>
        <color rgb="00FFFFFF"/>
        <color rgb="0063BE7B"/>
      </colorScale>
    </cfRule>
  </conditionalFormatting>
  <conditionalFormatting sqref="AI21:AI35">
    <cfRule type="colorScale" priority="16">
      <colorScale>
        <cfvo type="num" val="-60"/>
        <cfvo type="num" val="0"/>
        <cfvo type="num" val="60"/>
        <color rgb="00F8696B"/>
        <color rgb="00FFFFFF"/>
        <color rgb="0063BE7B"/>
      </colorScale>
    </cfRule>
  </conditionalFormatting>
  <conditionalFormatting sqref="AE21:AE35">
    <cfRule type="colorScale" priority="17">
      <colorScale>
        <cfvo type="num" val="-60"/>
        <cfvo type="num" val="0"/>
        <cfvo type="num" val="60"/>
        <color rgb="00F8696B"/>
        <color rgb="00FFFFFF"/>
        <color rgb="0063BE7B"/>
      </colorScale>
    </cfRule>
  </conditionalFormatting>
  <conditionalFormatting sqref="Z21:Z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I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5" t="n"/>
      <c r="AA3" s="56"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9" t="inlineStr">
        <is>
          <t>FUNDAMENTALS</t>
        </is>
      </c>
      <c r="AT3" s="34" t="n"/>
      <c r="AU3" s="34" t="n"/>
      <c r="AV3" s="34" t="n"/>
      <c r="AW3" s="34" t="n"/>
      <c r="AX3" s="34" t="n"/>
      <c r="AY3" s="35" t="n"/>
      <c r="AZ3" s="60" t="inlineStr">
        <is>
          <t>A / H</t>
        </is>
      </c>
      <c r="BA3" s="34" t="n"/>
      <c r="BB3" s="34" t="n"/>
      <c r="BC3" s="34" t="n"/>
      <c r="BD3" s="34" t="n"/>
      <c r="BE3" s="34" t="n"/>
      <c r="BF3" s="35" t="n"/>
      <c r="BG3" s="61" t="inlineStr">
        <is>
          <t>BANKS &amp; DOCS</t>
        </is>
      </c>
      <c r="BH3" s="34" t="n"/>
      <c r="BI3" s="34" t="n"/>
      <c r="BJ3" s="34" t="n"/>
      <c r="BK3" s="34" t="n"/>
      <c r="BL3" s="34" t="n"/>
      <c r="BM3" s="35" t="n"/>
      <c r="BN3" s="59"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520.1</v>
      </c>
      <c r="J5" s="63" t="inlineStr">
        <is>
          <t>net proceeds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7" t="n">
        <v>11.06</v>
      </c>
      <c r="W5" s="63" t="inlineStr">
        <is>
          <t>Caitong Fund Management Co., Ltd; Hony Goldstream Special Opportunity Fund I</t>
        </is>
      </c>
      <c r="X5" s="63" t="inlineStr">
        <is>
          <t>caitong;hony</t>
        </is>
      </c>
      <c r="Y5" s="67" t="n">
        <v>10</v>
      </c>
      <c r="Z5" s="63" t="inlineStr">
        <is>
          <t>lapsed</t>
        </is>
      </c>
      <c r="AA5" s="72" t="n">
        <v>-5.96</v>
      </c>
      <c r="AB5" s="73" t="n">
        <v>-5.5</v>
      </c>
      <c r="AC5" s="73" t="n">
        <v>-0.49</v>
      </c>
      <c r="AD5" s="73" t="n">
        <v>-11.24</v>
      </c>
      <c r="AE5" s="73" t="n">
        <v>-27.98</v>
      </c>
      <c r="AF5" s="73" t="n">
        <v>-50.23</v>
      </c>
      <c r="AG5" s="73" t="n">
        <v>-5.61</v>
      </c>
      <c r="AH5" s="73" t="n">
        <v>-23.42</v>
      </c>
      <c r="AI5" s="73" t="n">
        <v>-47.08</v>
      </c>
      <c r="AJ5" s="73" t="n">
        <v>-14.15</v>
      </c>
      <c r="AK5" s="73" t="n">
        <v>-41.54</v>
      </c>
      <c r="AL5" s="73" t="n">
        <v>-46.95</v>
      </c>
      <c r="AM5" s="73" t="n">
        <v>-37.11</v>
      </c>
      <c r="AN5" s="73" t="n">
        <v>13.56</v>
      </c>
      <c r="AO5" s="73" t="n">
        <v>13.69</v>
      </c>
      <c r="AP5" s="63" t="inlineStr">
        <is>
          <t>China Biotech ETF (HS biotech proxy)</t>
        </is>
      </c>
      <c r="AQ5" s="73" t="n">
        <v>-96.61</v>
      </c>
      <c r="AR5" s="64" t="inlineStr">
        <is>
          <t>2026-08-20</t>
        </is>
      </c>
      <c r="AS5" s="65" t="n">
        <v>163.9</v>
      </c>
      <c r="AT5" s="68" t="n">
        <v>36.4</v>
      </c>
      <c r="AU5" s="63" t="inlineStr">
        <is>
          <t>Y</t>
        </is>
      </c>
      <c r="AV5" s="74" t="n">
        <v>95.8</v>
      </c>
      <c r="AW5" s="74" t="n"/>
      <c r="AX5" s="74" t="n"/>
      <c r="AY5" s="74" t="n">
        <v>21.3</v>
      </c>
      <c r="AZ5" s="75" t="inlineStr">
        <is>
          <t>N</t>
        </is>
      </c>
      <c r="BA5" s="76">
        <f>IF('BBG Verify'!K5="","not filed — run on terminal",'BBG Verify'!K5)</f>
        <v/>
      </c>
      <c r="BB5" s="63" t="inlineStr">
        <is>
          <t>N/A</t>
        </is>
      </c>
      <c r="BC5" s="63" t="inlineStr">
        <is>
          <t>N/A</t>
        </is>
      </c>
      <c r="BD5" s="63" t="inlineStr">
        <is>
          <t>N/A</t>
        </is>
      </c>
      <c r="BE5" s="63" t="inlineStr">
        <is>
          <t>N/A</t>
        </is>
      </c>
      <c r="BF5" s="63" t="inlineStr">
        <is>
          <t>N/A</t>
        </is>
      </c>
      <c r="BG5" s="75" t="inlineStr">
        <is>
          <t>Mont Avenir Capital Limited</t>
        </is>
      </c>
      <c r="BH5" s="63" t="inlineStr">
        <is>
          <t>Mont Avenir Capital Limited</t>
        </is>
      </c>
      <c r="BI5" s="63" t="inlineStr">
        <is>
          <t>Mont Avenir Capital Limited; SPDB International Capital Limited; Futu Securities International (Hong Kong) Limited; AMTD Global Markets Limited; China Merchants Securities (HK) Co., Limited</t>
        </is>
      </c>
      <c r="BJ5" s="63" t="inlineStr">
        <is>
          <t>AMTD Global Markets Limited; China Merchants Securities (HK) Company Limited; Futu Securities International (Hong Kong) Limited; Mont Avenir Capital Limited; SPDB International Capital Limited</t>
        </is>
      </c>
      <c r="BK5" s="77">
        <f>HYPERLINK("https://www1.hkexnews.hk/listedco/listconews/sehk/2020/1221/2020122100005.pdf","prospectus")</f>
        <v/>
      </c>
      <c r="BL5" s="77">
        <f>HYPERLINK("https://www1.hkexnews.hk/listedco/listconews/sehk/2021/0105/2021010500020.htm","allotment")</f>
        <v/>
      </c>
      <c r="BM5" s="77">
        <f>HYPERLINK("https://www1.hkexnews.hk/listedco/listconews/sehk/2021/0124/2021012400011.pdf","stabilisation")</f>
        <v/>
      </c>
      <c r="BN5" s="75" t="n"/>
      <c r="BO5" s="63" t="inlineStr">
        <is>
          <t>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54.7</v>
      </c>
      <c r="J6" s="63" t="inlineStr">
        <is>
          <t>net proceeds</t>
        </is>
      </c>
      <c r="K6" s="66" t="n"/>
      <c r="L6" s="66" t="n">
        <v>2</v>
      </c>
      <c r="M6" s="66" t="n">
        <v>2</v>
      </c>
      <c r="N6" s="63" t="inlineStr">
        <is>
          <t>Y</t>
        </is>
      </c>
      <c r="O6" s="67" t="n">
        <v>100</v>
      </c>
      <c r="P6" s="67" t="n"/>
      <c r="Q6" s="68" t="n">
        <v>594</v>
      </c>
      <c r="R6" s="63" t="inlineStr">
        <is>
          <t>aastocks:上市市值 at the struck price</t>
        </is>
      </c>
      <c r="S6" s="69" t="n">
        <v>36.25</v>
      </c>
      <c r="T6" s="70" t="n">
        <v>1.01</v>
      </c>
      <c r="U6" s="71" t="n">
        <v>0</v>
      </c>
      <c r="V6" s="67" t="n">
        <v>9.210000000000001</v>
      </c>
      <c r="W6" s="63" t="n"/>
      <c r="X6" s="63" t="n"/>
      <c r="Y6" s="67" t="n">
        <v>15</v>
      </c>
      <c r="Z6" s="63" t="inlineStr">
        <is>
          <t>lapsed</t>
        </is>
      </c>
      <c r="AA6" s="72" t="n">
        <v>2.5</v>
      </c>
      <c r="AB6" s="73" t="n">
        <v>-0.5</v>
      </c>
      <c r="AC6" s="73" t="n">
        <v>3.02</v>
      </c>
      <c r="AD6" s="73" t="n">
        <v>-5</v>
      </c>
      <c r="AE6" s="73" t="n">
        <v>-5</v>
      </c>
      <c r="AF6" s="73" t="n">
        <v>3.5</v>
      </c>
      <c r="AG6" s="73" t="n">
        <v>-7.32</v>
      </c>
      <c r="AH6" s="73" t="n">
        <v>-7.32</v>
      </c>
      <c r="AI6" s="73" t="n">
        <v>0.98</v>
      </c>
      <c r="AJ6" s="73" t="n">
        <v>-5.71</v>
      </c>
      <c r="AK6" s="73" t="n">
        <v>-15.56</v>
      </c>
      <c r="AL6" s="73" t="n">
        <v>3.47</v>
      </c>
      <c r="AM6" s="73" t="n">
        <v>-16.88</v>
      </c>
      <c r="AN6" s="73" t="n">
        <v>10.56</v>
      </c>
      <c r="AO6" s="73" t="n">
        <v>9.56</v>
      </c>
      <c r="AP6" s="63" t="inlineStr">
        <is>
          <t>Hang Seng Commerce &amp; Industry sub-index</t>
        </is>
      </c>
      <c r="AQ6" s="73" t="n">
        <v>-70.59999999999999</v>
      </c>
      <c r="AR6" s="64" t="inlineStr">
        <is>
          <t>2026-08-24</t>
        </is>
      </c>
      <c r="AS6" s="65" t="n">
        <v>987.2</v>
      </c>
      <c r="AT6" s="68" t="n">
        <v>54.4</v>
      </c>
      <c r="AU6" s="63" t="inlineStr">
        <is>
          <t>Y</t>
        </is>
      </c>
      <c r="AV6" s="74" t="n">
        <v>10.9</v>
      </c>
      <c r="AW6" s="74" t="n"/>
      <c r="AX6" s="74" t="n">
        <v>5.7</v>
      </c>
      <c r="AY6" s="74" t="n">
        <v>0.6</v>
      </c>
      <c r="AZ6" s="75" t="inlineStr">
        <is>
          <t>N</t>
        </is>
      </c>
      <c r="BA6" s="76">
        <f>IF('BBG Verify'!K6="","not filed — run on terminal",'BBG Verify'!K6)</f>
        <v/>
      </c>
      <c r="BB6" s="63" t="inlineStr">
        <is>
          <t>N/A</t>
        </is>
      </c>
      <c r="BC6" s="63" t="inlineStr">
        <is>
          <t>N/A</t>
        </is>
      </c>
      <c r="BD6" s="63" t="inlineStr">
        <is>
          <t>N/A</t>
        </is>
      </c>
      <c r="BE6" s="63" t="inlineStr">
        <is>
          <t>N/A</t>
        </is>
      </c>
      <c r="BF6" s="63" t="inlineStr">
        <is>
          <t>N/A</t>
        </is>
      </c>
      <c r="BG6" s="75" t="inlineStr">
        <is>
          <t>China Tonghai Capital Limited</t>
        </is>
      </c>
      <c r="BH6" s="63" t="inlineStr">
        <is>
          <t>China Tonghai Capital Limited</t>
        </is>
      </c>
      <c r="BI6" s="63" t="inlineStr">
        <is>
          <t>China Tonghai Securities Limited; CMBC Securities Company Limited; Southwest Securities (HK) Brokerage Limited; Causeway Bay, Hong Kong SPDB International Capital Limited</t>
        </is>
      </c>
      <c r="BJ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7">
        <f>HYPERLINK("https://www1.hkexnews.hk/listedco/listconews/sehk/2020/1222/2020122200050.htm","prospectus")</f>
        <v/>
      </c>
      <c r="BL6" s="77">
        <f>HYPERLINK("https://www1.hkexnews.hk/listedco/listconews/sehk/2021/0105/2021010500038.htm","allotment")</f>
        <v/>
      </c>
      <c r="BM6" s="77">
        <f>HYPERLINK("https://www1.hkexnews.hk/listedco/listconews/sehk/2021/0203/2021020300669.pdf","stabilisation")</f>
        <v/>
      </c>
      <c r="BN6" s="75" t="n"/>
      <c r="BO6" s="63"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7" t="n">
        <v>12.35</v>
      </c>
      <c r="W7" s="63" t="inlineStr">
        <is>
          <t>Cheng Hung Ping; Tam Yuk Ching Jenny; Tsai Chuen Sui Robert</t>
        </is>
      </c>
      <c r="X7" s="63" t="inlineStr">
        <is>
          <t>cheng-hung;tam;tsai</t>
        </is>
      </c>
      <c r="Y7" s="67" t="n">
        <v>7.5</v>
      </c>
      <c r="Z7" s="63" t="n"/>
      <c r="AA7" s="72" t="n">
        <v>3.75</v>
      </c>
      <c r="AB7" s="73" t="n">
        <v>5</v>
      </c>
      <c r="AC7" s="73" t="n">
        <v>-1.19</v>
      </c>
      <c r="AD7" s="73" t="n">
        <v>25</v>
      </c>
      <c r="AE7" s="73" t="n">
        <v>60</v>
      </c>
      <c r="AF7" s="73" t="n">
        <v>22.5</v>
      </c>
      <c r="AG7" s="73" t="n">
        <v>20.48</v>
      </c>
      <c r="AH7" s="73" t="n">
        <v>54.22</v>
      </c>
      <c r="AI7" s="73" t="n">
        <v>18.07</v>
      </c>
      <c r="AJ7" s="73" t="n">
        <v>15.11</v>
      </c>
      <c r="AK7" s="73" t="n">
        <v>45.86</v>
      </c>
      <c r="AL7" s="73" t="n">
        <v>20.13</v>
      </c>
      <c r="AM7" s="73" t="n">
        <v>40.18</v>
      </c>
      <c r="AN7" s="73" t="n">
        <v>14.14</v>
      </c>
      <c r="AO7" s="73" t="n">
        <v>14.04</v>
      </c>
      <c r="AP7" s="63" t="inlineStr">
        <is>
          <t>Hang Seng Commerce &amp; Industry sub-index</t>
        </is>
      </c>
      <c r="AQ7" s="73" t="n">
        <v>2900</v>
      </c>
      <c r="AR7" s="64" t="inlineStr">
        <is>
          <t>2026-08-20</t>
        </is>
      </c>
      <c r="AS7" s="65" t="n">
        <v>223.8</v>
      </c>
      <c r="AT7" s="68" t="n">
        <v>46</v>
      </c>
      <c r="AU7" s="63" t="inlineStr">
        <is>
          <t>Y</t>
        </is>
      </c>
      <c r="AV7" s="74" t="n">
        <v>12.2</v>
      </c>
      <c r="AW7" s="74" t="n"/>
      <c r="AX7" s="74" t="n"/>
      <c r="AY7" s="74" t="n">
        <v>2.5</v>
      </c>
      <c r="AZ7" s="75" t="inlineStr">
        <is>
          <t>N</t>
        </is>
      </c>
      <c r="BA7" s="76">
        <f>IF('BBG Verify'!K7="","not filed — run on terminal",'BBG Verify'!K7)</f>
        <v/>
      </c>
      <c r="BB7" s="63" t="inlineStr">
        <is>
          <t>N/A</t>
        </is>
      </c>
      <c r="BC7" s="63" t="inlineStr">
        <is>
          <t>N/A</t>
        </is>
      </c>
      <c r="BD7" s="63" t="inlineStr">
        <is>
          <t>N/A</t>
        </is>
      </c>
      <c r="BE7" s="63" t="inlineStr">
        <is>
          <t>N/A</t>
        </is>
      </c>
      <c r="BF7" s="63" t="inlineStr">
        <is>
          <t>N/A</t>
        </is>
      </c>
      <c r="BG7" s="75" t="inlineStr">
        <is>
          <t>Dakin Capital Limited</t>
        </is>
      </c>
      <c r="BH7" s="63" t="inlineStr">
        <is>
          <t>Dakin Capital Limited</t>
        </is>
      </c>
      <c r="BI7" s="63" t="inlineStr">
        <is>
          <t>Dakin Securities Limited; BOCOM International Securities Limited</t>
        </is>
      </c>
      <c r="BJ7" s="63" t="inlineStr">
        <is>
          <t>Beta International Securities Limited; CCB International Capital Limited; Dakin Securities Limited; I Win Securities Limited; Red Eagle Securities Limited; Yuzhou Financial Holdings Limited</t>
        </is>
      </c>
      <c r="BK7" s="77">
        <f>HYPERLINK("https://www1.hkexnews.hk/listedco/listconews/sehk/2020/1228/2020122800063.pdf","prospectus")</f>
        <v/>
      </c>
      <c r="BL7" s="77">
        <f>HYPERLINK("https://www1.hkexnews.hk/listedco/listconews/sehk/2021/0112/2021011200008.htm","allotment")</f>
        <v/>
      </c>
      <c r="BM7" s="63" t="n"/>
      <c r="BN7" s="75" t="n"/>
      <c r="BO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41.6</v>
      </c>
      <c r="J8" s="63" t="inlineStr">
        <is>
          <t>net proceeds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7" t="n">
        <v>6.76</v>
      </c>
      <c r="W8" s="63" t="n"/>
      <c r="X8" s="63" t="n"/>
      <c r="Y8" s="67" t="n"/>
      <c r="Z8" s="63" t="n"/>
      <c r="AA8" s="72" t="n">
        <v>-12.5</v>
      </c>
      <c r="AB8" s="73" t="n">
        <v>15</v>
      </c>
      <c r="AC8" s="73" t="n">
        <v>-23.91</v>
      </c>
      <c r="AD8" s="73" t="n">
        <v>-31.25</v>
      </c>
      <c r="AE8" s="73" t="n">
        <v>-42</v>
      </c>
      <c r="AF8" s="73" t="n">
        <v>-55</v>
      </c>
      <c r="AG8" s="73" t="n">
        <v>-21.43</v>
      </c>
      <c r="AH8" s="73" t="n">
        <v>-33.71</v>
      </c>
      <c r="AI8" s="73" t="n">
        <v>-48.57</v>
      </c>
      <c r="AJ8" s="73" t="n">
        <v>-41.14</v>
      </c>
      <c r="AK8" s="73" t="n">
        <v>-56.14</v>
      </c>
      <c r="AL8" s="73" t="n">
        <v>-57.37</v>
      </c>
      <c r="AM8" s="73" t="n">
        <v>-47.75</v>
      </c>
      <c r="AN8" s="73" t="n">
        <v>14.14</v>
      </c>
      <c r="AO8" s="73" t="n">
        <v>14.04</v>
      </c>
      <c r="AP8" s="63" t="inlineStr">
        <is>
          <t>Hang Seng Commerce &amp; Industry sub-index</t>
        </is>
      </c>
      <c r="AQ8" s="73" t="n">
        <v>-43</v>
      </c>
      <c r="AR8" s="64" t="inlineStr">
        <is>
          <t>2026-08-20</t>
        </is>
      </c>
      <c r="AS8" s="65" t="n">
        <v>248.9</v>
      </c>
      <c r="AT8" s="68" t="n">
        <v>34.5</v>
      </c>
      <c r="AU8" s="63" t="inlineStr">
        <is>
          <t>Y</t>
        </is>
      </c>
      <c r="AV8" s="74" t="n">
        <v>17.8</v>
      </c>
      <c r="AW8" s="74" t="n"/>
      <c r="AX8" s="74" t="n"/>
      <c r="AY8" s="74" t="n">
        <v>2.5</v>
      </c>
      <c r="AZ8" s="75" t="inlineStr">
        <is>
          <t>N</t>
        </is>
      </c>
      <c r="BA8" s="76">
        <f>IF('BBG Verify'!K8="","not filed — run on terminal",'BBG Verify'!K8)</f>
        <v/>
      </c>
      <c r="BB8" s="63" t="inlineStr">
        <is>
          <t>N/A</t>
        </is>
      </c>
      <c r="BC8" s="63" t="inlineStr">
        <is>
          <t>N/A</t>
        </is>
      </c>
      <c r="BD8" s="63" t="inlineStr">
        <is>
          <t>N/A</t>
        </is>
      </c>
      <c r="BE8" s="63" t="inlineStr">
        <is>
          <t>N/A</t>
        </is>
      </c>
      <c r="BF8" s="63" t="inlineStr">
        <is>
          <t>N/A</t>
        </is>
      </c>
      <c r="BG8" s="75" t="n"/>
      <c r="BH8" s="63" t="inlineStr">
        <is>
          <t>Ample Capital Limited</t>
        </is>
      </c>
      <c r="BI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7">
        <f>HYPERLINK("https://www1.hkexnews.hk/listedco/listconews/sehk/2020/1230/2020123000007.pdf","prospectus")</f>
        <v/>
      </c>
      <c r="BL8" s="77">
        <f>HYPERLINK("https://www1.hkexnews.hk/listedco/listconews/sehk/2021/0112/2021011200024.htm","allotment")</f>
        <v/>
      </c>
      <c r="BM8" s="63" t="n"/>
      <c r="BN8" s="75" t="n"/>
      <c r="BO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7" t="n">
        <v>19.96</v>
      </c>
      <c r="W9" s="63" t="inlineStr">
        <is>
          <t>Yanlord Investment Limited; Zoomlion International Trading (H.K.) Co., Limited</t>
        </is>
      </c>
      <c r="X9" s="63" t="inlineStr">
        <is>
          <t>yanlord;zoomlion</t>
        </is>
      </c>
      <c r="Y9" s="67" t="n">
        <v>11.9</v>
      </c>
      <c r="Z9" s="63" t="inlineStr">
        <is>
          <t>lapsed</t>
        </is>
      </c>
      <c r="AA9" s="72" t="n">
        <v>-8.67</v>
      </c>
      <c r="AB9" s="73" t="n">
        <v>-19.08</v>
      </c>
      <c r="AC9" s="73" t="n">
        <v>12.86</v>
      </c>
      <c r="AD9" s="73" t="n">
        <v>5.78</v>
      </c>
      <c r="AE9" s="73" t="n">
        <v>-13.87</v>
      </c>
      <c r="AF9" s="73" t="n">
        <v>-13.29</v>
      </c>
      <c r="AG9" s="73" t="n">
        <v>15.82</v>
      </c>
      <c r="AH9" s="73" t="n">
        <v>-5.69</v>
      </c>
      <c r="AI9" s="73" t="n">
        <v>-5.06</v>
      </c>
      <c r="AJ9" s="73" t="n">
        <v>-4.11</v>
      </c>
      <c r="AK9" s="73" t="n">
        <v>-28.01</v>
      </c>
      <c r="AL9" s="73" t="n">
        <v>-15.66</v>
      </c>
      <c r="AM9" s="73" t="n">
        <v>-19.73</v>
      </c>
      <c r="AN9" s="73" t="n">
        <v>14.14</v>
      </c>
      <c r="AO9" s="73" t="n">
        <v>14.04</v>
      </c>
      <c r="AP9" s="63" t="inlineStr">
        <is>
          <t>Hang Seng Commerce &amp; Industry sub-index</t>
        </is>
      </c>
      <c r="AQ9" s="73" t="n">
        <v>-53.76</v>
      </c>
      <c r="AR9" s="64" t="inlineStr">
        <is>
          <t>2026-08-20</t>
        </is>
      </c>
      <c r="AS9" s="65" t="n">
        <v>819.4</v>
      </c>
      <c r="AT9" s="68" t="n">
        <v>84.09999999999999</v>
      </c>
      <c r="AU9" s="63" t="inlineStr">
        <is>
          <t>Y</t>
        </is>
      </c>
      <c r="AV9" s="74" t="n">
        <v>24</v>
      </c>
      <c r="AW9" s="74" t="n"/>
      <c r="AX9" s="74" t="n"/>
      <c r="AY9" s="74" t="n">
        <v>2.5</v>
      </c>
      <c r="AZ9" s="75" t="inlineStr">
        <is>
          <t>N</t>
        </is>
      </c>
      <c r="BA9" s="76">
        <f>IF('BBG Verify'!K9="","not filed — run on terminal",'BBG Verify'!K9)</f>
        <v/>
      </c>
      <c r="BB9" s="63" t="inlineStr">
        <is>
          <t>N/A</t>
        </is>
      </c>
      <c r="BC9" s="63" t="inlineStr">
        <is>
          <t>N/A</t>
        </is>
      </c>
      <c r="BD9" s="63" t="inlineStr">
        <is>
          <t>N/A</t>
        </is>
      </c>
      <c r="BE9" s="63" t="inlineStr">
        <is>
          <t>N/A</t>
        </is>
      </c>
      <c r="BF9" s="63" t="inlineStr">
        <is>
          <t>N/A</t>
        </is>
      </c>
      <c r="BG9" s="75" t="inlineStr">
        <is>
          <t>Fortune Financial Capital Limited</t>
        </is>
      </c>
      <c r="BH9" s="63" t="inlineStr">
        <is>
          <t>Fortune Financial Capital Limited</t>
        </is>
      </c>
      <c r="BI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7">
        <f>HYPERLINK("https://www1.hkexnews.hk/listedco/listconews/sehk/2020/1230/2020123000017.pdf","prospectus")</f>
        <v/>
      </c>
      <c r="BL9" s="77">
        <f>HYPERLINK("https://www1.hkexnews.hk/listedco/listconews/sehk/2021/0112/2021011200086.htm","allotment")</f>
        <v/>
      </c>
      <c r="BM9" s="77">
        <f>HYPERLINK("https://www1.hkexnews.hk/listedco/listconews/sehk/2021/0204/2021020400633.pdf","stabilisation")</f>
        <v/>
      </c>
      <c r="BN9" s="75" t="n"/>
      <c r="BO9" s="63" t="inlineStr">
        <is>
          <t>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c r="L10" s="66" t="n">
        <v>1.47</v>
      </c>
      <c r="M10" s="66" t="n">
        <v>1.18</v>
      </c>
      <c r="N10" s="63" t="inlineStr">
        <is>
          <t>N</t>
        </is>
      </c>
      <c r="O10" s="67" t="n">
        <v>80.3</v>
      </c>
      <c r="P10" s="67" t="n"/>
      <c r="Q10" s="68" t="n">
        <v>816.9</v>
      </c>
      <c r="R10" s="63" t="inlineStr">
        <is>
          <t>aastocks:上市市值 at the struck price</t>
        </is>
      </c>
      <c r="S10" s="69" t="n">
        <v>30.66</v>
      </c>
      <c r="T10" s="70" t="n">
        <v>1.004</v>
      </c>
      <c r="U10" s="71" t="n">
        <v>0</v>
      </c>
      <c r="V10" s="67" t="n">
        <v>21.67</v>
      </c>
      <c r="W10" s="63" t="n"/>
      <c r="X10" s="63" t="n"/>
      <c r="Y10" s="67" t="n">
        <v>7</v>
      </c>
      <c r="Z10" s="63" t="n"/>
      <c r="AA10" s="72" t="n">
        <v>6.78</v>
      </c>
      <c r="AB10" s="73" t="n">
        <v>-0.85</v>
      </c>
      <c r="AC10" s="73" t="n">
        <v>7.7</v>
      </c>
      <c r="AD10" s="73" t="n">
        <v>-11.86</v>
      </c>
      <c r="AE10" s="73" t="n">
        <v>-21.19</v>
      </c>
      <c r="AF10" s="73" t="n">
        <v>-28.81</v>
      </c>
      <c r="AG10" s="73" t="n">
        <v>-17.46</v>
      </c>
      <c r="AH10" s="73" t="n">
        <v>-26.19</v>
      </c>
      <c r="AI10" s="73" t="n">
        <v>-33.33</v>
      </c>
      <c r="AJ10" s="73" t="n">
        <v>-22.93</v>
      </c>
      <c r="AK10" s="73" t="n">
        <v>-36.53</v>
      </c>
      <c r="AL10" s="73" t="n">
        <v>-26.19</v>
      </c>
      <c r="AM10" s="73" t="n">
        <v>-41.99</v>
      </c>
      <c r="AN10" s="73" t="n">
        <v>15.34</v>
      </c>
      <c r="AO10" s="73" t="n">
        <v>15.8</v>
      </c>
      <c r="AP10" s="63" t="inlineStr">
        <is>
          <t>China Biotech ETF (HS biotech proxy)</t>
        </is>
      </c>
      <c r="AQ10" s="73" t="n">
        <v>-30.51</v>
      </c>
      <c r="AR10" s="64" t="inlineStr">
        <is>
          <t>2026-08-20</t>
        </is>
      </c>
      <c r="AS10" s="65" t="n">
        <v>240.6</v>
      </c>
      <c r="AT10" s="68" t="n">
        <v>50.9</v>
      </c>
      <c r="AU10" s="63" t="inlineStr">
        <is>
          <t>Y</t>
        </is>
      </c>
      <c r="AV10" s="74" t="n">
        <v>16</v>
      </c>
      <c r="AW10" s="74" t="n"/>
      <c r="AX10" s="74" t="n"/>
      <c r="AY10" s="74" t="n">
        <v>3.4</v>
      </c>
      <c r="AZ10" s="75" t="inlineStr">
        <is>
          <t>N</t>
        </is>
      </c>
      <c r="BA10" s="76">
        <f>IF('BBG Verify'!K10="","not filed — run on terminal",'BBG Verify'!K10)</f>
        <v/>
      </c>
      <c r="BB10" s="63" t="inlineStr">
        <is>
          <t>N/A</t>
        </is>
      </c>
      <c r="BC10" s="63" t="inlineStr">
        <is>
          <t>N/A</t>
        </is>
      </c>
      <c r="BD10" s="63" t="inlineStr">
        <is>
          <t>N/A</t>
        </is>
      </c>
      <c r="BE10" s="63" t="inlineStr">
        <is>
          <t>N/A</t>
        </is>
      </c>
      <c r="BF10" s="63" t="inlineStr">
        <is>
          <t>N/A</t>
        </is>
      </c>
      <c r="BG10" s="75" t="inlineStr">
        <is>
          <t>Soochow Securities International Capital Limited</t>
        </is>
      </c>
      <c r="BH10" s="63" t="inlineStr">
        <is>
          <t>Soochow Securities International Capital Limited</t>
        </is>
      </c>
      <c r="BI10" s="63" t="inlineStr">
        <is>
          <t>SPDB International Capital Limited; BOCOM International Securities Limited; Central, Hong Kong Yue Xiu Securities Company Limited; Wan Chai, Hong Kong Shanxi Securities International Limited; Elstone Securities Limited</t>
        </is>
      </c>
      <c r="BJ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7">
        <f>HYPERLINK("https://www1.hkexnews.hk/listedco/listconews/sehk/2020/1231/2020123100103.pdf","prospectus")</f>
        <v/>
      </c>
      <c r="BL10" s="77">
        <f>HYPERLINK("https://www1.hkexnews.hk/listedco/listconews/sehk/2021/0114/2021011400022.htm","allotment")</f>
        <v/>
      </c>
      <c r="BM10" s="63" t="n"/>
      <c r="BN10" s="75" t="n"/>
      <c r="BO10"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c r="L11" s="66" t="n">
        <v>18.36</v>
      </c>
      <c r="M11" s="66" t="n">
        <v>13.46</v>
      </c>
      <c r="N11" s="63" t="inlineStr">
        <is>
          <t>N</t>
        </is>
      </c>
      <c r="O11" s="67" t="n">
        <v>73.3</v>
      </c>
      <c r="P11" s="67" t="n"/>
      <c r="Q11" s="68" t="n">
        <v>5061</v>
      </c>
      <c r="R11" s="63" t="inlineStr">
        <is>
          <t>prospectus:stated market capitalisation</t>
        </is>
      </c>
      <c r="S11" s="69" t="n">
        <v>6.62</v>
      </c>
      <c r="T11" s="70" t="n">
        <v>1.94</v>
      </c>
      <c r="U11" s="71" t="n">
        <v>0</v>
      </c>
      <c r="V11" s="67" t="n">
        <v>25</v>
      </c>
      <c r="W11" s="63" t="n"/>
      <c r="X11" s="63" t="n"/>
      <c r="Y11" s="67" t="n">
        <v>6.05</v>
      </c>
      <c r="Z11" s="63" t="inlineStr">
        <is>
          <t>lapsed</t>
        </is>
      </c>
      <c r="AA11" s="72" t="n">
        <v>-8.17</v>
      </c>
      <c r="AB11" s="73" t="n">
        <v>-4.9</v>
      </c>
      <c r="AC11" s="73" t="n">
        <v>-3.44</v>
      </c>
      <c r="AD11" s="73" t="n">
        <v>-11.59</v>
      </c>
      <c r="AE11" s="73" t="n">
        <v>-34.03</v>
      </c>
      <c r="AF11" s="73" t="n">
        <v>-36.85</v>
      </c>
      <c r="AG11" s="73" t="n">
        <v>-3.72</v>
      </c>
      <c r="AH11" s="73" t="n">
        <v>-28.16</v>
      </c>
      <c r="AI11" s="73" t="n">
        <v>-31.23</v>
      </c>
      <c r="AJ11" s="73" t="n">
        <v>-13.66</v>
      </c>
      <c r="AK11" s="73" t="n">
        <v>-36.68</v>
      </c>
      <c r="AL11" s="73" t="n">
        <v>-47.57</v>
      </c>
      <c r="AM11" s="73" t="n">
        <v>-30.78</v>
      </c>
      <c r="AN11" s="73" t="n">
        <v>2.65</v>
      </c>
      <c r="AO11" s="73" t="n">
        <v>2.62</v>
      </c>
      <c r="AP11" s="63" t="inlineStr">
        <is>
          <t>Hang Seng Properties sub-index</t>
        </is>
      </c>
      <c r="AQ11" s="73" t="n">
        <v>-84.55</v>
      </c>
      <c r="AR11" s="64" t="inlineStr">
        <is>
          <t>2026-08-19</t>
        </is>
      </c>
      <c r="AS11" s="65" t="n">
        <v>1410.2</v>
      </c>
      <c r="AT11" s="68" t="n">
        <v>124.5</v>
      </c>
      <c r="AU11" s="63" t="inlineStr">
        <is>
          <t>Y</t>
        </is>
      </c>
      <c r="AV11" s="74" t="n">
        <v>40.7</v>
      </c>
      <c r="AW11" s="74" t="n">
        <v>10.7</v>
      </c>
      <c r="AX11" s="74" t="n">
        <v>5.9</v>
      </c>
      <c r="AY11" s="74" t="n">
        <v>3.6</v>
      </c>
      <c r="AZ11" s="75" t="inlineStr">
        <is>
          <t>N</t>
        </is>
      </c>
      <c r="BA11" s="76">
        <f>IF('BBG Verify'!K11="","not filed — run on terminal",'BBG Verify'!K11)</f>
        <v/>
      </c>
      <c r="BB11" s="63" t="inlineStr">
        <is>
          <t>N/A</t>
        </is>
      </c>
      <c r="BC11" s="63" t="inlineStr">
        <is>
          <t>N/A</t>
        </is>
      </c>
      <c r="BD11" s="63" t="inlineStr">
        <is>
          <t>N/A</t>
        </is>
      </c>
      <c r="BE11" s="63" t="inlineStr">
        <is>
          <t>N/A</t>
        </is>
      </c>
      <c r="BF11" s="63" t="inlineStr">
        <is>
          <t>N/A</t>
        </is>
      </c>
      <c r="BG11" s="75" t="inlineStr">
        <is>
          <t>Huatai Financial Holdings (Hong Kong) Limited</t>
        </is>
      </c>
      <c r="BH11" s="63" t="inlineStr">
        <is>
          <t>Huatai Financial Holdings (Hong Kong) Limited</t>
        </is>
      </c>
      <c r="BI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7">
        <f>HYPERLINK("https://www1.hkexnews.hk/listedco/listconews/sehk/2020/1231/2020123100013.pdf","prospectus")</f>
        <v/>
      </c>
      <c r="BL11" s="77">
        <f>HYPERLINK("https://www1.hkexnews.hk/listedco/listconews/sehk/2021/0114/2021011400038.htm","allotment")</f>
        <v/>
      </c>
      <c r="BM11" s="77">
        <f>HYPERLINK("https://www1.hkexnews.hk/listedco/listconews/sehk/2021/0207/2021020700027.pdf","stabilisation")</f>
        <v/>
      </c>
      <c r="BN11" s="75" t="n"/>
      <c r="BO11" s="63" t="inlineStr">
        <is>
          <t>range low: cap-only pricing — the filing publishes a Maximum Offer Price and no indicative floor · A/H: no A-share listing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7" t="n">
        <v>17.29</v>
      </c>
      <c r="W12" s="63" t="inlineStr">
        <is>
          <t>Origin Flair Limited; Snow Lake Funds and Accounts; Vipshop International Holdings Limited</t>
        </is>
      </c>
      <c r="X12" s="63" t="inlineStr">
        <is>
          <t>origin;snow;vipshop</t>
        </is>
      </c>
      <c r="Y12" s="67" t="n">
        <v>14.68</v>
      </c>
      <c r="Z12" s="63" t="inlineStr">
        <is>
          <t>full</t>
        </is>
      </c>
      <c r="AA12" s="72" t="n">
        <v>83.67</v>
      </c>
      <c r="AB12" s="73" t="n">
        <v>19.05</v>
      </c>
      <c r="AC12" s="73" t="n">
        <v>54.28</v>
      </c>
      <c r="AD12" s="73" t="n">
        <v>25.85</v>
      </c>
      <c r="AE12" s="73" t="n">
        <v>32.31</v>
      </c>
      <c r="AF12" s="73" t="n">
        <v>130.95</v>
      </c>
      <c r="AG12" s="73" t="n">
        <v>-31.48</v>
      </c>
      <c r="AH12" s="73" t="n">
        <v>-27.96</v>
      </c>
      <c r="AI12" s="73" t="n">
        <v>25.74</v>
      </c>
      <c r="AJ12" s="73" t="n">
        <v>22.51</v>
      </c>
      <c r="AK12" s="73" t="n">
        <v>23.23</v>
      </c>
      <c r="AL12" s="73" t="n">
        <v>130.51</v>
      </c>
      <c r="AM12" s="73" t="n">
        <v>-36.75</v>
      </c>
      <c r="AN12" s="73" t="n">
        <v>9.08</v>
      </c>
      <c r="AO12" s="73" t="n">
        <v>8.789999999999999</v>
      </c>
      <c r="AP12" s="63" t="inlineStr">
        <is>
          <t>Hang Seng Index</t>
        </is>
      </c>
      <c r="AQ12" s="73" t="n">
        <v>-95.15000000000001</v>
      </c>
      <c r="AR12" s="64" t="inlineStr">
        <is>
          <t>2026-08-20</t>
        </is>
      </c>
      <c r="AS12" s="65" t="n">
        <v>836.3</v>
      </c>
      <c r="AT12" s="68" t="n">
        <v>55.4</v>
      </c>
      <c r="AU12" s="63" t="inlineStr">
        <is>
          <t>Y</t>
        </is>
      </c>
      <c r="AV12" s="74" t="n">
        <v>61</v>
      </c>
      <c r="AW12" s="74" t="n"/>
      <c r="AX12" s="74" t="n"/>
      <c r="AY12" s="74" t="n">
        <v>4</v>
      </c>
      <c r="AZ12" s="75" t="inlineStr">
        <is>
          <t>N</t>
        </is>
      </c>
      <c r="BA12" s="76">
        <f>IF('BBG Verify'!K12="","not filed — run on terminal",'BBG Verify'!K12)</f>
        <v/>
      </c>
      <c r="BB12" s="63" t="inlineStr">
        <is>
          <t>N/A</t>
        </is>
      </c>
      <c r="BC12" s="63" t="inlineStr">
        <is>
          <t>N/A</t>
        </is>
      </c>
      <c r="BD12" s="63" t="inlineStr">
        <is>
          <t>N/A</t>
        </is>
      </c>
      <c r="BE12" s="63" t="inlineStr">
        <is>
          <t>N/A</t>
        </is>
      </c>
      <c r="BF12" s="63" t="inlineStr">
        <is>
          <t>N/A</t>
        </is>
      </c>
      <c r="BG12" s="75" t="inlineStr">
        <is>
          <t>China Merchants Securities (HK) Co., Limited; China Securities (International) Corporate Finance Company Limited</t>
        </is>
      </c>
      <c r="BH12" s="63" t="inlineStr">
        <is>
          <t>China Securities (International) Corporate Finance Company Limited; China Merchants Securities (HK) Company Limited</t>
        </is>
      </c>
      <c r="BI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7">
        <f>HYPERLINK("https://www1.hkexnews.hk/listedco/listconews/sehk/2020/1231/2020123100263.pdf","prospectus")</f>
        <v/>
      </c>
      <c r="BL12" s="77">
        <f>HYPERLINK("https://www1.hkexnews.hk/listedco/listconews/sehk/2021/0114/2021011400088.htm","allotment")</f>
        <v/>
      </c>
      <c r="BM12" s="77">
        <f>HYPERLINK("https://www1.hkexnews.hk/listedco/listconews/sehk/2021/0207/2021020700085.pdf","stabilisation")</f>
        <v/>
      </c>
      <c r="BN12" s="75" t="n"/>
      <c r="BO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7" t="n">
        <v>16.51</v>
      </c>
      <c r="W13" s="63" t="inlineStr">
        <is>
          <t>3W Fund Management Limited; China Orient Multi-Strategy Master Fund; CPP Investment Board PMI-2 Inc; Matthews Funds; OrbiMed Capital LLC; Tencent Mobility Limited; Velmar Company Limited</t>
        </is>
      </c>
      <c r="X13" s="63" t="inlineStr">
        <is>
          <t>3w;orient;cpp;matthews;orbimed;tencent;velmar</t>
        </is>
      </c>
      <c r="Y13" s="67" t="n">
        <v>17.35</v>
      </c>
      <c r="Z13" s="63" t="inlineStr">
        <is>
          <t>full</t>
        </is>
      </c>
      <c r="AA13" s="72" t="n">
        <v>147.91</v>
      </c>
      <c r="AB13" s="73" t="n">
        <v>121.48</v>
      </c>
      <c r="AC13" s="73" t="n">
        <v>11.93</v>
      </c>
      <c r="AD13" s="73" t="n">
        <v>135.74</v>
      </c>
      <c r="AE13" s="73" t="n">
        <v>136.12</v>
      </c>
      <c r="AF13" s="73" t="n">
        <v>38.78</v>
      </c>
      <c r="AG13" s="73" t="n">
        <v>-4.91</v>
      </c>
      <c r="AH13" s="73" t="n">
        <v>-4.76</v>
      </c>
      <c r="AI13" s="73" t="n">
        <v>-44.02</v>
      </c>
      <c r="AJ13" s="73" t="n">
        <v>124.67</v>
      </c>
      <c r="AK13" s="73" t="n">
        <v>120.78</v>
      </c>
      <c r="AL13" s="73" t="n">
        <v>41.4</v>
      </c>
      <c r="AM13" s="73" t="n">
        <v>-20.56</v>
      </c>
      <c r="AN13" s="73" t="n">
        <v>15.34</v>
      </c>
      <c r="AO13" s="73" t="n">
        <v>15.8</v>
      </c>
      <c r="AP13" s="63" t="inlineStr">
        <is>
          <t>China Biotech ETF (HS biotech proxy)</t>
        </is>
      </c>
      <c r="AQ13" s="73" t="n">
        <v>-83.37</v>
      </c>
      <c r="AR13" s="64" t="inlineStr">
        <is>
          <t>2026-08-20</t>
        </is>
      </c>
      <c r="AS13" s="65" t="n">
        <v>613.9</v>
      </c>
      <c r="AT13" s="68" t="n"/>
      <c r="AU13" s="63" t="n"/>
      <c r="AV13" s="78">
        <f>IF('BBG Verify'!O13="","not filed — run on terminal",'BBG Verify'!O13)</f>
        <v/>
      </c>
      <c r="AW13" s="74" t="n"/>
      <c r="AX13" s="74" t="n">
        <v>51.4</v>
      </c>
      <c r="AY13" s="74" t="n">
        <v>34.5</v>
      </c>
      <c r="AZ13" s="75" t="inlineStr">
        <is>
          <t>N</t>
        </is>
      </c>
      <c r="BA13" s="76">
        <f>IF('BBG Verify'!K13="","not filed — run on terminal",'BBG Verify'!K13)</f>
        <v/>
      </c>
      <c r="BB13" s="63" t="inlineStr">
        <is>
          <t>N/A</t>
        </is>
      </c>
      <c r="BC13" s="63" t="inlineStr">
        <is>
          <t>N/A</t>
        </is>
      </c>
      <c r="BD13" s="63" t="inlineStr">
        <is>
          <t>N/A</t>
        </is>
      </c>
      <c r="BE13" s="63" t="inlineStr">
        <is>
          <t>N/A</t>
        </is>
      </c>
      <c r="BF13" s="63" t="inlineStr">
        <is>
          <t>N/A</t>
        </is>
      </c>
      <c r="BG13" s="75" t="inlineStr">
        <is>
          <t>Goldman Sachs (Asia) L.L.C; China International Capital Corporation Hong Kong Securities Limited</t>
        </is>
      </c>
      <c r="BH13" s="63" t="inlineStr">
        <is>
          <t>China International Capital Corporation Hong Kong Securities Limited; Goldman Sachs (Asia) L.L.C.</t>
        </is>
      </c>
      <c r="BI13" s="63" t="inlineStr">
        <is>
          <t>Goldman Sachs (Asia) L.L.C; China International Capital Corporation Hong Kong Securities Limited; Citigroup Global Markets Asia Limited; Citigroup Global Markets Limited</t>
        </is>
      </c>
      <c r="BJ13" s="63" t="inlineStr">
        <is>
          <t>Citigroup Global Markets Asia Limited; China International Capital Corporation Hong Kong Securities Limited; China Merchants Securities (HK) Company Limited; Goldman Sachs (Asia) L.L.C.</t>
        </is>
      </c>
      <c r="BK13" s="77">
        <f>HYPERLINK("https://www1.hkexnews.hk/listedco/listconews/sehk/2020/1231/2020123100119.pdf","prospectus")</f>
        <v/>
      </c>
      <c r="BL13" s="77">
        <f>HYPERLINK("https://www1.hkexnews.hk/listedco/listconews/sehk/2021/0114/2021011400064.htm","allotment")</f>
        <v/>
      </c>
      <c r="BM13" s="77">
        <f>HYPERLINK("https://www1.hkexnews.hk/listedco/listconews/sehk/2021/0207/2021020700079.pdf","stabilisation")</f>
        <v/>
      </c>
      <c r="BN13" s="75" t="n"/>
      <c r="BO13" s="63" t="inlineStr">
        <is>
          <t>P/E: net income not stated in extractable form · A/H: no A-share listing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v>1.08</v>
      </c>
      <c r="L14" s="66" t="n">
        <v>1.28</v>
      </c>
      <c r="M14" s="66" t="n">
        <v>1.23</v>
      </c>
      <c r="N14" s="63" t="inlineStr">
        <is>
          <t>N</t>
        </is>
      </c>
      <c r="O14" s="67" t="n">
        <v>96.09999999999999</v>
      </c>
      <c r="P14" s="67" t="n">
        <v>75</v>
      </c>
      <c r="Q14" s="68" t="n">
        <v>1481.1</v>
      </c>
      <c r="R14" s="63" t="inlineStr">
        <is>
          <t>derived:deal size / offer % of enlarged capital</t>
        </is>
      </c>
      <c r="S14" s="69" t="n">
        <v>1274.76</v>
      </c>
      <c r="T14" s="70" t="n">
        <v>21.7</v>
      </c>
      <c r="U14" s="71" t="n">
        <v>40.9</v>
      </c>
      <c r="V14" s="67" t="n">
        <v>10.01</v>
      </c>
      <c r="W14" s="63" t="inlineStr">
        <is>
          <t>Coast Flagship Investment SPC; Goldstream Capital Management Limited; Huatai Financial Holdings (Hong Kong) Limited; Shimmering Skyline L.P</t>
        </is>
      </c>
      <c r="X14" s="63" t="inlineStr">
        <is>
          <t>coast;goldstream;huatai;shimmering</t>
        </is>
      </c>
      <c r="Y14" s="67" t="n">
        <v>5</v>
      </c>
      <c r="Z14" s="63" t="inlineStr">
        <is>
          <t>full</t>
        </is>
      </c>
      <c r="AA14" s="72" t="n">
        <v>21.95</v>
      </c>
      <c r="AB14" s="73" t="n">
        <v>38.21</v>
      </c>
      <c r="AC14" s="73" t="n">
        <v>-11.76</v>
      </c>
      <c r="AD14" s="73" t="n">
        <v>10.57</v>
      </c>
      <c r="AE14" s="73" t="n">
        <v>8.130000000000001</v>
      </c>
      <c r="AF14" s="73" t="n">
        <v>21.14</v>
      </c>
      <c r="AG14" s="73" t="n">
        <v>-9.33</v>
      </c>
      <c r="AH14" s="73" t="n">
        <v>-11.33</v>
      </c>
      <c r="AI14" s="73" t="n">
        <v>-0.66</v>
      </c>
      <c r="AJ14" s="73" t="n">
        <v>7.23</v>
      </c>
      <c r="AK14" s="73" t="n">
        <v>-0.95</v>
      </c>
      <c r="AL14" s="73" t="n">
        <v>20.7</v>
      </c>
      <c r="AM14" s="73" t="n">
        <v>-20.12</v>
      </c>
      <c r="AN14" s="73" t="n">
        <v>9.08</v>
      </c>
      <c r="AO14" s="73" t="n">
        <v>8.789999999999999</v>
      </c>
      <c r="AP14" s="63" t="inlineStr">
        <is>
          <t>Hang Seng Index</t>
        </is>
      </c>
      <c r="AQ14" s="73" t="n">
        <v>-79.67</v>
      </c>
      <c r="AR14" s="64" t="inlineStr">
        <is>
          <t>2026-08-20</t>
        </is>
      </c>
      <c r="AS14" s="65" t="n"/>
      <c r="AT14" s="68" t="n">
        <v>52.4</v>
      </c>
      <c r="AU14" s="63" t="inlineStr">
        <is>
          <t>Y</t>
        </is>
      </c>
      <c r="AV14" s="74" t="n">
        <v>28.3</v>
      </c>
      <c r="AW14" s="74" t="n">
        <v>15.1</v>
      </c>
      <c r="AX14" s="74" t="n"/>
      <c r="AY14" s="74" t="n"/>
      <c r="AZ14" s="75" t="inlineStr">
        <is>
          <t>N</t>
        </is>
      </c>
      <c r="BA14" s="76">
        <f>IF('BBG Verify'!K14="","not filed — run on terminal",'BBG Verify'!K14)</f>
        <v/>
      </c>
      <c r="BB14" s="63" t="inlineStr">
        <is>
          <t>N/A</t>
        </is>
      </c>
      <c r="BC14" s="63" t="inlineStr">
        <is>
          <t>N/A</t>
        </is>
      </c>
      <c r="BD14" s="63" t="inlineStr">
        <is>
          <t>N/A</t>
        </is>
      </c>
      <c r="BE14" s="63" t="inlineStr">
        <is>
          <t>N/A</t>
        </is>
      </c>
      <c r="BF14" s="63" t="inlineStr">
        <is>
          <t>N/A</t>
        </is>
      </c>
      <c r="BG14" s="75" t="inlineStr">
        <is>
          <t>ABCI Capital Limited</t>
        </is>
      </c>
      <c r="BH14" s="63" t="inlineStr">
        <is>
          <t>ABCI Capital Limited</t>
        </is>
      </c>
      <c r="BI14" s="63"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7">
        <f>HYPERLINK("https://www1.hkexnews.hk/listedco/listconews/sehk/2020/1231/2020123100280.htm","prospectus")</f>
        <v/>
      </c>
      <c r="BL14" s="77">
        <f>HYPERLINK("https://www1.hkexnews.hk/listedco/listconews/sehk/2021/0114/2021011400106.htm","allotment")</f>
        <v/>
      </c>
      <c r="BM14" s="77">
        <f>HYPERLINK("https://www1.hkexnews.hk/listedco/listconews/sehk/2021/0207/2021020700025.pdf","stabilisation")</f>
        <v/>
      </c>
      <c r="BN14" s="75" t="n"/>
      <c r="BO14" s="63" t="inlineStr">
        <is>
          <t>A/H: no A-share listing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7" t="n">
        <v>25.33</v>
      </c>
      <c r="W15" s="63" t="inlineStr">
        <is>
          <t>Jiu Rong Holdings Limited</t>
        </is>
      </c>
      <c r="X15" s="63" t="inlineStr">
        <is>
          <t>jiu</t>
        </is>
      </c>
      <c r="Y15" s="67" t="n">
        <v>5</v>
      </c>
      <c r="Z15" s="63" t="inlineStr">
        <is>
          <t>lapsed (no over-allocation)</t>
        </is>
      </c>
      <c r="AA15" s="72" t="n">
        <v>-36</v>
      </c>
      <c r="AB15" s="73" t="n">
        <v>-10</v>
      </c>
      <c r="AC15" s="73" t="n">
        <v>-28.89</v>
      </c>
      <c r="AD15" s="73" t="n">
        <v>-48</v>
      </c>
      <c r="AE15" s="73" t="n">
        <v>-50.4</v>
      </c>
      <c r="AF15" s="73" t="n">
        <v>-52.4</v>
      </c>
      <c r="AG15" s="73" t="n">
        <v>-18.75</v>
      </c>
      <c r="AH15" s="73" t="n">
        <v>-22.5</v>
      </c>
      <c r="AI15" s="73" t="n">
        <v>-25.63</v>
      </c>
      <c r="AJ15" s="73" t="n">
        <v>-49.1</v>
      </c>
      <c r="AK15" s="73" t="n">
        <v>-52.84</v>
      </c>
      <c r="AL15" s="73" t="n">
        <v>-63.17</v>
      </c>
      <c r="AM15" s="73" t="n">
        <v>-24.39</v>
      </c>
      <c r="AN15" s="73" t="n">
        <v>2.44</v>
      </c>
      <c r="AO15" s="73" t="n">
        <v>1.89</v>
      </c>
      <c r="AP15" s="63" t="inlineStr">
        <is>
          <t>Hang Seng Properties sub-index</t>
        </is>
      </c>
      <c r="AQ15" s="73" t="n">
        <v>-80.40000000000001</v>
      </c>
      <c r="AR15" s="64" t="inlineStr">
        <is>
          <t>2026-08-21</t>
        </is>
      </c>
      <c r="AS15" s="65" t="n">
        <v>244.7</v>
      </c>
      <c r="AT15" s="68" t="n">
        <v>38.8</v>
      </c>
      <c r="AU15" s="63" t="inlineStr">
        <is>
          <t>Y</t>
        </is>
      </c>
      <c r="AV15" s="74" t="n">
        <v>17.3</v>
      </c>
      <c r="AW15" s="74" t="n"/>
      <c r="AX15" s="74" t="n">
        <v>9.300000000000001</v>
      </c>
      <c r="AY15" s="74" t="n">
        <v>2.7</v>
      </c>
      <c r="AZ15" s="75" t="inlineStr">
        <is>
          <t>N</t>
        </is>
      </c>
      <c r="BA15" s="76">
        <f>IF('BBG Verify'!K15="","not filed — run on terminal",'BBG Verify'!K15)</f>
        <v/>
      </c>
      <c r="BB15" s="63" t="inlineStr">
        <is>
          <t>N/A</t>
        </is>
      </c>
      <c r="BC15" s="63" t="inlineStr">
        <is>
          <t>N/A</t>
        </is>
      </c>
      <c r="BD15" s="63" t="inlineStr">
        <is>
          <t>N/A</t>
        </is>
      </c>
      <c r="BE15" s="63" t="inlineStr">
        <is>
          <t>N/A</t>
        </is>
      </c>
      <c r="BF15" s="63" t="inlineStr">
        <is>
          <t>N/A</t>
        </is>
      </c>
      <c r="BG15" s="75" t="inlineStr">
        <is>
          <t>Cinda International Capital Limited</t>
        </is>
      </c>
      <c r="BH15" s="63" t="inlineStr">
        <is>
          <t>Cinda International Capital Limited</t>
        </is>
      </c>
      <c r="BI15" s="63" t="inlineStr">
        <is>
          <t>Cinda International Capital Limited; Elstone Securities Limited; CCB International Capital Limited; Central, Hong Kong Crosby Securities Limited</t>
        </is>
      </c>
      <c r="BJ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7">
        <f>HYPERLINK("https://www1.hkexnews.hk/listedco/listconews/sehk/2020/1231/2020123100097.pdf","prospectus")</f>
        <v/>
      </c>
      <c r="BL15" s="77">
        <f>HYPERLINK("https://www1.hkexnews.hk/listedco/listconews/sehk/2021/0115/2021011500020.htm","allotment")</f>
        <v/>
      </c>
      <c r="BM15" s="77">
        <f>HYPERLINK("https://www1.hkexnews.hk/listedco/listconews/sehk/2021/0208/2021020800187.pdf","stabilisation")</f>
        <v/>
      </c>
      <c r="BN15" s="75" t="n"/>
      <c r="BO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7" t="n">
        <v>20</v>
      </c>
      <c r="W16" s="63" t="n"/>
      <c r="X16" s="63" t="n"/>
      <c r="Y16" s="67" t="n">
        <v>15</v>
      </c>
      <c r="Z16" s="63" t="inlineStr">
        <is>
          <t>lapsed</t>
        </is>
      </c>
      <c r="AA16" s="72" t="n">
        <v>26.33</v>
      </c>
      <c r="AB16" s="73" t="n">
        <v>33.33</v>
      </c>
      <c r="AC16" s="73" t="n">
        <v>-5.25</v>
      </c>
      <c r="AD16" s="73" t="n">
        <v>24.67</v>
      </c>
      <c r="AE16" s="73" t="n">
        <v>22.67</v>
      </c>
      <c r="AF16" s="73" t="n">
        <v>-8.33</v>
      </c>
      <c r="AG16" s="73" t="n">
        <v>-1.31</v>
      </c>
      <c r="AH16" s="73" t="n">
        <v>-2.9</v>
      </c>
      <c r="AI16" s="73" t="n">
        <v>-27.44</v>
      </c>
      <c r="AJ16" s="73" t="n">
        <v>17.7</v>
      </c>
      <c r="AK16" s="73" t="n">
        <v>14.24</v>
      </c>
      <c r="AL16" s="73" t="n">
        <v>-9.49</v>
      </c>
      <c r="AM16" s="73" t="n">
        <v>-10.16</v>
      </c>
      <c r="AN16" s="73" t="n">
        <v>8.43</v>
      </c>
      <c r="AO16" s="73" t="n">
        <v>7.26</v>
      </c>
      <c r="AP16" s="63" t="inlineStr">
        <is>
          <t>China Biotech ETF (HS biotech proxy)</t>
        </is>
      </c>
      <c r="AQ16" s="73" t="n">
        <v>-39.67</v>
      </c>
      <c r="AR16" s="64" t="inlineStr">
        <is>
          <t>2026-08-20</t>
        </is>
      </c>
      <c r="AS16" s="65" t="n">
        <v>469.9</v>
      </c>
      <c r="AT16" s="68" t="n">
        <v>28.6</v>
      </c>
      <c r="AU16" s="63" t="inlineStr">
        <is>
          <t>Y</t>
        </is>
      </c>
      <c r="AV16" s="74" t="n">
        <v>26.2</v>
      </c>
      <c r="AW16" s="74" t="n"/>
      <c r="AX16" s="74" t="n">
        <v>10.6</v>
      </c>
      <c r="AY16" s="74" t="n">
        <v>1.6</v>
      </c>
      <c r="AZ16" s="75" t="inlineStr">
        <is>
          <t>N</t>
        </is>
      </c>
      <c r="BA16" s="76">
        <f>IF('BBG Verify'!K16="","not filed — run on terminal",'BBG Verify'!K16)</f>
        <v/>
      </c>
      <c r="BB16" s="63" t="inlineStr">
        <is>
          <t>N/A</t>
        </is>
      </c>
      <c r="BC16" s="63" t="inlineStr">
        <is>
          <t>N/A</t>
        </is>
      </c>
      <c r="BD16" s="63" t="inlineStr">
        <is>
          <t>N/A</t>
        </is>
      </c>
      <c r="BE16" s="63" t="inlineStr">
        <is>
          <t>N/A</t>
        </is>
      </c>
      <c r="BF16" s="63" t="inlineStr">
        <is>
          <t>N/A</t>
        </is>
      </c>
      <c r="BG16" s="75" t="inlineStr">
        <is>
          <t>CEB International Capital Corporation Limited</t>
        </is>
      </c>
      <c r="BH16" s="63" t="inlineStr">
        <is>
          <t>CEB International Capital Corporation Limited</t>
        </is>
      </c>
      <c r="BI16" s="63" t="inlineStr">
        <is>
          <t>CEB International Capital Corporation Limited; Aristo Securities Limited; BOCOM International Securities Limited; CMBC Securities Company Limited; SPDB International Capital Limited</t>
        </is>
      </c>
      <c r="BJ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7">
        <f>HYPERLINK("https://www1.hkexnews.hk/listedco/listconews/sehk/2020/1231/2020123100137.pdf","prospectus")</f>
        <v/>
      </c>
      <c r="BL16" s="77">
        <f>HYPERLINK("https://www1.hkexnews.hk/listedco/listconews/sehk/2021/0118/2021011800013.htm","allotment")</f>
        <v/>
      </c>
      <c r="BM16" s="77">
        <f>HYPERLINK("https://www1.hkexnews.hk/listedco/listconews/sehk/2021/0209/2021020900406.pdf","stabilisation")</f>
        <v/>
      </c>
      <c r="BN16" s="75" t="n"/>
      <c r="BO16" s="63" t="inlineStr">
        <is>
          <t>A/H: no A-share listing · market cap: estimate from deal size / offer % of enlarged capital disagreed with the published listing cap — published figure adopted · cornerstone list: no cornerstone tranche in this deal</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7" t="n">
        <v>18.84</v>
      </c>
      <c r="W17" s="63" t="inlineStr">
        <is>
          <t>Pilgrim Ever Project Company Limited; SCGC Capital Holding Company Limited; Shenzhen Qichang Investment Holding Limited; Virtues Origin SPC</t>
        </is>
      </c>
      <c r="X17" s="63" t="inlineStr">
        <is>
          <t>pilgrim;scgc;shenzhen-qichang;virtues</t>
        </is>
      </c>
      <c r="Y17" s="67" t="n">
        <v>8</v>
      </c>
      <c r="Z17" s="63" t="inlineStr">
        <is>
          <t>partial</t>
        </is>
      </c>
      <c r="AA17" s="72" t="n">
        <v>3.63</v>
      </c>
      <c r="AB17" s="73" t="n">
        <v>13.99</v>
      </c>
      <c r="AC17" s="73" t="n">
        <v>-9.09</v>
      </c>
      <c r="AD17" s="73" t="n">
        <v>3.11</v>
      </c>
      <c r="AE17" s="73" t="n">
        <v>-8.029999999999999</v>
      </c>
      <c r="AF17" s="73" t="n">
        <v>16.58</v>
      </c>
      <c r="AG17" s="73" t="n">
        <v>-0.5</v>
      </c>
      <c r="AH17" s="73" t="n">
        <v>-11.25</v>
      </c>
      <c r="AI17" s="73" t="n">
        <v>12.5</v>
      </c>
      <c r="AJ17" s="73" t="n">
        <v>5.99</v>
      </c>
      <c r="AK17" s="73" t="n">
        <v>-16.36</v>
      </c>
      <c r="AL17" s="73" t="n">
        <v>8.76</v>
      </c>
      <c r="AM17" s="73" t="n">
        <v>-19.34</v>
      </c>
      <c r="AN17" s="73" t="n">
        <v>8.33</v>
      </c>
      <c r="AO17" s="73" t="n">
        <v>8.09</v>
      </c>
      <c r="AP17" s="63" t="inlineStr">
        <is>
          <t>Hang Seng Properties sub-index</t>
        </is>
      </c>
      <c r="AQ17" s="73" t="n">
        <v>-66.58</v>
      </c>
      <c r="AR17" s="64" t="inlineStr">
        <is>
          <t>2026-08-20</t>
        </is>
      </c>
      <c r="AS17" s="65" t="n">
        <v>426</v>
      </c>
      <c r="AT17" s="68" t="n"/>
      <c r="AU17" s="63" t="n"/>
      <c r="AV17" s="78">
        <f>IF('BBG Verify'!O17="","not filed — run on terminal",'BBG Verify'!O17)</f>
        <v/>
      </c>
      <c r="AW17" s="74" t="n"/>
      <c r="AX17" s="74" t="n">
        <v>7.9</v>
      </c>
      <c r="AY17" s="74" t="n">
        <v>8.199999999999999</v>
      </c>
      <c r="AZ17" s="75" t="inlineStr">
        <is>
          <t>N</t>
        </is>
      </c>
      <c r="BA17" s="76">
        <f>IF('BBG Verify'!K17="","not filed — run on terminal",'BBG Verify'!K17)</f>
        <v/>
      </c>
      <c r="BB17" s="63" t="inlineStr">
        <is>
          <t>N/A</t>
        </is>
      </c>
      <c r="BC17" s="63" t="inlineStr">
        <is>
          <t>N/A</t>
        </is>
      </c>
      <c r="BD17" s="63" t="inlineStr">
        <is>
          <t>N/A</t>
        </is>
      </c>
      <c r="BE17" s="63" t="inlineStr">
        <is>
          <t>N/A</t>
        </is>
      </c>
      <c r="BF17" s="63" t="inlineStr">
        <is>
          <t>N/A</t>
        </is>
      </c>
      <c r="BG17" s="75" t="inlineStr">
        <is>
          <t>CCB International Capital Limited; China Securities (International) Corporate Finance Company Limited</t>
        </is>
      </c>
      <c r="BH17" s="63" t="inlineStr">
        <is>
          <t>CCB International Capital Limited; China Securities (International) Corporate Finance Company Limited</t>
        </is>
      </c>
      <c r="BI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7">
        <f>HYPERLINK("https://www1.hkexnews.hk/listedco/listconews/sehk/2021/0114/2021011400003.pdf","prospectus")</f>
        <v/>
      </c>
      <c r="BL17" s="77">
        <f>HYPERLINK("https://www1.hkexnews.hk/listedco/listconews/sehk/2021/0125/2021012500004.htm","allotment")</f>
        <v/>
      </c>
      <c r="BM17" s="77">
        <f>HYPERLINK("https://www1.hkexnews.hk/listedco/listconews/sehk/2021/0218/2021021800882.pdf","stabilisation")</f>
        <v/>
      </c>
      <c r="BN17" s="75" t="n"/>
      <c r="BO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v>11.1</v>
      </c>
      <c r="L18" s="66" t="n">
        <v>12.2</v>
      </c>
      <c r="M18" s="66" t="n">
        <v>12.2</v>
      </c>
      <c r="N18" s="63" t="inlineStr">
        <is>
          <t>Y</t>
        </is>
      </c>
      <c r="O18" s="67" t="n">
        <v>100</v>
      </c>
      <c r="P18" s="67" t="n">
        <v>100</v>
      </c>
      <c r="Q18" s="68" t="n">
        <v>27925.2</v>
      </c>
      <c r="R18" s="63" t="inlineStr">
        <is>
          <t>aastocks:上市市值 at the struck price</t>
        </is>
      </c>
      <c r="S18" s="69" t="n">
        <v>769</v>
      </c>
      <c r="T18" s="70" t="n">
        <v>54</v>
      </c>
      <c r="U18" s="71" t="n">
        <v>40.8</v>
      </c>
      <c r="V18" s="67" t="n">
        <v>5.32</v>
      </c>
      <c r="W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3" t="inlineStr">
        <is>
          <t>3w;cdg;china-asset;cpe;gaoling;yhg;gic;indus;kunlun;lake;pinpoint;snow;taikang;tybourne;woodline;wt;yi</t>
        </is>
      </c>
      <c r="Y18" s="67" t="n">
        <v>8.69</v>
      </c>
      <c r="Z18" s="63" t="inlineStr">
        <is>
          <t>full</t>
        </is>
      </c>
      <c r="AA18" s="72" t="n">
        <v>54.26</v>
      </c>
      <c r="AB18" s="73" t="n">
        <v>76.23</v>
      </c>
      <c r="AC18" s="73" t="n">
        <v>-12.47</v>
      </c>
      <c r="AD18" s="73" t="n">
        <v>59.67</v>
      </c>
      <c r="AE18" s="73" t="n">
        <v>29.51</v>
      </c>
      <c r="AF18" s="73" t="n">
        <v>27.54</v>
      </c>
      <c r="AG18" s="73" t="n">
        <v>3.51</v>
      </c>
      <c r="AH18" s="73" t="n">
        <v>-16.04</v>
      </c>
      <c r="AI18" s="73" t="n">
        <v>-17.32</v>
      </c>
      <c r="AJ18" s="73" t="n">
        <v>53.43</v>
      </c>
      <c r="AK18" s="73" t="n">
        <v>48.39</v>
      </c>
      <c r="AL18" s="73" t="n">
        <v>36.5</v>
      </c>
      <c r="AM18" s="73" t="n">
        <v>2.69</v>
      </c>
      <c r="AN18" s="73" t="n">
        <v>-18.88</v>
      </c>
      <c r="AO18" s="73" t="n">
        <v>-18.73</v>
      </c>
      <c r="AP18" s="63" t="inlineStr">
        <is>
          <t>China Biotech ETF (HS biotech proxy)</t>
        </is>
      </c>
      <c r="AQ18" s="73" t="n">
        <v>-97.83</v>
      </c>
      <c r="AR18" s="64" t="inlineStr">
        <is>
          <t>2026-08-24</t>
        </is>
      </c>
      <c r="AS18" s="65" t="n">
        <v>53.3</v>
      </c>
      <c r="AT18" s="68" t="n">
        <v>-91.8</v>
      </c>
      <c r="AU18" s="63" t="inlineStr">
        <is>
          <t>N</t>
        </is>
      </c>
      <c r="AV18" s="63" t="inlineStr">
        <is>
          <t>n/m</t>
        </is>
      </c>
      <c r="AW18" s="74" t="n"/>
      <c r="AX18" s="74" t="n"/>
      <c r="AY18" s="74" t="n">
        <v>523.9</v>
      </c>
      <c r="AZ18" s="75" t="inlineStr">
        <is>
          <t>N</t>
        </is>
      </c>
      <c r="BA18" s="76">
        <f>IF('BBG Verify'!K18="","not filed — run on terminal",'BBG Verify'!K18)</f>
        <v/>
      </c>
      <c r="BB18" s="63" t="inlineStr">
        <is>
          <t>N/A</t>
        </is>
      </c>
      <c r="BC18" s="63" t="inlineStr">
        <is>
          <t>N/A</t>
        </is>
      </c>
      <c r="BD18" s="63" t="inlineStr">
        <is>
          <t>N/A</t>
        </is>
      </c>
      <c r="BE18" s="63" t="inlineStr">
        <is>
          <t>N/A</t>
        </is>
      </c>
      <c r="BF18" s="63" t="inlineStr">
        <is>
          <t>N/A</t>
        </is>
      </c>
      <c r="BG18" s="75" t="inlineStr">
        <is>
          <t>J.P. Morgan Securities (Far East) Limited; Citigroup Global Markets Asia Limited; China International Capital Corporation Hong Kong Securities Limited</t>
        </is>
      </c>
      <c r="BH18" s="63" t="inlineStr">
        <is>
          <t>China International Capital Corporation Hong Kong Securities Limited; J.P. Morgan Securities (Far East) Limited; Citigroup Global Markets Asia Limited</t>
        </is>
      </c>
      <c r="BI18" s="63" t="inlineStr">
        <is>
          <t>J.P. Morgan Securities (Asia Pacific) Limited; Citigroup Global Markets Asia Limited; China International Capital Corporation Hong Kong Securities Limited; J.P. Morgan Securities plc; Citigroup Global Markets Limited</t>
        </is>
      </c>
      <c r="BJ18" s="63" t="inlineStr">
        <is>
          <t>Citigroup Global Markets Asia Limited; China International Capital Corporation Hong Kong Securities Limited; J.P. Morgan Securities (Asia Pacific) Limited</t>
        </is>
      </c>
      <c r="BK18" s="77">
        <f>HYPERLINK("https://www1.hkexnews.hk/listedco/listconews/sehk/2021/0126/2021012600169.htm","prospectus")</f>
        <v/>
      </c>
      <c r="BL18" s="77">
        <f>HYPERLINK("https://www1.hkexnews.hk/listedco/listconews/sehk/2021/0203/2021020300020.htm","allotment")</f>
        <v/>
      </c>
      <c r="BM18" s="77">
        <f>HYPERLINK("https://www1.hkexnews.hk/listedco/listconews/sehk/2021/0228/2021022800029.pdf","stabilisation")</f>
        <v/>
      </c>
      <c r="BN18" s="75" t="n"/>
      <c r="BO18" s="63" t="inlineStr">
        <is>
          <t>P/E: n/m — loss-making at IPO (use P/S) · A/H: no A-share listing · P/S: 524x on HK$53.3m revenue — effectively pre-revenue; the multiple is shown for completeness, not comparability</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7" t="n">
        <v>0.99</v>
      </c>
      <c r="W19" s="63" t="n"/>
      <c r="X19" s="63" t="n"/>
      <c r="Y19" s="67" t="n"/>
      <c r="Z19" s="63" t="n"/>
      <c r="AA19" s="72" t="n">
        <v>80</v>
      </c>
      <c r="AB19" s="73" t="n">
        <v>23.33</v>
      </c>
      <c r="AC19" s="73" t="n">
        <v>45.95</v>
      </c>
      <c r="AD19" s="73" t="n">
        <v>100</v>
      </c>
      <c r="AE19" s="73" t="n">
        <v>21.67</v>
      </c>
      <c r="AF19" s="73" t="n">
        <v>50</v>
      </c>
      <c r="AG19" s="73" t="n">
        <v>11.11</v>
      </c>
      <c r="AH19" s="73" t="n">
        <v>-32.41</v>
      </c>
      <c r="AI19" s="73" t="n">
        <v>-16.67</v>
      </c>
      <c r="AJ19" s="73" t="n">
        <v>93.61</v>
      </c>
      <c r="AK19" s="73" t="n">
        <v>39.37</v>
      </c>
      <c r="AL19" s="73" t="n">
        <v>56.87</v>
      </c>
      <c r="AM19" s="73" t="n">
        <v>-13.88</v>
      </c>
      <c r="AN19" s="73" t="n">
        <v>-17.7</v>
      </c>
      <c r="AO19" s="73" t="n">
        <v>-18.53</v>
      </c>
      <c r="AP19" s="63" t="inlineStr">
        <is>
          <t>China Biotech ETF (HS biotech proxy)</t>
        </is>
      </c>
      <c r="AQ19" s="73" t="n">
        <v>54.58</v>
      </c>
      <c r="AR19" s="64" t="inlineStr">
        <is>
          <t>2026-08-20</t>
        </is>
      </c>
      <c r="AS19" s="65" t="n">
        <v>381.5</v>
      </c>
      <c r="AT19" s="68" t="n">
        <v>44.3</v>
      </c>
      <c r="AU19" s="63" t="inlineStr">
        <is>
          <t>Y</t>
        </is>
      </c>
      <c r="AV19" s="74" t="n">
        <v>24.2</v>
      </c>
      <c r="AW19" s="74" t="n"/>
      <c r="AX19" s="74" t="n">
        <v>7.4</v>
      </c>
      <c r="AY19" s="74" t="n">
        <v>2.8</v>
      </c>
      <c r="AZ19" s="75" t="inlineStr">
        <is>
          <t>N</t>
        </is>
      </c>
      <c r="BA19" s="76">
        <f>IF('BBG Verify'!K19="","not filed — run on terminal",'BBG Verify'!K19)</f>
        <v/>
      </c>
      <c r="BB19" s="63" t="inlineStr">
        <is>
          <t>N/A</t>
        </is>
      </c>
      <c r="BC19" s="63" t="inlineStr">
        <is>
          <t>N/A</t>
        </is>
      </c>
      <c r="BD19" s="63" t="inlineStr">
        <is>
          <t>N/A</t>
        </is>
      </c>
      <c r="BE19" s="63" t="inlineStr">
        <is>
          <t>N/A</t>
        </is>
      </c>
      <c r="BF19" s="63" t="inlineStr">
        <is>
          <t>N/A</t>
        </is>
      </c>
      <c r="BG19" s="75" t="n"/>
      <c r="BH19" s="63" t="inlineStr">
        <is>
          <t>China Galaxy International Securities (Hong Kong) Company Limited</t>
        </is>
      </c>
      <c r="BI19" s="63" t="inlineStr">
        <is>
          <t>China Galaxy International Securities (Hong Kong) Company Limited; Cinda International Capital Limited; Eddid Securities and Futures Limited; Fosun Hani Securities Limited; HeungKong Securities Limited; Maxa Capital Limited</t>
        </is>
      </c>
      <c r="BJ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7">
        <f>HYPERLINK("https://www1.hkexnews.hk/listedco/listconews/sehk/2021/0126/2021012600248.pdf","prospectus")</f>
        <v/>
      </c>
      <c r="BL19" s="77">
        <f>HYPERLINK("https://www1.hkexnews.hk/listedco/listconews/sehk/2021/0204/2021020400012.htm","allotment")</f>
        <v/>
      </c>
      <c r="BM19" s="63" t="n"/>
      <c r="BN19" s="75" t="n"/>
      <c r="BO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v>105</v>
      </c>
      <c r="L20" s="66" t="n">
        <v>115</v>
      </c>
      <c r="M20" s="66" t="n">
        <v>115</v>
      </c>
      <c r="N20" s="63" t="inlineStr">
        <is>
          <t>Y</t>
        </is>
      </c>
      <c r="O20" s="67" t="n">
        <v>100</v>
      </c>
      <c r="P20" s="67" t="n">
        <v>100</v>
      </c>
      <c r="Q20" s="68" t="n">
        <v>457482.6</v>
      </c>
      <c r="R20" s="63" t="inlineStr">
        <is>
          <t>aastocks:上市市值 at the struck price</t>
        </is>
      </c>
      <c r="S20" s="69" t="n">
        <v>1204.16</v>
      </c>
      <c r="T20" s="70" t="n">
        <v>39</v>
      </c>
      <c r="U20" s="71" t="n">
        <v>45.23</v>
      </c>
      <c r="V20" s="67" t="n">
        <v>5.03</v>
      </c>
      <c r="W20" s="63" t="inlineStr">
        <is>
          <t>Aranda Investments Pte. Ltd; BlackRock, Inc; CPP Investment Board PMI-2 Inc; FIL Investment Management (Hong Kong) Limited; GIC Private Limited; Invesco Ltd; Sunny Festive Limited; The Capital Group Funds</t>
        </is>
      </c>
      <c r="X20" s="63" t="inlineStr">
        <is>
          <t>aranda;blackrock;cpp;fil;gic;invesco;sunny;the-capital</t>
        </is>
      </c>
      <c r="Y20" s="67" t="n">
        <v>18.65</v>
      </c>
      <c r="Z20" s="63" t="inlineStr">
        <is>
          <t>full</t>
        </is>
      </c>
      <c r="AA20" s="72" t="n">
        <v>160.87</v>
      </c>
      <c r="AB20" s="73" t="n">
        <v>193.91</v>
      </c>
      <c r="AC20" s="73" t="n">
        <v>-11.24</v>
      </c>
      <c r="AD20" s="73" t="n">
        <v>250.43</v>
      </c>
      <c r="AE20" s="73" t="n">
        <v>141.91</v>
      </c>
      <c r="AF20" s="73" t="n">
        <v>105.39</v>
      </c>
      <c r="AG20" s="73" t="n">
        <v>34.33</v>
      </c>
      <c r="AH20" s="73" t="n">
        <v>-7.27</v>
      </c>
      <c r="AI20" s="73" t="n">
        <v>-21.27</v>
      </c>
      <c r="AJ20" s="73" t="n">
        <v>242.45</v>
      </c>
      <c r="AK20" s="73" t="n">
        <v>158.43</v>
      </c>
      <c r="AL20" s="73" t="n">
        <v>126.23</v>
      </c>
      <c r="AM20" s="73" t="n">
        <v>8.470000000000001</v>
      </c>
      <c r="AN20" s="73" t="n">
        <v>-16.52</v>
      </c>
      <c r="AO20" s="73" t="n">
        <v>-15.74</v>
      </c>
      <c r="AP20" s="63" t="inlineStr">
        <is>
          <t>HSTECH (Hang Seng TECH ETF)</t>
        </is>
      </c>
      <c r="AQ20" s="73" t="n">
        <v>-70.75</v>
      </c>
      <c r="AR20" s="64" t="inlineStr">
        <is>
          <t>2026-08-20</t>
        </is>
      </c>
      <c r="AS20" s="65" t="n">
        <v>43032.4</v>
      </c>
      <c r="AT20" s="68" t="n"/>
      <c r="AU20" s="63" t="n"/>
      <c r="AV20" s="78">
        <f>IF('BBG Verify'!O20="","not filed — run on terminal",'BBG Verify'!O20)</f>
        <v/>
      </c>
      <c r="AW20" s="74" t="n"/>
      <c r="AX20" s="74" t="n">
        <v>8</v>
      </c>
      <c r="AY20" s="74" t="n">
        <v>10.6</v>
      </c>
      <c r="AZ20" s="75" t="inlineStr">
        <is>
          <t>N</t>
        </is>
      </c>
      <c r="BA20" s="76">
        <f>IF('BBG Verify'!K20="","not filed — run on terminal",'BBG Verify'!K20)</f>
        <v/>
      </c>
      <c r="BB20" s="63" t="inlineStr">
        <is>
          <t>N/A</t>
        </is>
      </c>
      <c r="BC20" s="63" t="inlineStr">
        <is>
          <t>N/A</t>
        </is>
      </c>
      <c r="BD20" s="63" t="inlineStr">
        <is>
          <t>N/A</t>
        </is>
      </c>
      <c r="BE20" s="63" t="inlineStr">
        <is>
          <t>N/A</t>
        </is>
      </c>
      <c r="BF20" s="63" t="inlineStr">
        <is>
          <t>N/A</t>
        </is>
      </c>
      <c r="BG20" s="75" t="inlineStr">
        <is>
          <t>Morgan Stanley Asia Limited; Merrill Lynch Far East Limited; Central, Hong Kong China Renaissance Securities (Hong Kong) Limited</t>
        </is>
      </c>
      <c r="BH20" s="63" t="inlineStr">
        <is>
          <t>Morgan Stanley Asia Limited; Merrill Lynch Far East Limited; China Renaissance Securities (Hong Kong) Limited</t>
        </is>
      </c>
      <c r="BI20" s="63" t="inlineStr">
        <is>
          <t>Morgan Stanley &amp; Co. International plc; Canary Wharf London E14 4QA United Kingdom Merrill Lynch (Asia Pacific) Limited; Central, Hong Kong China Renaissance Securities (Hong Kong) Limited; ICBC International Securities Limited</t>
        </is>
      </c>
      <c r="BJ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7">
        <f>HYPERLINK("https://www1.hkexnews.hk/listedco/listconews/sehk/2021/0126/2021012600093.htm","prospectus")</f>
        <v/>
      </c>
      <c r="BL20" s="77">
        <f>HYPERLINK("https://www1.hkexnews.hk/listedco/listconews/sehk/2021/0204/2021020400034.htm","allotment")</f>
        <v/>
      </c>
      <c r="BM20" s="77">
        <f>HYPERLINK("https://www1.hkexnews.hk/listedco/listconews/sehk/2021/0301/2021030100029.pdf","stabilisation")</f>
        <v/>
      </c>
      <c r="BN20" s="75" t="n"/>
      <c r="BO20" s="63"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v>26.36</v>
      </c>
      <c r="L21" s="66" t="n">
        <v>27.36</v>
      </c>
      <c r="M21" s="66" t="n">
        <v>27.36</v>
      </c>
      <c r="N21" s="63" t="inlineStr">
        <is>
          <t>Y</t>
        </is>
      </c>
      <c r="O21" s="67" t="n">
        <v>100</v>
      </c>
      <c r="P21" s="67" t="n">
        <v>100</v>
      </c>
      <c r="Q21" s="68" t="n">
        <v>6584.8</v>
      </c>
      <c r="R21" s="63" t="inlineStr">
        <is>
          <t>derived:deal size / offer % of enlarged capital</t>
        </is>
      </c>
      <c r="S21" s="69" t="n">
        <v>402.8</v>
      </c>
      <c r="T21" s="70" t="n">
        <v>21.8</v>
      </c>
      <c r="U21" s="71" t="n">
        <v>17</v>
      </c>
      <c r="V21" s="67" t="n">
        <v>22.99</v>
      </c>
      <c r="W21" s="63" t="inlineStr">
        <is>
          <t>Affin Hwang Asset Management Berhad; CRF Investment Holdings Company Limited; Foresight Funds; IvyRock Asset Management (HK) Limited; Lake Bleu Prime Healthcare Master Fund Limited; OrbiMed Funds; WinTwin Capital Limited</t>
        </is>
      </c>
      <c r="X21" s="63" t="inlineStr">
        <is>
          <t>affin;crf;foresight;ivyrock;lake;orbimed;wintwin</t>
        </is>
      </c>
      <c r="Y21" s="67" t="n">
        <v>15</v>
      </c>
      <c r="Z21" s="63" t="inlineStr">
        <is>
          <t>partial</t>
        </is>
      </c>
      <c r="AA21" s="72" t="n">
        <v>1.24</v>
      </c>
      <c r="AB21" s="73" t="n">
        <v>9.65</v>
      </c>
      <c r="AC21" s="73" t="n">
        <v>-7.67</v>
      </c>
      <c r="AD21" s="73" t="n">
        <v>16.96</v>
      </c>
      <c r="AE21" s="73" t="n">
        <v>-25.26</v>
      </c>
      <c r="AF21" s="73" t="n">
        <v>-1.32</v>
      </c>
      <c r="AG21" s="73" t="n">
        <v>15.53</v>
      </c>
      <c r="AH21" s="73" t="n">
        <v>-26.18</v>
      </c>
      <c r="AI21" s="73" t="n">
        <v>-2.53</v>
      </c>
      <c r="AJ21" s="73" t="n">
        <v>11.93</v>
      </c>
      <c r="AK21" s="73" t="n">
        <v>-9.67</v>
      </c>
      <c r="AL21" s="73" t="n">
        <v>6.3</v>
      </c>
      <c r="AM21" s="73" t="n">
        <v>-9.880000000000001</v>
      </c>
      <c r="AN21" s="73" t="n">
        <v>-15.59</v>
      </c>
      <c r="AO21" s="73" t="n">
        <v>-16.3</v>
      </c>
      <c r="AP21" s="63" t="inlineStr">
        <is>
          <t>China Biotech ETF (HS biotech proxy)</t>
        </is>
      </c>
      <c r="AQ21" s="73" t="n">
        <v>-94.92</v>
      </c>
      <c r="AR21" s="64" t="inlineStr">
        <is>
          <t>2026-08-21</t>
        </is>
      </c>
      <c r="AS21" s="65" t="n">
        <v>46</v>
      </c>
      <c r="AT21" s="68" t="n"/>
      <c r="AU21" s="63" t="n"/>
      <c r="AV21" s="78">
        <f>IF('BBG Verify'!O21="","not filed — run on terminal",'BBG Verify'!O21)</f>
        <v/>
      </c>
      <c r="AW21" s="74" t="n"/>
      <c r="AX21" s="74" t="n"/>
      <c r="AY21" s="74" t="n">
        <v>143.1</v>
      </c>
      <c r="AZ21" s="75" t="inlineStr">
        <is>
          <t>N</t>
        </is>
      </c>
      <c r="BA21" s="76">
        <f>IF('BBG Verify'!K21="","not filed — run on terminal",'BBG Verify'!K21)</f>
        <v/>
      </c>
      <c r="BB21" s="63" t="inlineStr">
        <is>
          <t>N/A</t>
        </is>
      </c>
      <c r="BC21" s="63" t="inlineStr">
        <is>
          <t>N/A</t>
        </is>
      </c>
      <c r="BD21" s="63" t="inlineStr">
        <is>
          <t>N/A</t>
        </is>
      </c>
      <c r="BE21" s="63" t="inlineStr">
        <is>
          <t>N/A</t>
        </is>
      </c>
      <c r="BF21" s="63" t="inlineStr">
        <is>
          <t>N/A</t>
        </is>
      </c>
      <c r="BG21" s="75" t="inlineStr">
        <is>
          <t>CLSA Capital Markets Limited</t>
        </is>
      </c>
      <c r="BH21" s="63" t="inlineStr">
        <is>
          <t>CLSA Capital Markets Limited</t>
        </is>
      </c>
      <c r="BI21" s="63"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7">
        <f>HYPERLINK("https://www1.hkexnews.hk/listedco/listconews/sehk/2021/0127/2021012700036.htm","prospectus")</f>
        <v/>
      </c>
      <c r="BL21" s="77">
        <f>HYPERLINK("https://www1.hkexnews.hk/listedco/listconews/sehk/2021/0205/2021020500040.htm","allotment")</f>
        <v/>
      </c>
      <c r="BM21" s="77">
        <f>HYPERLINK("https://www1.hkexnews.hk/listedco/listconews/sehk/2021/0304/2021030400005.pdf","stabilisation")</f>
        <v/>
      </c>
      <c r="BN21" s="75" t="n"/>
      <c r="BO21" s="63"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c r="L22" s="66" t="n">
        <v>0.58</v>
      </c>
      <c r="M22" s="66" t="n">
        <v>0.5600000000000001</v>
      </c>
      <c r="N22" s="63" t="inlineStr">
        <is>
          <t>N</t>
        </is>
      </c>
      <c r="O22" s="67" t="n">
        <v>96.59999999999999</v>
      </c>
      <c r="P22" s="67" t="n"/>
      <c r="Q22" s="68" t="n">
        <v>520</v>
      </c>
      <c r="R22" s="63" t="inlineStr">
        <is>
          <t>prospectus:stated market capitalisation</t>
        </is>
      </c>
      <c r="S22" s="69" t="n">
        <v>64.15000000000001</v>
      </c>
      <c r="T22" s="70" t="n">
        <v>1.01</v>
      </c>
      <c r="U22" s="71" t="n">
        <v>0</v>
      </c>
      <c r="V22" s="67" t="n">
        <v>26.92</v>
      </c>
      <c r="W22" s="63" t="n"/>
      <c r="X22" s="63" t="n"/>
      <c r="Y22" s="67" t="n">
        <v>15</v>
      </c>
      <c r="Z22" s="63" t="n"/>
      <c r="AA22" s="72" t="n">
        <v>26.79</v>
      </c>
      <c r="AB22" s="73" t="n">
        <v>19.64</v>
      </c>
      <c r="AC22" s="73" t="n">
        <v>5.98</v>
      </c>
      <c r="AD22" s="73" t="n">
        <v>1.79</v>
      </c>
      <c r="AE22" s="73" t="n">
        <v>8.93</v>
      </c>
      <c r="AF22" s="73" t="n">
        <v>16.07</v>
      </c>
      <c r="AG22" s="73" t="n">
        <v>-19.72</v>
      </c>
      <c r="AH22" s="73" t="n">
        <v>-14.09</v>
      </c>
      <c r="AI22" s="73" t="n">
        <v>-8.449999999999999</v>
      </c>
      <c r="AJ22" s="73" t="n">
        <v>18.57</v>
      </c>
      <c r="AK22" s="73" t="n">
        <v>30.32</v>
      </c>
      <c r="AL22" s="73" t="n">
        <v>41.65</v>
      </c>
      <c r="AM22" s="73" t="n">
        <v>5.58</v>
      </c>
      <c r="AN22" s="73" t="n">
        <v>-21.39</v>
      </c>
      <c r="AO22" s="73" t="n">
        <v>-19.67</v>
      </c>
      <c r="AP22" s="63" t="inlineStr">
        <is>
          <t>HSTECH (Hang Seng TECH ETF)</t>
        </is>
      </c>
      <c r="AQ22" s="73" t="n">
        <v>125.89</v>
      </c>
      <c r="AR22" s="64" t="inlineStr">
        <is>
          <t>2026-08-20</t>
        </is>
      </c>
      <c r="AS22" s="65" t="n"/>
      <c r="AT22" s="68" t="n">
        <v>34.9</v>
      </c>
      <c r="AU22" s="63" t="inlineStr">
        <is>
          <t>Y</t>
        </is>
      </c>
      <c r="AV22" s="74" t="n">
        <v>14.9</v>
      </c>
      <c r="AW22" s="74" t="n"/>
      <c r="AX22" s="74" t="n">
        <v>37.1</v>
      </c>
      <c r="AY22" s="74" t="n"/>
      <c r="AZ22" s="75" t="inlineStr">
        <is>
          <t>N</t>
        </is>
      </c>
      <c r="BA22" s="76">
        <f>IF('BBG Verify'!K22="","not filed — run on terminal",'BBG Verify'!K22)</f>
        <v/>
      </c>
      <c r="BB22" s="63" t="inlineStr">
        <is>
          <t>N/A</t>
        </is>
      </c>
      <c r="BC22" s="63" t="inlineStr">
        <is>
          <t>N/A</t>
        </is>
      </c>
      <c r="BD22" s="63" t="inlineStr">
        <is>
          <t>N/A</t>
        </is>
      </c>
      <c r="BE22" s="63" t="inlineStr">
        <is>
          <t>N/A</t>
        </is>
      </c>
      <c r="BF22" s="63" t="inlineStr">
        <is>
          <t>N/A</t>
        </is>
      </c>
      <c r="BG22" s="75" t="inlineStr">
        <is>
          <t>Honestum International Limited</t>
        </is>
      </c>
      <c r="BH22" s="63" t="inlineStr">
        <is>
          <t>Honestum International Limited</t>
        </is>
      </c>
      <c r="BI22" s="63" t="inlineStr">
        <is>
          <t>CMBC Securities Company Limited; Central, Hong Kong Forwin Securities Group Limited; Lego Securities Limited; Central, Hong Kong Crosby Securities Limited; Wanchai, Hong Kong Forwin Securities Group Limited; Wanchai, Hong Kong GLAM Capital Limited</t>
        </is>
      </c>
      <c r="BJ22" s="63" t="inlineStr">
        <is>
          <t>CMBC Securities Company Limited; Crosby Securities Limited; Enhanced Securities Limited; Forwin Securities Group Limited; GLAM Capital Limited; Lego Securities Limited; Victory Securities Company Limited</t>
        </is>
      </c>
      <c r="BK22" s="77">
        <f>HYPERLINK("https://www1.hkexnews.hk/listedco/listconews/sehk/2021/0129/2021012901777.pdf","prospectus")</f>
        <v/>
      </c>
      <c r="BL22" s="77">
        <f>HYPERLINK("https://www1.hkexnews.hk/listedco/listconews/sehk/2021/0218/2021021800016.htm","allotment")</f>
        <v/>
      </c>
      <c r="BM22" s="63" t="n"/>
      <c r="BN22" s="75" t="n"/>
      <c r="BO22" s="63"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7" t="n">
        <v>10.91</v>
      </c>
      <c r="W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3" t="inlineStr">
        <is>
          <t>carmignac;structural;cpe;crf;janchor;lake;octagon;orbimed;scc;valliance</t>
        </is>
      </c>
      <c r="Y23" s="67" t="n">
        <v>5.8</v>
      </c>
      <c r="Z23" s="63" t="inlineStr">
        <is>
          <t>partial</t>
        </is>
      </c>
      <c r="AA23" s="72" t="n">
        <v>-8.609999999999999</v>
      </c>
      <c r="AB23" s="73" t="n">
        <v>-1.99</v>
      </c>
      <c r="AC23" s="73" t="n">
        <v>-6.75</v>
      </c>
      <c r="AD23" s="73" t="n">
        <v>-12.58</v>
      </c>
      <c r="AE23" s="73" t="n">
        <v>-8.48</v>
      </c>
      <c r="AF23" s="73" t="n">
        <v>4.17</v>
      </c>
      <c r="AG23" s="73" t="n">
        <v>-4.34</v>
      </c>
      <c r="AH23" s="73" t="n">
        <v>0.14</v>
      </c>
      <c r="AI23" s="73" t="n">
        <v>13.98</v>
      </c>
      <c r="AJ23" s="73" t="n">
        <v>-5.7</v>
      </c>
      <c r="AK23" s="73" t="n">
        <v>-0.34</v>
      </c>
      <c r="AL23" s="73" t="n">
        <v>-5.9</v>
      </c>
      <c r="AM23" s="73" t="n">
        <v>6.29</v>
      </c>
      <c r="AN23" s="73" t="n">
        <v>-8.140000000000001</v>
      </c>
      <c r="AO23" s="73" t="n">
        <v>-6.15</v>
      </c>
      <c r="AP23" s="63" t="inlineStr">
        <is>
          <t>China Biotech ETF (HS biotech proxy)</t>
        </is>
      </c>
      <c r="AQ23" s="73" t="n">
        <v>-56.35</v>
      </c>
      <c r="AR23" s="64" t="inlineStr">
        <is>
          <t>2026-08-24</t>
        </is>
      </c>
      <c r="AS23" s="65" t="n"/>
      <c r="AT23" s="68" t="n"/>
      <c r="AU23" s="63" t="n"/>
      <c r="AV23" s="74" t="n">
        <v>87.5</v>
      </c>
      <c r="AW23" s="74" t="n">
        <v>87.5</v>
      </c>
      <c r="AX23" s="74" t="n">
        <v>34.6</v>
      </c>
      <c r="AY23" s="74" t="n"/>
      <c r="AZ23" s="75" t="inlineStr">
        <is>
          <t>Y</t>
        </is>
      </c>
      <c r="BA23" s="63" t="inlineStr">
        <is>
          <t>603127.SS</t>
        </is>
      </c>
      <c r="BB23" s="73" t="n">
        <v>12.28</v>
      </c>
      <c r="BC23" s="66" t="n">
        <v>169.5434</v>
      </c>
      <c r="BD23" s="80" t="n">
        <v>1.2528</v>
      </c>
      <c r="BE23" s="78">
        <f>IF('BBG Verify'!Q23="","run on terminal",'BBG Verify'!Q23)</f>
        <v/>
      </c>
      <c r="BF23" s="78">
        <f>IF('BBG Verify'!R23="","run on terminal",'BBG Verify'!R23)</f>
        <v/>
      </c>
      <c r="BG23" s="75" t="inlineStr">
        <is>
          <t>CLSA Capital Markets Limited</t>
        </is>
      </c>
      <c r="BH23" s="63" t="inlineStr">
        <is>
          <t>CLSA Capital Markets Limited</t>
        </is>
      </c>
      <c r="BI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7">
        <f>HYPERLINK("https://www1.hkexnews.hk/listedco/listconews/sehk/2021/0216/2021021600009.pdf","prospectus")</f>
        <v/>
      </c>
      <c r="BL23" s="77">
        <f>HYPERLINK("https://www1.hkexnews.hk/listedco/listconews/sehk/2021/0225/2021022500020.htm","allotment")</f>
        <v/>
      </c>
      <c r="BM23" s="77">
        <f>HYPERLINK("https://www1.hkexnews.hk/listedco/listconews/sehk/2021/0321/2021032100045.pdf","stabilisation")</f>
        <v/>
      </c>
      <c r="BN23" s="75" t="n"/>
      <c r="BO23" s="63"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c r="L24" s="66" t="n">
        <v>9.199999999999999</v>
      </c>
      <c r="M24" s="66" t="n">
        <v>9.199999999999999</v>
      </c>
      <c r="N24" s="63" t="inlineStr">
        <is>
          <t>Y</t>
        </is>
      </c>
      <c r="O24" s="67" t="n">
        <v>100</v>
      </c>
      <c r="P24" s="67" t="n"/>
      <c r="Q24" s="68" t="n">
        <v>12266.7</v>
      </c>
      <c r="R24" s="63" t="inlineStr">
        <is>
          <t>aastocks:上市市值 at the struck price</t>
        </is>
      </c>
      <c r="S24" s="69" t="n">
        <v>172.32</v>
      </c>
      <c r="T24" s="70" t="n">
        <v>13.8</v>
      </c>
      <c r="U24" s="71" t="n">
        <v>0</v>
      </c>
      <c r="V24" s="67" t="n">
        <v>25</v>
      </c>
      <c r="W24" s="63" t="n"/>
      <c r="X24" s="63" t="n"/>
      <c r="Y24" s="67" t="n">
        <v>6</v>
      </c>
      <c r="Z24" s="63" t="inlineStr">
        <is>
          <t>lapsed</t>
        </is>
      </c>
      <c r="AA24" s="72" t="n">
        <v>-13.15</v>
      </c>
      <c r="AB24" s="73" t="n">
        <v>-14.24</v>
      </c>
      <c r="AC24" s="73" t="n">
        <v>1.27</v>
      </c>
      <c r="AD24" s="73" t="n">
        <v>-9.24</v>
      </c>
      <c r="AE24" s="73" t="n">
        <v>-9.779999999999999</v>
      </c>
      <c r="AF24" s="73" t="n">
        <v>-9.779999999999999</v>
      </c>
      <c r="AG24" s="73" t="n">
        <v>4.5</v>
      </c>
      <c r="AH24" s="73" t="n">
        <v>3.88</v>
      </c>
      <c r="AI24" s="73" t="n">
        <v>3.88</v>
      </c>
      <c r="AJ24" s="73" t="n">
        <v>-12.74</v>
      </c>
      <c r="AK24" s="73" t="n">
        <v>-9.15</v>
      </c>
      <c r="AL24" s="73" t="n">
        <v>-13.12</v>
      </c>
      <c r="AM24" s="73" t="n">
        <v>6.15</v>
      </c>
      <c r="AN24" s="73" t="n">
        <v>-0.63</v>
      </c>
      <c r="AO24" s="73" t="n">
        <v>-2.27</v>
      </c>
      <c r="AP24" s="63" t="inlineStr">
        <is>
          <t>Hang Seng Commerce &amp; Industry sub-index</t>
        </is>
      </c>
      <c r="AQ24" s="73" t="n">
        <v>-75.54000000000001</v>
      </c>
      <c r="AR24" s="64" t="inlineStr">
        <is>
          <t>2026-08-20</t>
        </is>
      </c>
      <c r="AS24" s="65" t="n">
        <v>1521.7</v>
      </c>
      <c r="AT24" s="68" t="n">
        <v>202.8</v>
      </c>
      <c r="AU24" s="63" t="inlineStr">
        <is>
          <t>Y</t>
        </is>
      </c>
      <c r="AV24" s="74" t="n">
        <v>60.5</v>
      </c>
      <c r="AW24" s="74" t="n"/>
      <c r="AX24" s="74" t="n">
        <v>11.5</v>
      </c>
      <c r="AY24" s="74" t="n">
        <v>8.1</v>
      </c>
      <c r="AZ24" s="75" t="inlineStr">
        <is>
          <t>N</t>
        </is>
      </c>
      <c r="BA24" s="76">
        <f>IF('BBG Verify'!K24="","not filed — run on terminal",'BBG Verify'!K24)</f>
        <v/>
      </c>
      <c r="BB24" s="63" t="inlineStr">
        <is>
          <t>N/A</t>
        </is>
      </c>
      <c r="BC24" s="63" t="inlineStr">
        <is>
          <t>N/A</t>
        </is>
      </c>
      <c r="BD24" s="63" t="inlineStr">
        <is>
          <t>N/A</t>
        </is>
      </c>
      <c r="BE24" s="63" t="inlineStr">
        <is>
          <t>N/A</t>
        </is>
      </c>
      <c r="BF24" s="63" t="inlineStr">
        <is>
          <t>N/A</t>
        </is>
      </c>
      <c r="BG24" s="75" t="inlineStr">
        <is>
          <t>Morgan Stanley Asia Limited; China International Capital Corporation Hong Kong Securities Limited</t>
        </is>
      </c>
      <c r="BH24" s="63" t="inlineStr">
        <is>
          <t>Morgan Stanley Asia Limited; China International Capital Corporation (HK) Ltd</t>
        </is>
      </c>
      <c r="BI24" s="63" t="inlineStr">
        <is>
          <t>Morgan Stanley Asia Limited; China International Capital Corporation Hong Kong Securities Limited</t>
        </is>
      </c>
      <c r="BJ24" s="63" t="inlineStr">
        <is>
          <t>China International Capital Corporation Hong Kong Securities Limited; Futu Securities International (Hong Kong) Limited; Morgan Stanley Asia Limited</t>
        </is>
      </c>
      <c r="BK24" s="77">
        <f>HYPERLINK("https://www1.hkexnews.hk/listedco/listconews/sehk/2021/0226/2021022600033.pdf","prospectus")</f>
        <v/>
      </c>
      <c r="BL24" s="77">
        <f>HYPERLINK("https://www1.hkexnews.hk/listedco/listconews/sehk/2021/0309/2021030900022.htm","allotment")</f>
        <v/>
      </c>
      <c r="BM24" s="77">
        <f>HYPERLINK("https://www1.hkexnews.hk/listedco/listconews/sehk/2021/0407/2021040700023.pdf","stabilisation")</f>
        <v/>
      </c>
      <c r="BN24" s="75" t="n"/>
      <c r="BO24"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7" t="n">
        <v>25</v>
      </c>
      <c r="W25" s="63" t="n"/>
      <c r="X25" s="63" t="n"/>
      <c r="Y25" s="67" t="n">
        <v>15</v>
      </c>
      <c r="Z25" s="63" t="n"/>
      <c r="AA25" s="72" t="n">
        <v>-22.22</v>
      </c>
      <c r="AB25" s="73" t="n">
        <v>-5.56</v>
      </c>
      <c r="AC25" s="73" t="n">
        <v>-17.64</v>
      </c>
      <c r="AD25" s="73" t="n">
        <v>-29.63</v>
      </c>
      <c r="AE25" s="73" t="n">
        <v>-37.96</v>
      </c>
      <c r="AF25" s="73" t="n">
        <v>-40.74</v>
      </c>
      <c r="AG25" s="73" t="n">
        <v>-9.529999999999999</v>
      </c>
      <c r="AH25" s="73" t="n">
        <v>-20.24</v>
      </c>
      <c r="AI25" s="73" t="n">
        <v>-23.81</v>
      </c>
      <c r="AJ25" s="73" t="n">
        <v>-33.31</v>
      </c>
      <c r="AK25" s="73" t="n">
        <v>-38</v>
      </c>
      <c r="AL25" s="73" t="n">
        <v>-42.08</v>
      </c>
      <c r="AM25" s="73" t="n">
        <v>-17.31</v>
      </c>
      <c r="AN25" s="73" t="n">
        <v>0.04</v>
      </c>
      <c r="AO25" s="73" t="n">
        <v>-2.93</v>
      </c>
      <c r="AP25" s="63" t="inlineStr">
        <is>
          <t>Hang Seng Commerce &amp; Industry sub-index</t>
        </is>
      </c>
      <c r="AQ25" s="73" t="n">
        <v>-91.93000000000001</v>
      </c>
      <c r="AR25" s="64" t="inlineStr">
        <is>
          <t>2026-08-24</t>
        </is>
      </c>
      <c r="AS25" s="65" t="n">
        <v>404.8</v>
      </c>
      <c r="AT25" s="68" t="n">
        <v>38.4</v>
      </c>
      <c r="AU25" s="63" t="inlineStr">
        <is>
          <t>Y</t>
        </is>
      </c>
      <c r="AV25" s="74" t="n">
        <v>14.1</v>
      </c>
      <c r="AW25" s="74" t="n"/>
      <c r="AX25" s="74" t="n"/>
      <c r="AY25" s="74" t="n">
        <v>1.3</v>
      </c>
      <c r="AZ25" s="75" t="inlineStr">
        <is>
          <t>N</t>
        </is>
      </c>
      <c r="BA25" s="76">
        <f>IF('BBG Verify'!K25="","not filed — run on terminal",'BBG Verify'!K25)</f>
        <v/>
      </c>
      <c r="BB25" s="63" t="inlineStr">
        <is>
          <t>N/A</t>
        </is>
      </c>
      <c r="BC25" s="63" t="inlineStr">
        <is>
          <t>N/A</t>
        </is>
      </c>
      <c r="BD25" s="63" t="inlineStr">
        <is>
          <t>N/A</t>
        </is>
      </c>
      <c r="BE25" s="63" t="inlineStr">
        <is>
          <t>N/A</t>
        </is>
      </c>
      <c r="BF25" s="63" t="inlineStr">
        <is>
          <t>N/A</t>
        </is>
      </c>
      <c r="BG25" s="75" t="n"/>
      <c r="BH25" s="63" t="inlineStr">
        <is>
          <t>Grande Capital Limited</t>
        </is>
      </c>
      <c r="BI25" s="63" t="inlineStr">
        <is>
          <t>Space Securities Limited; CMBC Securities Company Limited; Innovax Securities Limited; SPDB International Capital Limited</t>
        </is>
      </c>
      <c r="BJ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7">
        <f>HYPERLINK("https://www1.hkexnews.hk/listedco/listconews/sehk/2021/0226/2021022600013.pdf","prospectus")</f>
        <v/>
      </c>
      <c r="BL25" s="77">
        <f>HYPERLINK("https://www1.hkexnews.hk/listedco/listconews/sehk/2021/0310/2021031000014.htm","allotment")</f>
        <v/>
      </c>
      <c r="BM25" s="63" t="n"/>
      <c r="BN25" s="75" t="n"/>
      <c r="BO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7" t="n">
        <v>6</v>
      </c>
      <c r="W26" s="63" t="n"/>
      <c r="X26" s="63" t="n"/>
      <c r="Y26" s="67" t="n">
        <v>6</v>
      </c>
      <c r="Z26" s="63" t="inlineStr">
        <is>
          <t>full</t>
        </is>
      </c>
      <c r="AA26" s="72" t="n">
        <v>2.1</v>
      </c>
      <c r="AB26" s="73" t="n">
        <v>2.67</v>
      </c>
      <c r="AC26" s="73" t="n">
        <v>-0.5600000000000001</v>
      </c>
      <c r="AD26" s="73" t="n">
        <v>10.72</v>
      </c>
      <c r="AE26" s="73" t="n">
        <v>3.52</v>
      </c>
      <c r="AF26" s="73" t="n">
        <v>-28.64</v>
      </c>
      <c r="AG26" s="73" t="n">
        <v>8.44</v>
      </c>
      <c r="AH26" s="73" t="n">
        <v>1.39</v>
      </c>
      <c r="AI26" s="73" t="n">
        <v>-30.11</v>
      </c>
      <c r="AJ26" s="73" t="n">
        <v>10.48</v>
      </c>
      <c r="AK26" s="73" t="n">
        <v>6.55</v>
      </c>
      <c r="AL26" s="73" t="n">
        <v>-21.39</v>
      </c>
      <c r="AM26" s="73" t="n">
        <v>1.88</v>
      </c>
      <c r="AN26" s="73" t="n">
        <v>-3.03</v>
      </c>
      <c r="AO26" s="73" t="n">
        <v>-0.49</v>
      </c>
      <c r="AP26" s="63" t="inlineStr">
        <is>
          <t>HSTECH (Hang Seng TECH ETF)</t>
        </is>
      </c>
      <c r="AQ26" s="73" t="n">
        <v>-75.84</v>
      </c>
      <c r="AR26" s="64" t="inlineStr">
        <is>
          <t>2026-08-21</t>
        </is>
      </c>
      <c r="AS26" s="65" t="n">
        <v>9524.5</v>
      </c>
      <c r="AT26" s="68" t="n">
        <v>3745.7</v>
      </c>
      <c r="AU26" s="63" t="inlineStr">
        <is>
          <t>Y</t>
        </is>
      </c>
      <c r="AV26" s="74" t="n">
        <v>23.8</v>
      </c>
      <c r="AW26" s="74" t="n"/>
      <c r="AX26" s="74" t="n"/>
      <c r="AY26" s="74" t="n">
        <v>9.300000000000001</v>
      </c>
      <c r="AZ26" s="75" t="inlineStr">
        <is>
          <t>N</t>
        </is>
      </c>
      <c r="BA26" s="76">
        <f>IF('BBG Verify'!K26="","not filed — run on terminal",'BBG Verify'!K26)</f>
        <v/>
      </c>
      <c r="BB26" s="63" t="inlineStr">
        <is>
          <t>N/A</t>
        </is>
      </c>
      <c r="BC26" s="63" t="inlineStr">
        <is>
          <t>N/A</t>
        </is>
      </c>
      <c r="BD26" s="63" t="inlineStr">
        <is>
          <t>N/A</t>
        </is>
      </c>
      <c r="BE26" s="63" t="inlineStr">
        <is>
          <t>N/A</t>
        </is>
      </c>
      <c r="BF26" s="63" t="inlineStr">
        <is>
          <t>N/A</t>
        </is>
      </c>
      <c r="BG26" s="75" t="inlineStr">
        <is>
          <t>China International Capital Corporation Hong Kong Securities Limited; (in alphabetical order with no ranking assigned) Credit Suisse (Hong Kong) Limited; Goldman Sachs (Asia) L.L.C</t>
        </is>
      </c>
      <c r="BH26" s="63" t="inlineStr">
        <is>
          <t>China International Capital Corporation Hong Kong Securities Limited; Goldman Sachs (Asia) L.L.C.; Credit Suisse (Hong Kong) Limited</t>
        </is>
      </c>
      <c r="BI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7">
        <f>HYPERLINK("https://www1.hkexnews.hk/listedco/listconews/sehk/2021/0304/2021030400013.pdf","prospectus")</f>
        <v/>
      </c>
      <c r="BL26" s="77">
        <f>HYPERLINK("https://www1.hkexnews.hk/listedco/listconews/sehk/2021/0312/2021031200028.htm","allotment")</f>
        <v/>
      </c>
      <c r="BM26" s="77">
        <f>HYPERLINK("https://www1.hkexnews.hk/listedco/listconews/sehk/2021/0409/2021040900003.pdf","stabilisation")</f>
        <v/>
      </c>
      <c r="BN26" s="75" t="n"/>
      <c r="BO26" s="63" t="inlineStr">
        <is>
          <t>range low: cap-only pricing — the filing publishes a Maximum Offer Price and no indicative floor · A/H: no A-share listing · cornerstone list: no cornerstone tranche in this deal · cornerstone %: no cornerstone tranche in this deal</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7" t="n">
        <v>25</v>
      </c>
      <c r="W27" s="63" t="n"/>
      <c r="X27" s="63" t="n"/>
      <c r="Y27" s="67" t="n">
        <v>15</v>
      </c>
      <c r="Z27" s="63" t="n"/>
      <c r="AA27" s="72" t="n">
        <v>-26.67</v>
      </c>
      <c r="AB27" s="73" t="n">
        <v>-8</v>
      </c>
      <c r="AC27" s="73" t="n">
        <v>-20.29</v>
      </c>
      <c r="AD27" s="73" t="n">
        <v>-34.67</v>
      </c>
      <c r="AE27" s="73" t="n">
        <v>-40</v>
      </c>
      <c r="AF27" s="73" t="n">
        <v>-46.67</v>
      </c>
      <c r="AG27" s="73" t="n">
        <v>-10.91</v>
      </c>
      <c r="AH27" s="73" t="n">
        <v>-18.18</v>
      </c>
      <c r="AI27" s="73" t="n">
        <v>-27.27</v>
      </c>
      <c r="AJ27" s="73" t="n">
        <v>-34</v>
      </c>
      <c r="AK27" s="73" t="n">
        <v>-42.02</v>
      </c>
      <c r="AL27" s="73" t="n">
        <v>-49.65</v>
      </c>
      <c r="AM27" s="73" t="n">
        <v>-17.97</v>
      </c>
      <c r="AN27" s="73" t="n">
        <v>2.02</v>
      </c>
      <c r="AO27" s="73" t="n">
        <v>-0.21</v>
      </c>
      <c r="AP27" s="63" t="inlineStr">
        <is>
          <t>Hang Seng Commerce &amp; Industry sub-index</t>
        </is>
      </c>
      <c r="AQ27" s="73" t="n">
        <v>-65.33</v>
      </c>
      <c r="AR27" s="64" t="inlineStr">
        <is>
          <t>2026-08-20</t>
        </is>
      </c>
      <c r="AS27" s="65" t="n">
        <v>455.5</v>
      </c>
      <c r="AT27" s="68" t="n">
        <v>47.5</v>
      </c>
      <c r="AU27" s="63" t="inlineStr">
        <is>
          <t>Y</t>
        </is>
      </c>
      <c r="AV27" s="74" t="n">
        <v>12.5</v>
      </c>
      <c r="AW27" s="74" t="n">
        <v>6.2</v>
      </c>
      <c r="AX27" s="74" t="n"/>
      <c r="AY27" s="74" t="n">
        <v>1.3</v>
      </c>
      <c r="AZ27" s="75" t="inlineStr">
        <is>
          <t>N</t>
        </is>
      </c>
      <c r="BA27" s="76">
        <f>IF('BBG Verify'!K27="","not filed — run on terminal",'BBG Verify'!K27)</f>
        <v/>
      </c>
      <c r="BB27" s="63" t="inlineStr">
        <is>
          <t>N/A</t>
        </is>
      </c>
      <c r="BC27" s="63" t="inlineStr">
        <is>
          <t>N/A</t>
        </is>
      </c>
      <c r="BD27" s="63" t="inlineStr">
        <is>
          <t>N/A</t>
        </is>
      </c>
      <c r="BE27" s="63" t="inlineStr">
        <is>
          <t>N/A</t>
        </is>
      </c>
      <c r="BF27" s="63" t="inlineStr">
        <is>
          <t>N/A</t>
        </is>
      </c>
      <c r="BG27" s="75" t="inlineStr">
        <is>
          <t>Lego Corporate Finance Limited</t>
        </is>
      </c>
      <c r="BH27" s="63" t="inlineStr">
        <is>
          <t>Lego Corporate Finance Limited</t>
        </is>
      </c>
      <c r="BI27" s="63" t="inlineStr">
        <is>
          <t>Aristo Securities Limited; Brilliant Norton Securities Company Limited; China Tonghai Securities Limited; First Fidelity Capital (International) Limited; Fruit Tree Securities Limited; Grand China Securities Limited</t>
        </is>
      </c>
      <c r="BJ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7">
        <f>HYPERLINK("https://www1.hkexnews.hk/listedco/listconews/sehk/2021/0226/2021022600021.pdf","prospectus")</f>
        <v/>
      </c>
      <c r="BL27" s="77">
        <f>HYPERLINK("https://www1.hkexnews.hk/listedco/listconews/sehk/2021/0315/2021031500018.htm","allotment")</f>
        <v/>
      </c>
      <c r="BM27" s="63" t="n"/>
      <c r="BN27" s="75" t="n"/>
      <c r="BO27"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7" t="n">
        <v>3.36</v>
      </c>
      <c r="W28" s="63" t="n"/>
      <c r="X28" s="63" t="n"/>
      <c r="Y28" s="67" t="n">
        <v>10</v>
      </c>
      <c r="Z28" s="63" t="n"/>
      <c r="AA28" s="72" t="n">
        <v>0</v>
      </c>
      <c r="AB28" s="73" t="n">
        <v>0.79</v>
      </c>
      <c r="AC28" s="73" t="n">
        <v>-0.78</v>
      </c>
      <c r="AD28" s="73" t="n">
        <v>-19.92</v>
      </c>
      <c r="AE28" s="73" t="n">
        <v>-14.84</v>
      </c>
      <c r="AF28" s="73" t="n">
        <v>-24.4</v>
      </c>
      <c r="AG28" s="73" t="n">
        <v>-19.92</v>
      </c>
      <c r="AH28" s="73" t="n">
        <v>-14.84</v>
      </c>
      <c r="AI28" s="73" t="n">
        <v>-24.4</v>
      </c>
      <c r="AJ28" s="73" t="n">
        <v>-16.19</v>
      </c>
      <c r="AK28" s="73" t="n">
        <v>-14.43</v>
      </c>
      <c r="AL28" s="73" t="n">
        <v>-21.14</v>
      </c>
      <c r="AM28" s="73" t="n">
        <v>-16.85</v>
      </c>
      <c r="AN28" s="73" t="n">
        <v>-0.41</v>
      </c>
      <c r="AO28" s="73" t="n">
        <v>2.01</v>
      </c>
      <c r="AP28" s="63" t="inlineStr">
        <is>
          <t>HSTECH (Hang Seng TECH ETF)</t>
        </is>
      </c>
      <c r="AQ28" s="73" t="n">
        <v>-63.43</v>
      </c>
      <c r="AR28" s="64" t="inlineStr">
        <is>
          <t>2026-08-20</t>
        </is>
      </c>
      <c r="AS28" s="65" t="n">
        <v>117781.4</v>
      </c>
      <c r="AT28" s="68" t="n">
        <v>24719.2</v>
      </c>
      <c r="AU28" s="63" t="inlineStr">
        <is>
          <t>Y</t>
        </is>
      </c>
      <c r="AV28" s="74" t="n">
        <v>28.8</v>
      </c>
      <c r="AW28" s="74" t="n"/>
      <c r="AX28" s="74" t="n"/>
      <c r="AY28" s="74" t="n">
        <v>6.1</v>
      </c>
      <c r="AZ28" s="75" t="inlineStr">
        <is>
          <t>N</t>
        </is>
      </c>
      <c r="BA28" s="76">
        <f>IF('BBG Verify'!K28="","not filed — run on terminal",'BBG Verify'!K28)</f>
        <v/>
      </c>
      <c r="BB28" s="63" t="inlineStr">
        <is>
          <t>N/A</t>
        </is>
      </c>
      <c r="BC28" s="63" t="inlineStr">
        <is>
          <t>N/A</t>
        </is>
      </c>
      <c r="BD28" s="63" t="inlineStr">
        <is>
          <t>N/A</t>
        </is>
      </c>
      <c r="BE28" s="63" t="inlineStr">
        <is>
          <t>N/A</t>
        </is>
      </c>
      <c r="BF28" s="63" t="inlineStr">
        <is>
          <t>N/A</t>
        </is>
      </c>
      <c r="BG28" s="75" t="inlineStr">
        <is>
          <t>Merrill Lynch (Asia Pacific) Limited; CLSA Capital Markets Limited; Goldman Sachs (Asia) L.L.C; CLSA Limited</t>
        </is>
      </c>
      <c r="BH28" s="63" t="inlineStr">
        <is>
          <t>Merrill Lynch (Asia Pacific) Limited; Goldman Sachs (Asia) L.L.C.; CLSA Capital Markets Limited</t>
        </is>
      </c>
      <c r="BI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7">
        <f>HYPERLINK("https://www1.hkexnews.hk/listedco/listconews/sehk/2021/0312/2021031200021.pdf","prospectus")</f>
        <v/>
      </c>
      <c r="BL28" s="77">
        <f>HYPERLINK("https://www1.hkexnews.hk/listedco/listconews/sehk/2021/0322/2021032200016.htm","allotment")</f>
        <v/>
      </c>
      <c r="BM28" s="63" t="n"/>
      <c r="BN28" s="75" t="n"/>
      <c r="BO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7" t="n">
        <v>15</v>
      </c>
      <c r="W29" s="63" t="inlineStr">
        <is>
          <t>Tenancy Co., Limited; Wang Miao</t>
        </is>
      </c>
      <c r="X29" s="63" t="inlineStr">
        <is>
          <t>tenancy;wang-miao</t>
        </is>
      </c>
      <c r="Y29" s="67" t="n"/>
      <c r="Z29" s="63" t="n"/>
      <c r="AA29" s="72" t="n">
        <v>-29.33</v>
      </c>
      <c r="AB29" s="73" t="n">
        <v>-3.33</v>
      </c>
      <c r="AC29" s="73" t="n">
        <v>-26.9</v>
      </c>
      <c r="AD29" s="73" t="n">
        <v>-30</v>
      </c>
      <c r="AE29" s="73" t="n">
        <v>-23.33</v>
      </c>
      <c r="AF29" s="73" t="n">
        <v>-16</v>
      </c>
      <c r="AG29" s="73" t="n">
        <v>-0.95</v>
      </c>
      <c r="AH29" s="73" t="n">
        <v>8.49</v>
      </c>
      <c r="AI29" s="73" t="n">
        <v>18.86</v>
      </c>
      <c r="AJ29" s="73" t="n">
        <v>-34.83</v>
      </c>
      <c r="AK29" s="73" t="n">
        <v>-29.89</v>
      </c>
      <c r="AL29" s="73" t="n">
        <v>-25.18</v>
      </c>
      <c r="AM29" s="73" t="n">
        <v>4.35</v>
      </c>
      <c r="AN29" s="73" t="n">
        <v>6.56</v>
      </c>
      <c r="AO29" s="73" t="n">
        <v>4.14</v>
      </c>
      <c r="AP29" s="63" t="inlineStr">
        <is>
          <t>Hang Seng Commerce &amp; Industry sub-index</t>
        </is>
      </c>
      <c r="AQ29" s="73" t="n">
        <v>-71.33</v>
      </c>
      <c r="AR29" s="64" t="inlineStr">
        <is>
          <t>2026-08-20</t>
        </is>
      </c>
      <c r="AS29" s="65" t="n">
        <v>649.9</v>
      </c>
      <c r="AT29" s="68" t="n">
        <v>46</v>
      </c>
      <c r="AU29" s="63" t="inlineStr">
        <is>
          <t>Y</t>
        </is>
      </c>
      <c r="AV29" s="74" t="n">
        <v>24.4</v>
      </c>
      <c r="AW29" s="74" t="n">
        <v>8.199999999999999</v>
      </c>
      <c r="AX29" s="74" t="n"/>
      <c r="AY29" s="74" t="n">
        <v>1.7</v>
      </c>
      <c r="AZ29" s="75" t="inlineStr">
        <is>
          <t>N</t>
        </is>
      </c>
      <c r="BA29" s="76">
        <f>IF('BBG Verify'!K29="","not filed — run on terminal",'BBG Verify'!K29)</f>
        <v/>
      </c>
      <c r="BB29" s="63" t="inlineStr">
        <is>
          <t>N/A</t>
        </is>
      </c>
      <c r="BC29" s="63" t="inlineStr">
        <is>
          <t>N/A</t>
        </is>
      </c>
      <c r="BD29" s="63" t="inlineStr">
        <is>
          <t>N/A</t>
        </is>
      </c>
      <c r="BE29" s="63" t="inlineStr">
        <is>
          <t>N/A</t>
        </is>
      </c>
      <c r="BF29" s="63" t="inlineStr">
        <is>
          <t>N/A</t>
        </is>
      </c>
      <c r="BG29" s="75" t="inlineStr">
        <is>
          <t>Kingsway Capital Limited</t>
        </is>
      </c>
      <c r="BH29" s="63" t="inlineStr">
        <is>
          <t>Kingsway Capital Limited</t>
        </is>
      </c>
      <c r="BI29" s="63" t="inlineStr">
        <is>
          <t>Kingsway Financial Services Group Limited; Seazen Resources Securities Limited; Zhongtai International Securities Limited; SPDB International Capital Limited</t>
        </is>
      </c>
      <c r="BJ29" s="63" t="inlineStr">
        <is>
          <t>Haitong International Securities Company Limited; Kingsway Financial Services Group Limited; SPDB International Capital Limited; Seazen Resources Securities Limited; Zhongtai International Securities Limited; ZMF Asset Management Limited</t>
        </is>
      </c>
      <c r="BK29" s="77">
        <f>HYPERLINK("https://www1.hkexnews.hk/listedco/listconews/sehk/2021/0316/2021031600111.pdf","prospectus")</f>
        <v/>
      </c>
      <c r="BL29" s="77">
        <f>HYPERLINK("https://www1.hkexnews.hk/listedco/listconews/sehk/2021/0325/2021032500100.htm","allotment")</f>
        <v/>
      </c>
      <c r="BM29" s="63" t="n"/>
      <c r="BN29" s="75" t="n"/>
      <c r="BO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7" t="n">
        <v>6.78</v>
      </c>
      <c r="W30" s="63" t="n"/>
      <c r="X30" s="63" t="n"/>
      <c r="Y30" s="67" t="n">
        <v>6.6</v>
      </c>
      <c r="Z30" s="63" t="inlineStr">
        <is>
          <t>full</t>
        </is>
      </c>
      <c r="AA30" s="72" t="n">
        <v>-0.99</v>
      </c>
      <c r="AB30" s="73" t="n">
        <v>-2.23</v>
      </c>
      <c r="AC30" s="73" t="n">
        <v>1.27</v>
      </c>
      <c r="AD30" s="73" t="n">
        <v>5.82</v>
      </c>
      <c r="AE30" s="73" t="n">
        <v>10.27</v>
      </c>
      <c r="AF30" s="73" t="n">
        <v>15.72</v>
      </c>
      <c r="AG30" s="73" t="n">
        <v>6.88</v>
      </c>
      <c r="AH30" s="73" t="n">
        <v>11.37</v>
      </c>
      <c r="AI30" s="73" t="n">
        <v>16.88</v>
      </c>
      <c r="AJ30" s="73" t="n">
        <v>1.79</v>
      </c>
      <c r="AK30" s="73" t="n">
        <v>7.85</v>
      </c>
      <c r="AL30" s="73" t="n">
        <v>18.57</v>
      </c>
      <c r="AM30" s="73" t="n">
        <v>6.87</v>
      </c>
      <c r="AN30" s="73" t="n">
        <v>2.42</v>
      </c>
      <c r="AO30" s="73" t="n">
        <v>4.5</v>
      </c>
      <c r="AP30" s="63" t="inlineStr">
        <is>
          <t>HSTECH (Hang Seng TECH ETF)</t>
        </is>
      </c>
      <c r="AQ30" s="73" t="n">
        <v>-83.48999999999999</v>
      </c>
      <c r="AR30" s="64" t="inlineStr">
        <is>
          <t>2026-08-21</t>
        </is>
      </c>
      <c r="AS30" s="65" t="n">
        <v>13198.9</v>
      </c>
      <c r="AT30" s="68" t="n">
        <v>-3359.4</v>
      </c>
      <c r="AU30" s="63" t="inlineStr">
        <is>
          <t>N</t>
        </is>
      </c>
      <c r="AV30" s="63" t="inlineStr">
        <is>
          <t>n/m</t>
        </is>
      </c>
      <c r="AW30" s="74" t="n"/>
      <c r="AX30" s="74" t="n"/>
      <c r="AY30" s="74" t="n">
        <v>22.6</v>
      </c>
      <c r="AZ30" s="75" t="inlineStr">
        <is>
          <t>N</t>
        </is>
      </c>
      <c r="BA30" s="76">
        <f>IF('BBG Verify'!K30="","not filed — run on terminal",'BBG Verify'!K30)</f>
        <v/>
      </c>
      <c r="BB30" s="63" t="inlineStr">
        <is>
          <t>N/A</t>
        </is>
      </c>
      <c r="BC30" s="63" t="inlineStr">
        <is>
          <t>N/A</t>
        </is>
      </c>
      <c r="BD30" s="63" t="inlineStr">
        <is>
          <t>N/A</t>
        </is>
      </c>
      <c r="BE30" s="63" t="inlineStr">
        <is>
          <t>N/A</t>
        </is>
      </c>
      <c r="BF30" s="63" t="inlineStr">
        <is>
          <t>N/A</t>
        </is>
      </c>
      <c r="BG30" s="75" t="inlineStr">
        <is>
          <t>Morgan Stanley Asia Limited; Goldman Sachs (Asia) L.L.C; J.P. Morgan Securities (Far East) Limited; UBS Securities Hong Kong Limited</t>
        </is>
      </c>
      <c r="BH30" s="63" t="inlineStr">
        <is>
          <t>Morgan Stanley Asia Limited; J.P. Morgan Securities (Far East) Limited; UBS Securities Hong Kong Limited; Goldman Sachs (Asia) L.L.C.</t>
        </is>
      </c>
      <c r="BI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7">
        <f>HYPERLINK("https://www1.hkexnews.hk/listedco/listconews/sehk/2021/0318/2021031800173.pdf","prospectus")</f>
        <v/>
      </c>
      <c r="BL30" s="77">
        <f>HYPERLINK("https://www1.hkexnews.hk/listedco/listconews/sehk/2021/0326/2021032600074.htm","allotment")</f>
        <v/>
      </c>
      <c r="BM30" s="77">
        <f>HYPERLINK("https://www1.hkexnews.hk/listedco/listconews/sehk/2021/0422/2021042202002.pdf","stabilisation")</f>
        <v/>
      </c>
      <c r="BN30" s="75" t="n"/>
      <c r="BO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c r="L31" s="66" t="n">
        <v>1.26</v>
      </c>
      <c r="M31" s="66" t="n">
        <v>1.26</v>
      </c>
      <c r="N31" s="63" t="inlineStr">
        <is>
          <t>Y</t>
        </is>
      </c>
      <c r="O31" s="67" t="n">
        <v>100</v>
      </c>
      <c r="P31" s="67" t="n"/>
      <c r="Q31" s="68" t="n">
        <v>648.5</v>
      </c>
      <c r="R31" s="63" t="inlineStr">
        <is>
          <t>aastocks:上市市值 at the struck price</t>
        </is>
      </c>
      <c r="S31" s="69" t="n">
        <v>22.43</v>
      </c>
      <c r="T31" s="70" t="n">
        <v>1.71</v>
      </c>
      <c r="U31" s="71" t="n">
        <v>0</v>
      </c>
      <c r="V31" s="67" t="n">
        <v>24.29</v>
      </c>
      <c r="W31" s="63" t="n"/>
      <c r="X31" s="63" t="n"/>
      <c r="Y31" s="67" t="n">
        <v>16.63</v>
      </c>
      <c r="Z31" s="63" t="inlineStr">
        <is>
          <t>full</t>
        </is>
      </c>
      <c r="AA31" s="72" t="n">
        <v>6.35</v>
      </c>
      <c r="AB31" s="73" t="n">
        <v>10.32</v>
      </c>
      <c r="AC31" s="73" t="n">
        <v>-3.6</v>
      </c>
      <c r="AD31" s="73" t="n">
        <v>12.7</v>
      </c>
      <c r="AE31" s="73" t="n">
        <v>15.08</v>
      </c>
      <c r="AF31" s="73" t="n">
        <v>44.44</v>
      </c>
      <c r="AG31" s="73" t="n">
        <v>5.97</v>
      </c>
      <c r="AH31" s="73" t="n">
        <v>8.210000000000001</v>
      </c>
      <c r="AI31" s="73" t="n">
        <v>35.82</v>
      </c>
      <c r="AJ31" s="73" t="n">
        <v>12.64</v>
      </c>
      <c r="AK31" s="73" t="n">
        <v>13.91</v>
      </c>
      <c r="AL31" s="73" t="n">
        <v>50.84</v>
      </c>
      <c r="AM31" s="73" t="n">
        <v>7.04</v>
      </c>
      <c r="AN31" s="73" t="n">
        <v>1.17</v>
      </c>
      <c r="AO31" s="73" t="n">
        <v>1.17</v>
      </c>
      <c r="AP31" s="63" t="inlineStr">
        <is>
          <t>HSTECH (Hang Seng TECH ETF)</t>
        </is>
      </c>
      <c r="AQ31" s="73" t="n">
        <v>-15.48</v>
      </c>
      <c r="AR31" s="64" t="inlineStr">
        <is>
          <t>2026-08-20</t>
        </is>
      </c>
      <c r="AS31" s="65" t="n">
        <v>173.8</v>
      </c>
      <c r="AT31" s="68" t="n">
        <v>45.4</v>
      </c>
      <c r="AU31" s="63" t="inlineStr">
        <is>
          <t>Y</t>
        </is>
      </c>
      <c r="AV31" s="74" t="n">
        <v>14.3</v>
      </c>
      <c r="AW31" s="74" t="n"/>
      <c r="AX31" s="74" t="n"/>
      <c r="AY31" s="74" t="n">
        <v>3.7</v>
      </c>
      <c r="AZ31" s="75" t="inlineStr">
        <is>
          <t>N</t>
        </is>
      </c>
      <c r="BA31" s="76">
        <f>IF('BBG Verify'!K31="","not filed — run on terminal",'BBG Verify'!K31)</f>
        <v/>
      </c>
      <c r="BB31" s="63" t="inlineStr">
        <is>
          <t>N/A</t>
        </is>
      </c>
      <c r="BC31" s="63" t="inlineStr">
        <is>
          <t>N/A</t>
        </is>
      </c>
      <c r="BD31" s="63" t="inlineStr">
        <is>
          <t>N/A</t>
        </is>
      </c>
      <c r="BE31" s="63" t="inlineStr">
        <is>
          <t>N/A</t>
        </is>
      </c>
      <c r="BF31" s="63" t="inlineStr">
        <is>
          <t>N/A</t>
        </is>
      </c>
      <c r="BG31" s="75" t="inlineStr">
        <is>
          <t>CMBC International Capital Limited</t>
        </is>
      </c>
      <c r="BH31" s="63" t="inlineStr">
        <is>
          <t>CMBC International Capital Limited</t>
        </is>
      </c>
      <c r="BI31" s="63"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7">
        <f>HYPERLINK("https://www1.hkexnews.hk/listedco/listconews/sehk/2021/0318/2021031800013.pdf","prospectus")</f>
        <v/>
      </c>
      <c r="BL31" s="77">
        <f>HYPERLINK("https://www1.hkexnews.hk/listedco/listconews/sehk/2021/0330/2021033000148.htm","allotment")</f>
        <v/>
      </c>
      <c r="BM31" s="77">
        <f>HYPERLINK("https://www1.hkexnews.hk/listedco/listconews/sehk/2021/0422/2021042201830.pdf","stabilisation")</f>
        <v/>
      </c>
      <c r="BN31" s="75" t="n"/>
      <c r="BO3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7" t="n">
        <v>13.18</v>
      </c>
      <c r="W32" s="63" t="inlineStr">
        <is>
          <t>Cederberg Capital Limited; China Structural Reform Fund Corporation Limited; Franchise Fund LP</t>
        </is>
      </c>
      <c r="X32" s="63" t="inlineStr">
        <is>
          <t>cederberg;structural;franchise</t>
        </is>
      </c>
      <c r="Y32" s="67" t="n">
        <v>5.19</v>
      </c>
      <c r="Z32" s="63" t="inlineStr">
        <is>
          <t>lapsed</t>
        </is>
      </c>
      <c r="AA32" s="72" t="n">
        <v>-16.04</v>
      </c>
      <c r="AB32" s="73" t="n">
        <v>-7.39</v>
      </c>
      <c r="AC32" s="73" t="n">
        <v>-9.34</v>
      </c>
      <c r="AD32" s="73" t="n">
        <v>-23.11</v>
      </c>
      <c r="AE32" s="73" t="n">
        <v>-35.06</v>
      </c>
      <c r="AF32" s="73" t="n">
        <v>-40.57</v>
      </c>
      <c r="AG32" s="73" t="n">
        <v>-8.42</v>
      </c>
      <c r="AH32" s="73" t="n">
        <v>-22.65</v>
      </c>
      <c r="AI32" s="73" t="n">
        <v>-29.22</v>
      </c>
      <c r="AJ32" s="73" t="n">
        <v>-23.17</v>
      </c>
      <c r="AK32" s="73" t="n">
        <v>-36.23</v>
      </c>
      <c r="AL32" s="73" t="n">
        <v>-34.17</v>
      </c>
      <c r="AM32" s="73" t="n">
        <v>-23.82</v>
      </c>
      <c r="AN32" s="73" t="n">
        <v>1.17</v>
      </c>
      <c r="AO32" s="73" t="n">
        <v>1.17</v>
      </c>
      <c r="AP32" s="63" t="inlineStr">
        <is>
          <t>HSTECH (Hang Seng TECH ETF)</t>
        </is>
      </c>
      <c r="AQ32" s="73" t="n">
        <v>-82.12</v>
      </c>
      <c r="AR32" s="64" t="inlineStr">
        <is>
          <t>2026-08-20</t>
        </is>
      </c>
      <c r="AS32" s="65" t="n">
        <v>447</v>
      </c>
      <c r="AT32" s="68" t="n">
        <v>-103.6</v>
      </c>
      <c r="AU32" s="63" t="inlineStr">
        <is>
          <t>N</t>
        </is>
      </c>
      <c r="AV32" s="63" t="inlineStr">
        <is>
          <t>n/m</t>
        </is>
      </c>
      <c r="AW32" s="74" t="n"/>
      <c r="AX32" s="74" t="n">
        <v>32.3</v>
      </c>
      <c r="AY32" s="74" t="n">
        <v>35.2</v>
      </c>
      <c r="AZ32" s="75" t="inlineStr">
        <is>
          <t>N</t>
        </is>
      </c>
      <c r="BA32" s="76">
        <f>IF('BBG Verify'!K32="","not filed — run on terminal",'BBG Verify'!K32)</f>
        <v/>
      </c>
      <c r="BB32" s="63" t="inlineStr">
        <is>
          <t>N/A</t>
        </is>
      </c>
      <c r="BC32" s="63" t="inlineStr">
        <is>
          <t>N/A</t>
        </is>
      </c>
      <c r="BD32" s="63" t="inlineStr">
        <is>
          <t>N/A</t>
        </is>
      </c>
      <c r="BE32" s="63" t="inlineStr">
        <is>
          <t>N/A</t>
        </is>
      </c>
      <c r="BF32" s="63" t="inlineStr">
        <is>
          <t>N/A</t>
        </is>
      </c>
      <c r="BG32" s="75" t="inlineStr">
        <is>
          <t>Morgan Stanley Asia Limited; China International Capital Corporation Hong Kong Securities Limited; CMBC International Capital Limited</t>
        </is>
      </c>
      <c r="BH32" s="63" t="inlineStr">
        <is>
          <t>China International Capital Corporation Hong Kong Securities Limited; Morgan Stanley Asia Limited; CMBC International Capital Limited</t>
        </is>
      </c>
      <c r="BI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7">
        <f>HYPERLINK("https://www1.hkexnews.hk/listedco/listconews/sehk/2021/0319/2021031900021.pdf","prospectus")</f>
        <v/>
      </c>
      <c r="BL32" s="77">
        <f>HYPERLINK("https://www1.hkexnews.hk/listedco/listconews/sehk/2021/0330/2021033000204.htm","allotment")</f>
        <v/>
      </c>
      <c r="BM32" s="77">
        <f>HYPERLINK("https://www1.hkexnews.hk/listedco/listconews/sehk/2021/0423/2021042302099.pdf","stabilisation")</f>
        <v/>
      </c>
      <c r="BN32" s="75" t="n"/>
      <c r="BO32"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v>0</v>
      </c>
      <c r="V33" s="67" t="n">
        <v>25</v>
      </c>
      <c r="W33" s="63" t="n"/>
      <c r="X33" s="63" t="n"/>
      <c r="Y33" s="67" t="n">
        <v>15</v>
      </c>
      <c r="Z33" s="63" t="n"/>
      <c r="AA33" s="72" t="n">
        <v>-41.07</v>
      </c>
      <c r="AB33" s="73" t="n">
        <v>-28.57</v>
      </c>
      <c r="AC33" s="73" t="n">
        <v>-17.5</v>
      </c>
      <c r="AD33" s="73" t="n">
        <v>-46.43</v>
      </c>
      <c r="AE33" s="73" t="n">
        <v>-17.86</v>
      </c>
      <c r="AF33" s="73" t="n">
        <v>-24.11</v>
      </c>
      <c r="AG33" s="73" t="n">
        <v>-9.1</v>
      </c>
      <c r="AH33" s="73" t="n">
        <v>39.39</v>
      </c>
      <c r="AI33" s="73" t="n">
        <v>28.78</v>
      </c>
      <c r="AJ33" s="73" t="n">
        <v>-46.9</v>
      </c>
      <c r="AK33" s="73" t="n">
        <v>-19.52</v>
      </c>
      <c r="AL33" s="73" t="n">
        <v>-25.43</v>
      </c>
      <c r="AM33" s="73" t="n">
        <v>37.5</v>
      </c>
      <c r="AN33" s="73" t="n">
        <v>1.66</v>
      </c>
      <c r="AO33" s="73" t="n">
        <v>1.89</v>
      </c>
      <c r="AP33" s="63" t="inlineStr">
        <is>
          <t>Hang Seng Commerce &amp; Industry sub-index</t>
        </is>
      </c>
      <c r="AQ33" s="73" t="n">
        <v>-95</v>
      </c>
      <c r="AR33" s="64" t="inlineStr">
        <is>
          <t>2026-08-24</t>
        </is>
      </c>
      <c r="AS33" s="65" t="n">
        <v>302</v>
      </c>
      <c r="AT33" s="68" t="n">
        <v>43.2</v>
      </c>
      <c r="AU33" s="63" t="inlineStr">
        <is>
          <t>Y</t>
        </is>
      </c>
      <c r="AV33" s="74" t="n">
        <v>13</v>
      </c>
      <c r="AW33" s="74" t="n">
        <v>6.6</v>
      </c>
      <c r="AX33" s="74" t="n"/>
      <c r="AY33" s="74" t="n">
        <v>1.9</v>
      </c>
      <c r="AZ33" s="75" t="inlineStr">
        <is>
          <t>N</t>
        </is>
      </c>
      <c r="BA33" s="76">
        <f>IF('BBG Verify'!K33="","not filed — run on terminal",'BBG Verify'!K33)</f>
        <v/>
      </c>
      <c r="BB33" s="63" t="inlineStr">
        <is>
          <t>N/A</t>
        </is>
      </c>
      <c r="BC33" s="63" t="inlineStr">
        <is>
          <t>N/A</t>
        </is>
      </c>
      <c r="BD33" s="63" t="inlineStr">
        <is>
          <t>N/A</t>
        </is>
      </c>
      <c r="BE33" s="63" t="inlineStr">
        <is>
          <t>N/A</t>
        </is>
      </c>
      <c r="BF33" s="63" t="inlineStr">
        <is>
          <t>N/A</t>
        </is>
      </c>
      <c r="BG33" s="75" t="n"/>
      <c r="BH33" s="63" t="inlineStr">
        <is>
          <t>Grande Capital Limited</t>
        </is>
      </c>
      <c r="BI33" s="63" t="inlineStr">
        <is>
          <t>Zhong J ia Securities Limited; MTF Securities Limited</t>
        </is>
      </c>
      <c r="BJ33" s="63" t="inlineStr">
        <is>
          <t>ChaoShang Securities Limited; Get Nice Securities Limited; Head &amp; Shoulders Securities Limited; MTF Securities Limited; Sinomax Securities Limited; Vinco Capital Limited; Zhong Jia Securities Limited</t>
        </is>
      </c>
      <c r="BK33" s="77">
        <f>HYPERLINK("https://www1.hkexnews.hk/listedco/listconews/sehk/2021/0319/2021031900036.htm","prospectus")</f>
        <v/>
      </c>
      <c r="BL33" s="77">
        <f>HYPERLINK("https://www1.hkexnews.hk/listedco/listconews/sehk/2021/0330/2021033000230.htm","allotment")</f>
        <v/>
      </c>
      <c r="BM33" s="63" t="n"/>
      <c r="BN33" s="75" t="n"/>
      <c r="BO33" s="63"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36864</v>
      </c>
      <c r="R34" s="63" t="inlineStr">
        <is>
          <t>prospectus:stated market capitalisation</t>
        </is>
      </c>
      <c r="S34" s="69" t="n">
        <v>98.45999999999999</v>
      </c>
      <c r="T34" s="70" t="n">
        <v>14.83</v>
      </c>
      <c r="U34" s="71" t="n">
        <v>35.6</v>
      </c>
      <c r="V34" s="67" t="n">
        <v>13.91</v>
      </c>
      <c r="W34" s="63" t="inlineStr">
        <is>
          <t>BlackRock Funds; EDB Investments Pte Ltd; Fidelity International; Janus Henderson Funds; Ontario Teachers Pension Plan Board; Sequoia Funds</t>
        </is>
      </c>
      <c r="X34" s="63" t="inlineStr">
        <is>
          <t>blackrock;edb;fidelity;janus;ontario;sequoia</t>
        </is>
      </c>
      <c r="Y34" s="67" t="n">
        <v>15</v>
      </c>
      <c r="Z34" s="63" t="inlineStr">
        <is>
          <t>full</t>
        </is>
      </c>
      <c r="AA34" s="72" t="n">
        <v>9.9</v>
      </c>
      <c r="AB34" s="73" t="n">
        <v>9.9</v>
      </c>
      <c r="AC34" s="73" t="n">
        <v>0</v>
      </c>
      <c r="AD34" s="73" t="n">
        <v>25.43</v>
      </c>
      <c r="AE34" s="73" t="n">
        <v>25.14</v>
      </c>
      <c r="AF34" s="73" t="n">
        <v>-17.41</v>
      </c>
      <c r="AG34" s="73" t="n">
        <v>14.13</v>
      </c>
      <c r="AH34" s="73" t="n">
        <v>13.87</v>
      </c>
      <c r="AI34" s="73" t="n">
        <v>-24.85</v>
      </c>
      <c r="AJ34" s="73" t="n">
        <v>28.11</v>
      </c>
      <c r="AK34" s="73" t="n">
        <v>31.82</v>
      </c>
      <c r="AL34" s="73" t="n">
        <v>-6.26</v>
      </c>
      <c r="AM34" s="73" t="n">
        <v>18.91</v>
      </c>
      <c r="AN34" s="73" t="n">
        <v>-6.68</v>
      </c>
      <c r="AO34" s="73" t="n">
        <v>-5.04</v>
      </c>
      <c r="AP34" s="63" t="inlineStr">
        <is>
          <t>HSTECH (Hang Seng TECH ETF)</t>
        </is>
      </c>
      <c r="AQ34" s="73" t="n">
        <v>-87.14</v>
      </c>
      <c r="AR34" s="64" t="inlineStr">
        <is>
          <t>2026-08-20</t>
        </is>
      </c>
      <c r="AS34" s="65" t="n">
        <v>167.9</v>
      </c>
      <c r="AT34" s="68" t="n">
        <v>-787</v>
      </c>
      <c r="AU34" s="63" t="inlineStr">
        <is>
          <t>N</t>
        </is>
      </c>
      <c r="AV34" s="63" t="inlineStr">
        <is>
          <t>n/m</t>
        </is>
      </c>
      <c r="AW34" s="74" t="n"/>
      <c r="AX34" s="74" t="n"/>
      <c r="AY34" s="74" t="n">
        <v>219.6</v>
      </c>
      <c r="AZ34" s="75" t="inlineStr">
        <is>
          <t>N</t>
        </is>
      </c>
      <c r="BA34" s="76">
        <f>IF('BBG Verify'!K34="","not filed — run on terminal",'BBG Verify'!K34)</f>
        <v/>
      </c>
      <c r="BB34" s="63" t="inlineStr">
        <is>
          <t>N/A</t>
        </is>
      </c>
      <c r="BC34" s="63" t="inlineStr">
        <is>
          <t>N/A</t>
        </is>
      </c>
      <c r="BD34" s="63" t="inlineStr">
        <is>
          <t>N/A</t>
        </is>
      </c>
      <c r="BE34" s="63" t="inlineStr">
        <is>
          <t>N/A</t>
        </is>
      </c>
      <c r="BF34" s="63" t="inlineStr">
        <is>
          <t>N/A</t>
        </is>
      </c>
      <c r="BG34" s="75" t="inlineStr">
        <is>
          <t>Goldman Sachs (Asia) L.L.C; China International Capital Corporation Hong Kong Securities Limited</t>
        </is>
      </c>
      <c r="BH34" s="63" t="inlineStr">
        <is>
          <t>China International Capital Corporation Hong Kong Securities Limited; Goldman Sachs (Asia) L.L.C.</t>
        </is>
      </c>
      <c r="BI34" s="63" t="inlineStr">
        <is>
          <t>Goldman Sachs (Asia) L.L.C; China International Capital Corporation Hong Kong Securities Limited; Citigroup Global Markets Asia Limited; Kong) Limited; CLSA Limited</t>
        </is>
      </c>
      <c r="BJ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7">
        <f>HYPERLINK("https://www1.hkexnews.hk/listedco/listconews/sehk/2021/0326/2021032600037.pdf","prospectus")</f>
        <v/>
      </c>
      <c r="BL34" s="77">
        <f>HYPERLINK("https://www1.hkexnews.hk/listedco/listconews/sehk/2021/0408/2021040800096.htm","allotment")</f>
        <v/>
      </c>
      <c r="BM34" s="77">
        <f>HYPERLINK("https://www1.hkexnews.hk/listedco/listconews/sehk/2021/0430/2021043002237.pdf","stabilisation")</f>
        <v/>
      </c>
      <c r="BN34" s="75" t="n"/>
      <c r="BO34" s="63" t="inlineStr">
        <is>
          <t>P/E: n/m — loss-making at IPO (use P/S) · A/H: no A-share listing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7" t="n">
        <v>4.02</v>
      </c>
      <c r="W35" s="63" t="n"/>
      <c r="X35" s="63" t="n"/>
      <c r="Y35" s="67" t="n">
        <v>6.4</v>
      </c>
      <c r="Z35" s="63" t="inlineStr">
        <is>
          <t>full</t>
        </is>
      </c>
      <c r="AA35" s="72" t="n">
        <v>4.55</v>
      </c>
      <c r="AB35" s="73" t="n">
        <v>4.85</v>
      </c>
      <c r="AC35" s="73" t="n">
        <v>-0.29</v>
      </c>
      <c r="AD35" s="73" t="n">
        <v>11.49</v>
      </c>
      <c r="AE35" s="73" t="n">
        <v>13.73</v>
      </c>
      <c r="AF35" s="73" t="n">
        <v>-16.04</v>
      </c>
      <c r="AG35" s="73" t="n">
        <v>6.64</v>
      </c>
      <c r="AH35" s="73" t="n">
        <v>8.779999999999999</v>
      </c>
      <c r="AI35" s="73" t="n">
        <v>-19.69</v>
      </c>
      <c r="AJ35" s="73" t="n">
        <v>8.550000000000001</v>
      </c>
      <c r="AK35" s="73" t="n">
        <v>18.69</v>
      </c>
      <c r="AL35" s="73" t="n">
        <v>-5.26</v>
      </c>
      <c r="AM35" s="73" t="n">
        <v>15.01</v>
      </c>
      <c r="AN35" s="73" t="n">
        <v>-4.96</v>
      </c>
      <c r="AO35" s="73" t="n">
        <v>-6.23</v>
      </c>
      <c r="AP35" s="63" t="inlineStr">
        <is>
          <t>HSTECH (Hang Seng TECH ETF)</t>
        </is>
      </c>
      <c r="AQ35" s="73" t="n">
        <v>35.45</v>
      </c>
      <c r="AR35" s="64" t="inlineStr">
        <is>
          <t>2026-08-21</t>
        </is>
      </c>
      <c r="AS35" s="65" t="n">
        <v>20147.6</v>
      </c>
      <c r="AT35" s="68" t="n">
        <v>-3571.7</v>
      </c>
      <c r="AU35" s="63" t="inlineStr">
        <is>
          <t>N</t>
        </is>
      </c>
      <c r="AV35" s="63" t="inlineStr">
        <is>
          <t>n/m</t>
        </is>
      </c>
      <c r="AW35" s="74" t="n"/>
      <c r="AX35" s="74" t="n">
        <v>7.3</v>
      </c>
      <c r="AY35" s="74" t="n">
        <v>10.5</v>
      </c>
      <c r="AZ35" s="75" t="inlineStr">
        <is>
          <t>N</t>
        </is>
      </c>
      <c r="BA35" s="76">
        <f>IF('BBG Verify'!K35="","not filed — run on terminal",'BBG Verify'!K35)</f>
        <v/>
      </c>
      <c r="BB35" s="63" t="inlineStr">
        <is>
          <t>N/A</t>
        </is>
      </c>
      <c r="BC35" s="63" t="inlineStr">
        <is>
          <t>N/A</t>
        </is>
      </c>
      <c r="BD35" s="63" t="inlineStr">
        <is>
          <t>N/A</t>
        </is>
      </c>
      <c r="BE35" s="63" t="inlineStr">
        <is>
          <t>N/A</t>
        </is>
      </c>
      <c r="BF35" s="63" t="inlineStr">
        <is>
          <t>N/A</t>
        </is>
      </c>
      <c r="BG35" s="7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3" t="inlineStr">
        <is>
          <t>China International Capital Corporation Hong Kong Securities Limited; J.P. Morgan Securities (Far East) Limited; Goldman Sachs (Asia) L.L.C.</t>
        </is>
      </c>
      <c r="BI35" s="63" t="inlineStr">
        <is>
          <t>ICBC International Securities Limited; ABCI Securities Company Limited</t>
        </is>
      </c>
      <c r="BJ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7">
        <f>HYPERLINK("https://www1.hkexnews.hk/listedco/listconews/sehk/2021/0408/2021040800019.pdf","prospectus")</f>
        <v/>
      </c>
      <c r="BL35" s="77">
        <f>HYPERLINK("https://www1.hkexnews.hk/listedco/listconews/sehk/2021/0416/2021041600028.htm","allotment")</f>
        <v/>
      </c>
      <c r="BM35" s="77">
        <f>HYPERLINK("https://www1.hkexnews.hk/listedco/listconews/sehk/2021/0513/2021051300333.pdf","stabilisation")</f>
        <v/>
      </c>
      <c r="BN35" s="75" t="n"/>
      <c r="BO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7" t="n">
        <v>20.41</v>
      </c>
      <c r="W36" s="63" t="inlineStr">
        <is>
          <t>CaaS Capital Master Fund LP; GIC Private Limited; Golden Valley Global Limited; Jennison Associates LLC; Mass Ave Global, Inc; Matthews Asia Growth Fund and Matthews Asia Innovators Fund; VMS Zhaoke Investment Fund SP</t>
        </is>
      </c>
      <c r="X36" s="63" t="inlineStr">
        <is>
          <t>caas;gic;golden-valley;jennison;mass;matthews;vms</t>
        </is>
      </c>
      <c r="Y36" s="67" t="n">
        <v>5</v>
      </c>
      <c r="Z36" s="63" t="inlineStr">
        <is>
          <t>lapsed</t>
        </is>
      </c>
      <c r="AA36" s="72" t="n">
        <v>-14.76</v>
      </c>
      <c r="AB36" s="73" t="n">
        <v>-7.62</v>
      </c>
      <c r="AC36" s="73" t="n">
        <v>-7.73</v>
      </c>
      <c r="AD36" s="73" t="n">
        <v>-32.14</v>
      </c>
      <c r="AE36" s="73" t="n">
        <v>-20.95</v>
      </c>
      <c r="AF36" s="73" t="n">
        <v>-52.38</v>
      </c>
      <c r="AG36" s="73" t="n">
        <v>-20.39</v>
      </c>
      <c r="AH36" s="73" t="n">
        <v>-7.26</v>
      </c>
      <c r="AI36" s="73" t="n">
        <v>-44.13</v>
      </c>
      <c r="AJ36" s="73" t="n">
        <v>-27.25</v>
      </c>
      <c r="AK36" s="73" t="n">
        <v>-25.08</v>
      </c>
      <c r="AL36" s="73" t="n">
        <v>-46.33</v>
      </c>
      <c r="AM36" s="73" t="n">
        <v>-12.27</v>
      </c>
      <c r="AN36" s="73" t="n">
        <v>4.13</v>
      </c>
      <c r="AO36" s="73" t="n">
        <v>5.01</v>
      </c>
      <c r="AP36" s="63" t="inlineStr">
        <is>
          <t>China Biotech ETF (HS biotech proxy)</t>
        </is>
      </c>
      <c r="AQ36" s="73" t="n">
        <v>-84.94</v>
      </c>
      <c r="AR36" s="64" t="inlineStr">
        <is>
          <t>2026-08-20</t>
        </is>
      </c>
      <c r="AS36" s="65" t="n">
        <v>0</v>
      </c>
      <c r="AT36" s="68" t="n">
        <v>-799.7</v>
      </c>
      <c r="AU36" s="63" t="inlineStr">
        <is>
          <t>N</t>
        </is>
      </c>
      <c r="AV36" s="63" t="inlineStr">
        <is>
          <t>n/m</t>
        </is>
      </c>
      <c r="AW36" s="74" t="n"/>
      <c r="AX36" s="74" t="n"/>
      <c r="AY36" s="63" t="inlineStr">
        <is>
          <t>pre-rev</t>
        </is>
      </c>
      <c r="AZ36" s="75" t="inlineStr">
        <is>
          <t>N</t>
        </is>
      </c>
      <c r="BA36" s="76">
        <f>IF('BBG Verify'!K36="","not filed — run on terminal",'BBG Verify'!K36)</f>
        <v/>
      </c>
      <c r="BB36" s="63" t="inlineStr">
        <is>
          <t>N/A</t>
        </is>
      </c>
      <c r="BC36" s="63" t="inlineStr">
        <is>
          <t>N/A</t>
        </is>
      </c>
      <c r="BD36" s="63" t="inlineStr">
        <is>
          <t>N/A</t>
        </is>
      </c>
      <c r="BE36" s="63" t="inlineStr">
        <is>
          <t>N/A</t>
        </is>
      </c>
      <c r="BF36" s="63" t="inlineStr">
        <is>
          <t>N/A</t>
        </is>
      </c>
      <c r="BG36" s="75" t="inlineStr">
        <is>
          <t>Goldman Sachs (Asia) L.L.C; Jefferies Hong Kong Limited</t>
        </is>
      </c>
      <c r="BH36" s="63" t="inlineStr">
        <is>
          <t>Jefferies Hong Kong Limited; Goldman Sachs (Asia) L.L.C.</t>
        </is>
      </c>
      <c r="BI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7">
        <f>HYPERLINK("https://www1.hkexnews.hk/listedco/listconews/sehk/2021/0416/2021041600009.pdf","prospectus")</f>
        <v/>
      </c>
      <c r="BL36" s="77">
        <f>HYPERLINK("https://www1.hkexnews.hk/listedco/listconews/sehk/2021/0428/2021042800066.htm","allotment")</f>
        <v/>
      </c>
      <c r="BM36" s="77">
        <f>HYPERLINK("https://www1.hkexnews.hk/listedco/listconews/sehk/2021/0521/2021052101496.pdf","stabilisation")</f>
        <v/>
      </c>
      <c r="BN36" s="75" t="n"/>
      <c r="BO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7" t="n">
        <v>51.5</v>
      </c>
      <c r="W37" s="63" t="inlineStr">
        <is>
          <t>China Orient Multi-Strategy Master Fund; CI Global Asset Management</t>
        </is>
      </c>
      <c r="X37" s="63" t="inlineStr">
        <is>
          <t>orient;ci</t>
        </is>
      </c>
      <c r="Y37" s="67" t="n">
        <v>5</v>
      </c>
      <c r="Z37" s="63" t="inlineStr">
        <is>
          <t>lapsed</t>
        </is>
      </c>
      <c r="AA37" s="72" t="n">
        <v>-16.47</v>
      </c>
      <c r="AB37" s="73" t="n">
        <v>-9.84</v>
      </c>
      <c r="AC37" s="73" t="n">
        <v>-7.35</v>
      </c>
      <c r="AD37" s="73" t="n">
        <v>-7.63</v>
      </c>
      <c r="AE37" s="73" t="n">
        <v>-9.640000000000001</v>
      </c>
      <c r="AF37" s="73" t="n">
        <v>-12.45</v>
      </c>
      <c r="AG37" s="73" t="n">
        <v>10.58</v>
      </c>
      <c r="AH37" s="73" t="n">
        <v>8.18</v>
      </c>
      <c r="AI37" s="73" t="n">
        <v>4.81</v>
      </c>
      <c r="AJ37" s="73" t="n">
        <v>-9.73</v>
      </c>
      <c r="AK37" s="73" t="n">
        <v>-12.34</v>
      </c>
      <c r="AL37" s="73" t="n">
        <v>-5.34</v>
      </c>
      <c r="AM37" s="73" t="n">
        <v>5.34</v>
      </c>
      <c r="AN37" s="73" t="n">
        <v>2.7</v>
      </c>
      <c r="AO37" s="73" t="n">
        <v>2.84</v>
      </c>
      <c r="AP37" s="63" t="inlineStr">
        <is>
          <t>Hang Seng Properties sub-index</t>
        </is>
      </c>
      <c r="AQ37" s="73" t="n">
        <v>-46.69</v>
      </c>
      <c r="AR37" s="64" t="inlineStr">
        <is>
          <t>2026-08-21</t>
        </is>
      </c>
      <c r="AS37" s="65" t="n">
        <v>279</v>
      </c>
      <c r="AT37" s="68" t="n">
        <v>26.9</v>
      </c>
      <c r="AU37" s="63" t="inlineStr">
        <is>
          <t>Y</t>
        </is>
      </c>
      <c r="AV37" s="74" t="n">
        <v>153.5</v>
      </c>
      <c r="AW37" s="74" t="n"/>
      <c r="AX37" s="74" t="n">
        <v>106.9</v>
      </c>
      <c r="AY37" s="74" t="n">
        <v>14.8</v>
      </c>
      <c r="AZ37" s="75" t="inlineStr">
        <is>
          <t>N</t>
        </is>
      </c>
      <c r="BA37" s="76">
        <f>IF('BBG Verify'!K37="","not filed — run on terminal",'BBG Verify'!K37)</f>
        <v/>
      </c>
      <c r="BB37" s="63" t="inlineStr">
        <is>
          <t>N/A</t>
        </is>
      </c>
      <c r="BC37" s="63" t="inlineStr">
        <is>
          <t>N/A</t>
        </is>
      </c>
      <c r="BD37" s="63" t="inlineStr">
        <is>
          <t>N/A</t>
        </is>
      </c>
      <c r="BE37" s="63" t="inlineStr">
        <is>
          <t>N/A</t>
        </is>
      </c>
      <c r="BF37" s="63" t="inlineStr">
        <is>
          <t>N/A</t>
        </is>
      </c>
      <c r="BG37" s="75" t="n"/>
      <c r="BH37" s="63" t="inlineStr">
        <is>
          <t>Credit Suisse (Hong Kong) Limited; DBS Asia Capital Limited; J.P. Morgan Securities (Asia Pacific) Limited</t>
        </is>
      </c>
      <c r="BI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3" t="inlineStr">
        <is>
          <t>Credit Suisse (Hong Kong) Limited; DBS Asia Capital Limited; J.P. Morgan Securities (Asia Pacific) Limited</t>
        </is>
      </c>
      <c r="BK37" s="77">
        <f>HYPERLINK("https://www1.hkexnews.hk/listedco/listconews/sehk/2021/0505/2021050500053.pdf","prospectus")</f>
        <v/>
      </c>
      <c r="BL37" s="77">
        <f>HYPERLINK("https://www1.hkexnews.hk/listedco/listconews/sehk/2021/0514/2021051400092.htm","allotment")</f>
        <v/>
      </c>
      <c r="BM37" s="77">
        <f>HYPERLINK("https://www1.hkexnews.hk/listedco/listconews/sehk/2021/0609/2021060900679.pdf","stabilisation")</f>
        <v/>
      </c>
      <c r="BN37" s="75" t="n"/>
      <c r="BO37" s="63" t="inlineStr">
        <is>
          <t>A/H: no A-share listing · sponsor: English name not in the filing text; AAStocks 保薦人 shown</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7" t="n">
        <v>10.25</v>
      </c>
      <c r="W38" s="63" t="inlineStr">
        <is>
          <t>China Sichuan International Investment Limited; Golden Star International Pty Limited; Green Better; Keltic Investment (HK) Limited; Neptune Investments Holdings Limited; Peak Reinsurance Company Limited</t>
        </is>
      </c>
      <c r="X38" s="63" t="inlineStr">
        <is>
          <t>sichuan;golden-star;green;keltic;neptune;peak</t>
        </is>
      </c>
      <c r="Y38" s="67" t="n">
        <v>7.7</v>
      </c>
      <c r="Z38" s="63" t="inlineStr">
        <is>
          <t>partial</t>
        </is>
      </c>
      <c r="AA38" s="72" t="n">
        <v>0.53</v>
      </c>
      <c r="AB38" s="73" t="n">
        <v>0</v>
      </c>
      <c r="AC38" s="73" t="n">
        <v>0.53</v>
      </c>
      <c r="AD38" s="73" t="n">
        <v>5</v>
      </c>
      <c r="AE38" s="73" t="n">
        <v>-25.79</v>
      </c>
      <c r="AF38" s="73" t="n">
        <v>-45.26</v>
      </c>
      <c r="AG38" s="73" t="n">
        <v>4.45</v>
      </c>
      <c r="AH38" s="73" t="n">
        <v>-26.18</v>
      </c>
      <c r="AI38" s="73" t="n">
        <v>-45.55</v>
      </c>
      <c r="AJ38" s="73" t="n">
        <v>3.61</v>
      </c>
      <c r="AK38" s="73" t="n">
        <v>-26.66</v>
      </c>
      <c r="AL38" s="73" t="n">
        <v>-35.18</v>
      </c>
      <c r="AM38" s="73" t="n">
        <v>-26.45</v>
      </c>
      <c r="AN38" s="73" t="n">
        <v>0.87</v>
      </c>
      <c r="AO38" s="73" t="n">
        <v>0.27</v>
      </c>
      <c r="AP38" s="63" t="inlineStr">
        <is>
          <t>Hang Seng Properties sub-index</t>
        </is>
      </c>
      <c r="AQ38" s="73" t="n">
        <v>-51.05</v>
      </c>
      <c r="AR38" s="64" t="inlineStr">
        <is>
          <t>2026-08-20</t>
        </is>
      </c>
      <c r="AS38" s="65" t="n">
        <v>647.1</v>
      </c>
      <c r="AT38" s="68" t="n">
        <v>120.7</v>
      </c>
      <c r="AU38" s="63" t="inlineStr">
        <is>
          <t>Y</t>
        </is>
      </c>
      <c r="AV38" s="74" t="n">
        <v>30.5</v>
      </c>
      <c r="AW38" s="74" t="n"/>
      <c r="AX38" s="74" t="n">
        <v>5.9</v>
      </c>
      <c r="AY38" s="74" t="n">
        <v>5.7</v>
      </c>
      <c r="AZ38" s="75" t="inlineStr">
        <is>
          <t>N</t>
        </is>
      </c>
      <c r="BA38" s="76">
        <f>IF('BBG Verify'!K38="","not filed — run on terminal",'BBG Verify'!K38)</f>
        <v/>
      </c>
      <c r="BB38" s="63" t="inlineStr">
        <is>
          <t>N/A</t>
        </is>
      </c>
      <c r="BC38" s="63" t="inlineStr">
        <is>
          <t>N/A</t>
        </is>
      </c>
      <c r="BD38" s="63" t="inlineStr">
        <is>
          <t>N/A</t>
        </is>
      </c>
      <c r="BE38" s="63" t="inlineStr">
        <is>
          <t>N/A</t>
        </is>
      </c>
      <c r="BF38" s="63" t="inlineStr">
        <is>
          <t>N/A</t>
        </is>
      </c>
      <c r="BG38" s="75" t="inlineStr">
        <is>
          <t>ABCI Capital Limited</t>
        </is>
      </c>
      <c r="BH38" s="63" t="inlineStr">
        <is>
          <t>ABCI Capital Limited</t>
        </is>
      </c>
      <c r="BI38" s="63" t="inlineStr">
        <is>
          <t>ABCI Capital Limited; Haitong International Securities Company Limited; CMB International Capital Limited; CLSA Limited; CMBC Securities Company Limited; China Everbright Securities (HK) Limited</t>
        </is>
      </c>
      <c r="BJ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7">
        <f>HYPERLINK("https://www1.hkexnews.hk/listedco/listconews/sehk/2021/0511/2021051100021.pdf","prospectus")</f>
        <v/>
      </c>
      <c r="BL38" s="77">
        <f>HYPERLINK("https://www1.hkexnews.hk/listedco/listconews/sehk/2021/0524/2021052400010.htm","allotment")</f>
        <v/>
      </c>
      <c r="BM38" s="77">
        <f>HYPERLINK("https://www1.hkexnews.hk/listedco/listconews/sehk/2021/0615/2021061500076.pdf","stabilisation")</f>
        <v/>
      </c>
      <c r="BN38" s="75" t="n"/>
      <c r="BO38" s="63" t="inlineStr">
        <is>
          <t>A/H: no A-share listing</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3632</v>
      </c>
      <c r="J39" s="63" t="inlineStr">
        <is>
          <t>net proceeds</t>
        </is>
      </c>
      <c r="K39" s="66" t="n"/>
      <c r="L39" s="66" t="n">
        <v>43.36</v>
      </c>
      <c r="M39" s="66" t="n">
        <v>40.36</v>
      </c>
      <c r="N39" s="63" t="inlineStr">
        <is>
          <t>N</t>
        </is>
      </c>
      <c r="O39" s="67" t="n">
        <v>93.09999999999999</v>
      </c>
      <c r="P39" s="67" t="n"/>
      <c r="Q39" s="68" t="n">
        <v>266382.9</v>
      </c>
      <c r="R39" s="63" t="inlineStr">
        <is>
          <t>aastocks:上市市值 at the struck price</t>
        </is>
      </c>
      <c r="S39" s="69" t="n">
        <v>715.61</v>
      </c>
      <c r="T39" s="70" t="n">
        <v>10.8</v>
      </c>
      <c r="U39" s="71" t="n">
        <v>48.33</v>
      </c>
      <c r="V39" s="67" t="n">
        <v>0.7</v>
      </c>
      <c r="W39" s="63" t="inlineStr">
        <is>
          <t>China Chengtong Investment Company Limited; Internet Fund IIIA Pte Ltd; Matthews Funds; Oaktree Emerging Markets Equity Fund, L.P; SoftBank Group; The Blackstone Group Inc</t>
        </is>
      </c>
      <c r="X39" s="63" t="inlineStr">
        <is>
          <t>chengtong;internet;matthews;oaktree;softbank;blackstone</t>
        </is>
      </c>
      <c r="Y39" s="67" t="n">
        <v>10</v>
      </c>
      <c r="Z39" s="63" t="n"/>
      <c r="AA39" s="72" t="n">
        <v>3.32</v>
      </c>
      <c r="AB39" s="73" t="n">
        <v>14.1</v>
      </c>
      <c r="AC39" s="73" t="n">
        <v>-9.449999999999999</v>
      </c>
      <c r="AD39" s="73" t="n">
        <v>16.33</v>
      </c>
      <c r="AE39" s="73" t="n">
        <v>4.19</v>
      </c>
      <c r="AF39" s="73" t="n">
        <v>-24.18</v>
      </c>
      <c r="AG39" s="73" t="n">
        <v>12.59</v>
      </c>
      <c r="AH39" s="73" t="n">
        <v>0.84</v>
      </c>
      <c r="AI39" s="73" t="n">
        <v>-26.62</v>
      </c>
      <c r="AJ39" s="73" t="n">
        <v>15.58</v>
      </c>
      <c r="AK39" s="73" t="n">
        <v>-0.14</v>
      </c>
      <c r="AL39" s="73" t="n">
        <v>-9.92</v>
      </c>
      <c r="AM39" s="73" t="n">
        <v>-4.79</v>
      </c>
      <c r="AN39" s="73" t="n">
        <v>4.33</v>
      </c>
      <c r="AO39" s="73" t="n">
        <v>5.63</v>
      </c>
      <c r="AP39" s="63" t="inlineStr">
        <is>
          <t>Hang Seng Commerce &amp; Industry sub-index</t>
        </is>
      </c>
      <c r="AQ39" s="73" t="n">
        <v>-71.04000000000001</v>
      </c>
      <c r="AR39" s="64" t="inlineStr">
        <is>
          <t>2026-08-20</t>
        </is>
      </c>
      <c r="AS39" s="65" t="n">
        <v>80712.2</v>
      </c>
      <c r="AT39" s="68" t="n">
        <v>-4441</v>
      </c>
      <c r="AU39" s="63" t="inlineStr">
        <is>
          <t>N</t>
        </is>
      </c>
      <c r="AV39" s="63" t="inlineStr">
        <is>
          <t>n/m</t>
        </is>
      </c>
      <c r="AW39" s="74" t="n"/>
      <c r="AX39" s="74" t="n">
        <v>8.9</v>
      </c>
      <c r="AY39" s="74" t="n">
        <v>3.3</v>
      </c>
      <c r="AZ39" s="75" t="inlineStr">
        <is>
          <t>N</t>
        </is>
      </c>
      <c r="BA39" s="76">
        <f>IF('BBG Verify'!K39="","not filed — run on terminal",'BBG Verify'!K39)</f>
        <v/>
      </c>
      <c r="BB39" s="63" t="inlineStr">
        <is>
          <t>N/A</t>
        </is>
      </c>
      <c r="BC39" s="63" t="inlineStr">
        <is>
          <t>N/A</t>
        </is>
      </c>
      <c r="BD39" s="63" t="inlineStr">
        <is>
          <t>N/A</t>
        </is>
      </c>
      <c r="BE39" s="63" t="inlineStr">
        <is>
          <t>N/A</t>
        </is>
      </c>
      <c r="BF39" s="63" t="inlineStr">
        <is>
          <t>N/A</t>
        </is>
      </c>
      <c r="BG39" s="75" t="inlineStr">
        <is>
          <t>BofA Securities; Goldman Sachs; Haitong International</t>
        </is>
      </c>
      <c r="BH39" s="63" t="inlineStr">
        <is>
          <t>Haitong International Capital Limited; Merrill Lynch (Asia Pacific) Limited; Goldman Sachs (Asia) L.L.C.</t>
        </is>
      </c>
      <c r="BI39" s="63"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7">
        <f>HYPERLINK("https://www1.hkexnews.hk/listedco/listconews/sehk/2021/0517/2021051700091.pdf","prospectus")</f>
        <v/>
      </c>
      <c r="BL39" s="77">
        <f>HYPERLINK("https://www1.hkexnews.hk/listedco/listconews/sehk/2021/0527/2021052700014.htm","allotment")</f>
        <v/>
      </c>
      <c r="BM39" s="63" t="n"/>
      <c r="BN39" s="75" t="n"/>
      <c r="BO39" s="63"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117.97</v>
      </c>
      <c r="J40" s="63" t="inlineStr">
        <is>
          <t>net proceeds</t>
        </is>
      </c>
      <c r="K40" s="66" t="n">
        <v>2.4</v>
      </c>
      <c r="L40" s="66" t="n">
        <v>3.2</v>
      </c>
      <c r="M40" s="66" t="n">
        <v>3</v>
      </c>
      <c r="N40" s="63" t="inlineStr">
        <is>
          <t>N</t>
        </is>
      </c>
      <c r="O40" s="67" t="n">
        <v>93.8</v>
      </c>
      <c r="P40" s="67" t="n">
        <v>75</v>
      </c>
      <c r="Q40" s="68" t="n">
        <v>10380.1</v>
      </c>
      <c r="R40" s="63" t="inlineStr">
        <is>
          <t>aastocks:上市市值 at the struck price</t>
        </is>
      </c>
      <c r="S40" s="69" t="n">
        <v>4.99</v>
      </c>
      <c r="T40" s="70" t="n">
        <v>0.72</v>
      </c>
      <c r="U40" s="71" t="n">
        <v>39.7</v>
      </c>
      <c r="V40" s="67" t="n">
        <v>0.6899999999999999</v>
      </c>
      <c r="W40" s="63" t="inlineStr">
        <is>
          <t>Lucky Advent Limited</t>
        </is>
      </c>
      <c r="X40" s="63" t="inlineStr">
        <is>
          <t>lucky</t>
        </is>
      </c>
      <c r="Y40" s="67" t="n">
        <v>10</v>
      </c>
      <c r="Z40" s="63" t="inlineStr">
        <is>
          <t>lapsed</t>
        </is>
      </c>
      <c r="AA40" s="72" t="n">
        <v>-12</v>
      </c>
      <c r="AB40" s="73" t="n">
        <v>-16.67</v>
      </c>
      <c r="AC40" s="73" t="n">
        <v>5.6</v>
      </c>
      <c r="AD40" s="73" t="n">
        <v>-9</v>
      </c>
      <c r="AE40" s="73" t="n">
        <v>-23.67</v>
      </c>
      <c r="AF40" s="73" t="n">
        <v>-38.33</v>
      </c>
      <c r="AG40" s="73" t="n">
        <v>3.41</v>
      </c>
      <c r="AH40" s="73" t="n">
        <v>-13.26</v>
      </c>
      <c r="AI40" s="73" t="n">
        <v>-29.92</v>
      </c>
      <c r="AJ40" s="73" t="n">
        <v>-6.86</v>
      </c>
      <c r="AK40" s="73" t="n">
        <v>-20.27</v>
      </c>
      <c r="AL40" s="73" t="n">
        <v>-25.76</v>
      </c>
      <c r="AM40" s="73" t="n">
        <v>-11.26</v>
      </c>
      <c r="AN40" s="73" t="n">
        <v>-3.4</v>
      </c>
      <c r="AO40" s="73" t="n">
        <v>-2</v>
      </c>
      <c r="AP40" s="63" t="inlineStr">
        <is>
          <t>Hang Seng Properties sub-index</t>
        </is>
      </c>
      <c r="AQ40" s="73" t="n">
        <v>-97.03</v>
      </c>
      <c r="AR40" s="64" t="inlineStr">
        <is>
          <t>2026-08-21</t>
        </is>
      </c>
      <c r="AS40" s="65" t="n">
        <v>1267.2</v>
      </c>
      <c r="AT40" s="68" t="n">
        <v>749.1</v>
      </c>
      <c r="AU40" s="63" t="inlineStr">
        <is>
          <t>Y</t>
        </is>
      </c>
      <c r="AV40" s="74" t="n">
        <v>13.9</v>
      </c>
      <c r="AW40" s="74" t="n"/>
      <c r="AX40" s="74" t="n">
        <v>6.1</v>
      </c>
      <c r="AY40" s="74" t="n">
        <v>8.199999999999999</v>
      </c>
      <c r="AZ40" s="75" t="inlineStr">
        <is>
          <t>N</t>
        </is>
      </c>
      <c r="BA40" s="76">
        <f>IF('BBG Verify'!K40="","not filed — run on terminal",'BBG Verify'!K40)</f>
        <v/>
      </c>
      <c r="BB40" s="63" t="inlineStr">
        <is>
          <t>N/A</t>
        </is>
      </c>
      <c r="BC40" s="63" t="inlineStr">
        <is>
          <t>N/A</t>
        </is>
      </c>
      <c r="BD40" s="63" t="inlineStr">
        <is>
          <t>N/A</t>
        </is>
      </c>
      <c r="BE40" s="63" t="inlineStr">
        <is>
          <t>N/A</t>
        </is>
      </c>
      <c r="BF40" s="63" t="inlineStr">
        <is>
          <t>N/A</t>
        </is>
      </c>
      <c r="BG40" s="75" t="inlineStr">
        <is>
          <t>ICBC International Capital Limited; CCB International Capital Limited; Sole financial advisor to CCRE and our Company BNP Paribas Securities (Asia) Limited</t>
        </is>
      </c>
      <c r="BH40" s="63" t="inlineStr">
        <is>
          <t>CCB International Capital Limited; ICBC International Capital Limited</t>
        </is>
      </c>
      <c r="BI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7">
        <f>HYPERLINK("https://www1.hkexnews.hk/listedco/listconews/sehk/2021/0518/2021051800033.pdf","prospectus")</f>
        <v/>
      </c>
      <c r="BL40" s="77">
        <f>HYPERLINK("https://www1.hkexnews.hk/listedco/listconews/sehk/2021/0528/2021052800048.htm","allotment")</f>
        <v/>
      </c>
      <c r="BM40" s="77">
        <f>HYPERLINK("https://www1.hkexnews.hk/listedco/listconews/sehk/2021/0623/2021062301182.pdf","stabilisation")</f>
        <v/>
      </c>
      <c r="BN40" s="75" t="n"/>
      <c r="BO40" s="63" t="inlineStr">
        <is>
          <t>A/H: no A-share listing · market cap: estimate from deal size / offer % of enlarged capital disagreed with the published listing cap — published figure adopted</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c r="L41" s="66" t="n">
        <v>173</v>
      </c>
      <c r="M41" s="66" t="n">
        <v>173</v>
      </c>
      <c r="N41" s="63" t="inlineStr">
        <is>
          <t>Y</t>
        </is>
      </c>
      <c r="O41" s="67" t="n">
        <v>100</v>
      </c>
      <c r="P41" s="67" t="n"/>
      <c r="Q41" s="68" t="n">
        <v>24373.6</v>
      </c>
      <c r="R41" s="63" t="inlineStr">
        <is>
          <t>prospectus:stated market capitalisation</t>
        </is>
      </c>
      <c r="S41" s="69" t="n">
        <v>2079.16</v>
      </c>
      <c r="T41" s="70" t="n">
        <v>114.7</v>
      </c>
      <c r="U41" s="71" t="n">
        <v>0</v>
      </c>
      <c r="V41" s="67" t="n">
        <v>11.95</v>
      </c>
      <c r="W41" s="63" t="n"/>
      <c r="X41" s="63" t="n"/>
      <c r="Y41" s="67" t="n">
        <v>10</v>
      </c>
      <c r="Z41" s="63" t="inlineStr">
        <is>
          <t>full</t>
        </is>
      </c>
      <c r="AA41" s="72" t="n">
        <v>131.79</v>
      </c>
      <c r="AB41" s="73" t="n">
        <v>131.21</v>
      </c>
      <c r="AC41" s="73" t="n">
        <v>0.25</v>
      </c>
      <c r="AD41" s="73" t="n">
        <v>144.51</v>
      </c>
      <c r="AE41" s="73" t="n">
        <v>141.97</v>
      </c>
      <c r="AF41" s="73" t="n">
        <v>109.36</v>
      </c>
      <c r="AG41" s="73" t="n">
        <v>5.49</v>
      </c>
      <c r="AH41" s="73" t="n">
        <v>4.39</v>
      </c>
      <c r="AI41" s="73" t="n">
        <v>-9.68</v>
      </c>
      <c r="AJ41" s="73" t="n">
        <v>141.81</v>
      </c>
      <c r="AK41" s="73" t="n">
        <v>141.37</v>
      </c>
      <c r="AL41" s="73" t="n">
        <v>123.22</v>
      </c>
      <c r="AM41" s="73" t="n">
        <v>0.89</v>
      </c>
      <c r="AN41" s="73" t="n">
        <v>0.6</v>
      </c>
      <c r="AO41" s="73" t="n">
        <v>3.5</v>
      </c>
      <c r="AP41" s="63" t="inlineStr">
        <is>
          <t>China Biotech ETF (HS biotech proxy)</t>
        </is>
      </c>
      <c r="AQ41" s="73" t="n">
        <v>-47.4</v>
      </c>
      <c r="AR41" s="64" t="inlineStr">
        <is>
          <t>2026-08-20</t>
        </is>
      </c>
      <c r="AS41" s="65" t="n">
        <v>898.2</v>
      </c>
      <c r="AT41" s="68" t="n">
        <v>166</v>
      </c>
      <c r="AU41" s="63" t="inlineStr">
        <is>
          <t>Y</t>
        </is>
      </c>
      <c r="AV41" s="74" t="n">
        <v>146.8</v>
      </c>
      <c r="AW41" s="74" t="n">
        <v>282.1</v>
      </c>
      <c r="AX41" s="74" t="n">
        <v>70.59999999999999</v>
      </c>
      <c r="AY41" s="74" t="n">
        <v>27.1</v>
      </c>
      <c r="AZ41" s="75" t="inlineStr">
        <is>
          <t>N</t>
        </is>
      </c>
      <c r="BA41" s="76">
        <f>IF('BBG Verify'!K41="","not filed — run on terminal",'BBG Verify'!K41)</f>
        <v/>
      </c>
      <c r="BB41" s="63" t="inlineStr">
        <is>
          <t>N/A</t>
        </is>
      </c>
      <c r="BC41" s="63" t="inlineStr">
        <is>
          <t>N/A</t>
        </is>
      </c>
      <c r="BD41" s="63" t="inlineStr">
        <is>
          <t>N/A</t>
        </is>
      </c>
      <c r="BE41" s="63" t="inlineStr">
        <is>
          <t>N/A</t>
        </is>
      </c>
      <c r="BF41" s="63" t="inlineStr">
        <is>
          <t>N/A</t>
        </is>
      </c>
      <c r="BG41" s="7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3" t="inlineStr">
        <is>
          <t>China International Capital Corporation Hong Kong Securities Limited; Goldman Sachs (Asia) L.L.C.</t>
        </is>
      </c>
      <c r="BI41" s="63" t="inlineStr">
        <is>
          <t>China International Capital Corporation Hong Kong Securities Limited; Goldman Sachs (Asia) L.L.C.</t>
        </is>
      </c>
      <c r="BJ41" s="63" t="inlineStr">
        <is>
          <t>China International Capital Corporation Hong Kong Securities Limited; Goldman Sachs (Asia) L.L.C.</t>
        </is>
      </c>
      <c r="BK41" s="77">
        <f>HYPERLINK("https://www1.hkexnews.hk/listedco/listconews/sehk/2021/0603/2021060300011.pdf","prospectus")</f>
        <v/>
      </c>
      <c r="BL41" s="77">
        <f>HYPERLINK("https://www1.hkexnews.hk/listedco/listconews/sehk/2021/0615/2021061500010.htm","allotment")</f>
        <v/>
      </c>
      <c r="BM41" s="77">
        <f>HYPERLINK("https://www1.hkexnews.hk/listedco/listconews/sehk/2021/0708/2021070801042.pdf","stabilisation")</f>
        <v/>
      </c>
      <c r="BN41" s="75" t="n"/>
      <c r="BO41" s="63" t="inlineStr">
        <is>
          <t>range low: cap-only pricing — the filing publishes a Maximum Offer Price and no indicative floor · 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7" t="n">
        <v>12.78</v>
      </c>
      <c r="W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3" t="inlineStr">
        <is>
          <t>affin;southern;cloudalpha;dymon;foresight;gf;ivyrock;lav;wt</t>
        </is>
      </c>
      <c r="Y42" s="67" t="n">
        <v>5.5</v>
      </c>
      <c r="Z42" s="63" t="inlineStr">
        <is>
          <t>lapsed</t>
        </is>
      </c>
      <c r="AA42" s="72" t="n">
        <v>-8.539999999999999</v>
      </c>
      <c r="AB42" s="73" t="n">
        <v>-17.53</v>
      </c>
      <c r="AC42" s="73" t="n">
        <v>10.9</v>
      </c>
      <c r="AD42" s="73" t="n">
        <v>-3.05</v>
      </c>
      <c r="AE42" s="73" t="n">
        <v>-8.69</v>
      </c>
      <c r="AF42" s="73" t="n">
        <v>32.16</v>
      </c>
      <c r="AG42" s="73" t="n">
        <v>6</v>
      </c>
      <c r="AH42" s="73" t="n">
        <v>-0.16</v>
      </c>
      <c r="AI42" s="73" t="n">
        <v>44.5</v>
      </c>
      <c r="AJ42" s="73" t="n">
        <v>-9.98</v>
      </c>
      <c r="AK42" s="73" t="n">
        <v>-12.93</v>
      </c>
      <c r="AL42" s="73" t="n">
        <v>45.72</v>
      </c>
      <c r="AM42" s="73" t="n">
        <v>-2.78</v>
      </c>
      <c r="AN42" s="73" t="n">
        <v>4.24</v>
      </c>
      <c r="AO42" s="73" t="n">
        <v>2.62</v>
      </c>
      <c r="AP42" s="63" t="inlineStr">
        <is>
          <t>China Biotech ETF (HS biotech proxy)</t>
        </is>
      </c>
      <c r="AQ42" s="73" t="n">
        <v>-56.71</v>
      </c>
      <c r="AR42" s="64" t="inlineStr">
        <is>
          <t>2026-08-20</t>
        </is>
      </c>
      <c r="AS42" s="65" t="n">
        <v>34.1</v>
      </c>
      <c r="AT42" s="68" t="n">
        <v>-291.6</v>
      </c>
      <c r="AU42" s="63" t="inlineStr">
        <is>
          <t>N</t>
        </is>
      </c>
      <c r="AV42" s="63" t="inlineStr">
        <is>
          <t>n/m</t>
        </is>
      </c>
      <c r="AW42" s="74" t="n"/>
      <c r="AX42" s="74" t="n"/>
      <c r="AY42" s="74" t="n">
        <v>519.1</v>
      </c>
      <c r="AZ42" s="75" t="inlineStr">
        <is>
          <t>N</t>
        </is>
      </c>
      <c r="BA42" s="76">
        <f>IF('BBG Verify'!K42="","not filed — run on terminal",'BBG Verify'!K42)</f>
        <v/>
      </c>
      <c r="BB42" s="63" t="inlineStr">
        <is>
          <t>N/A</t>
        </is>
      </c>
      <c r="BC42" s="63" t="inlineStr">
        <is>
          <t>N/A</t>
        </is>
      </c>
      <c r="BD42" s="63" t="inlineStr">
        <is>
          <t>N/A</t>
        </is>
      </c>
      <c r="BE42" s="63" t="inlineStr">
        <is>
          <t>N/A</t>
        </is>
      </c>
      <c r="BF42" s="63" t="inlineStr">
        <is>
          <t>N/A</t>
        </is>
      </c>
      <c r="BG42" s="75" t="inlineStr">
        <is>
          <t>Goldman Sachs (Asia) L.L.C; UBS Securities Hong Kong Limited</t>
        </is>
      </c>
      <c r="BH42" s="63" t="inlineStr">
        <is>
          <t>UBS Securities Hong Kong Limited; Goldman Sachs (Asia) L.L.C.</t>
        </is>
      </c>
      <c r="BI42" s="63" t="inlineStr">
        <is>
          <t>Goldman Sachs (Asia) L.L.C; UBS AG Hong Kong Branch; CLSA Limited; Credit Suisse (Hong Kong) Limited</t>
        </is>
      </c>
      <c r="BJ42" s="63" t="inlineStr">
        <is>
          <t>CLSA Limited; Credit Suisse (Hong Kong) Limited; Goldman Sachs (Asia) L.L.C.; UBS AG Hong Kong Branch</t>
        </is>
      </c>
      <c r="BK42" s="77">
        <f>HYPERLINK("https://www1.hkexnews.hk/listedco/listconews/sehk/2021/0607/2021060700009.pdf","prospectus")</f>
        <v/>
      </c>
      <c r="BL42" s="77">
        <f>HYPERLINK("https://www1.hkexnews.hk/listedco/listconews/sehk/2021/0617/2021061700006.htm","allotment")</f>
        <v/>
      </c>
      <c r="BM42" s="77">
        <f>HYPERLINK("https://www1.hkexnews.hk/listedco/listconews/sehk/2021/0712/2021071200836.pdf","stabilisation")</f>
        <v/>
      </c>
      <c r="BN42" s="75" t="n"/>
      <c r="BO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7" t="n">
        <v>14.56</v>
      </c>
      <c r="W43" s="63" t="inlineStr">
        <is>
          <t>CITIC-Prudential Life Insurance Company Limited; Harvest Private Wealth Thematic Fund SPC</t>
        </is>
      </c>
      <c r="X43" s="63" t="inlineStr">
        <is>
          <t>citic;harvest</t>
        </is>
      </c>
      <c r="Y43" s="67" t="n">
        <v>16.97</v>
      </c>
      <c r="Z43" s="63" t="inlineStr">
        <is>
          <t>lapsed</t>
        </is>
      </c>
      <c r="AA43" s="72" t="n">
        <v>-11.89</v>
      </c>
      <c r="AB43" s="73" t="n">
        <v>-10.03</v>
      </c>
      <c r="AC43" s="73" t="n">
        <v>-2.07</v>
      </c>
      <c r="AD43" s="73" t="n">
        <v>-11.32</v>
      </c>
      <c r="AE43" s="73" t="n">
        <v>-26.93</v>
      </c>
      <c r="AF43" s="73" t="n">
        <v>-29.08</v>
      </c>
      <c r="AG43" s="73" t="n">
        <v>0.65</v>
      </c>
      <c r="AH43" s="73" t="n">
        <v>-17.07</v>
      </c>
      <c r="AI43" s="73" t="n">
        <v>-19.51</v>
      </c>
      <c r="AJ43" s="73" t="n">
        <v>-16.57</v>
      </c>
      <c r="AK43" s="73" t="n">
        <v>-23.51</v>
      </c>
      <c r="AL43" s="73" t="n">
        <v>-13.87</v>
      </c>
      <c r="AM43" s="73" t="n">
        <v>-11.66</v>
      </c>
      <c r="AN43" s="73" t="n">
        <v>-3.42</v>
      </c>
      <c r="AO43" s="73" t="n">
        <v>-5.41</v>
      </c>
      <c r="AP43" s="63" t="inlineStr">
        <is>
          <t>Hang Seng Commerce &amp; Industry sub-index</t>
        </is>
      </c>
      <c r="AQ43" s="73" t="n">
        <v>-38.4</v>
      </c>
      <c r="AR43" s="64" t="inlineStr">
        <is>
          <t>2026-08-20</t>
        </is>
      </c>
      <c r="AS43" s="65" t="n">
        <v>12959.3</v>
      </c>
      <c r="AT43" s="68" t="n">
        <v>1694.7</v>
      </c>
      <c r="AU43" s="63" t="inlineStr">
        <is>
          <t>Y</t>
        </is>
      </c>
      <c r="AV43" s="74" t="n">
        <v>18.7</v>
      </c>
      <c r="AW43" s="74" t="n">
        <v>12.3</v>
      </c>
      <c r="AX43" s="74" t="n"/>
      <c r="AY43" s="74" t="n">
        <v>2.4</v>
      </c>
      <c r="AZ43" s="75" t="inlineStr">
        <is>
          <t>N</t>
        </is>
      </c>
      <c r="BA43" s="76">
        <f>IF('BBG Verify'!K43="","not filed — run on terminal",'BBG Verify'!K43)</f>
        <v/>
      </c>
      <c r="BB43" s="63" t="inlineStr">
        <is>
          <t>N/A</t>
        </is>
      </c>
      <c r="BC43" s="63" t="inlineStr">
        <is>
          <t>N/A</t>
        </is>
      </c>
      <c r="BD43" s="63" t="inlineStr">
        <is>
          <t>N/A</t>
        </is>
      </c>
      <c r="BE43" s="63" t="inlineStr">
        <is>
          <t>N/A</t>
        </is>
      </c>
      <c r="BF43" s="63" t="inlineStr">
        <is>
          <t>N/A</t>
        </is>
      </c>
      <c r="BG43" s="75" t="inlineStr">
        <is>
          <t>Huatai Financial Holdings (Hong Kong) Limited; Credit Suisse (Hong Kong) Limited</t>
        </is>
      </c>
      <c r="BH43" s="63" t="inlineStr">
        <is>
          <t>Huatai Financial Holdings (Hong Kong) Limited; Credit Suisse (Hong Kong) Limited</t>
        </is>
      </c>
      <c r="BI43" s="63"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7">
        <f>HYPERLINK("https://www1.hkexnews.hk/listedco/listconews/sehk/2021/0607/2021060700019.pdf","prospectus")</f>
        <v/>
      </c>
      <c r="BL43" s="77">
        <f>HYPERLINK("https://www1.hkexnews.hk/listedco/listconews/sehk/2021/0617/2021061700034.htm","allotment")</f>
        <v/>
      </c>
      <c r="BM43" s="77">
        <f>HYPERLINK("https://www1.hkexnews.hk/listedco/listconews/sehk/2021/0711/2021071100011.pdf","stabilisation")</f>
        <v/>
      </c>
      <c r="BN43" s="75" t="n"/>
      <c r="BO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7" t="n">
        <v>12.46</v>
      </c>
      <c r="W44" s="63" t="inlineStr">
        <is>
          <t>China Universal Asset Management Limited Liability Company; Huayou HongKong Holding Limited; Hwa-An International Limited; Jingzhirui (Suzhou) Microelectronic Technology Co., Ltd; WuXi Biologics HealthCare Venture; Zhang Ning</t>
        </is>
      </c>
      <c r="X44" s="63" t="inlineStr">
        <is>
          <t>universal;huayou;hwa;jingzhirui;wuxi;zhang-ning</t>
        </is>
      </c>
      <c r="Y44" s="67" t="n">
        <v>12.37</v>
      </c>
      <c r="Z44" s="63" t="inlineStr">
        <is>
          <t>full</t>
        </is>
      </c>
      <c r="AA44" s="72" t="n">
        <v>258.87</v>
      </c>
      <c r="AB44" s="73" t="n">
        <v>100</v>
      </c>
      <c r="AC44" s="73" t="n">
        <v>79.44</v>
      </c>
      <c r="AD44" s="73" t="n">
        <v>459.68</v>
      </c>
      <c r="AE44" s="73" t="n">
        <v>303.23</v>
      </c>
      <c r="AF44" s="73" t="n">
        <v>290.73</v>
      </c>
      <c r="AG44" s="73" t="n">
        <v>55.96</v>
      </c>
      <c r="AH44" s="73" t="n">
        <v>12.36</v>
      </c>
      <c r="AI44" s="73" t="n">
        <v>8.880000000000001</v>
      </c>
      <c r="AJ44" s="73" t="n">
        <v>465.73</v>
      </c>
      <c r="AK44" s="73" t="n">
        <v>316.25</v>
      </c>
      <c r="AL44" s="73" t="n">
        <v>309.79</v>
      </c>
      <c r="AM44" s="73" t="n">
        <v>25.1</v>
      </c>
      <c r="AN44" s="73" t="n">
        <v>-13.02</v>
      </c>
      <c r="AO44" s="73" t="n">
        <v>-12.74</v>
      </c>
      <c r="AP44" s="63" t="inlineStr">
        <is>
          <t>Hang Seng Commerce &amp; Industry sub-index</t>
        </is>
      </c>
      <c r="AQ44" s="73" t="n">
        <v>203.23</v>
      </c>
      <c r="AR44" s="64" t="inlineStr">
        <is>
          <t>2026-08-21</t>
        </is>
      </c>
      <c r="AS44" s="65" t="n">
        <v>3109</v>
      </c>
      <c r="AT44" s="68" t="n">
        <v>161.3</v>
      </c>
      <c r="AU44" s="63" t="inlineStr">
        <is>
          <t>Y</t>
        </is>
      </c>
      <c r="AV44" s="74" t="n">
        <v>17.1</v>
      </c>
      <c r="AW44" s="74" t="n"/>
      <c r="AX44" s="74" t="n">
        <v>13.4</v>
      </c>
      <c r="AY44" s="74" t="n">
        <v>0.9</v>
      </c>
      <c r="AZ44" s="75" t="inlineStr">
        <is>
          <t>N</t>
        </is>
      </c>
      <c r="BA44" s="76">
        <f>IF('BBG Verify'!K44="","not filed — run on terminal",'BBG Verify'!K44)</f>
        <v/>
      </c>
      <c r="BB44" s="63" t="inlineStr">
        <is>
          <t>N/A</t>
        </is>
      </c>
      <c r="BC44" s="63" t="inlineStr">
        <is>
          <t>N/A</t>
        </is>
      </c>
      <c r="BD44" s="63" t="inlineStr">
        <is>
          <t>N/A</t>
        </is>
      </c>
      <c r="BE44" s="63" t="inlineStr">
        <is>
          <t>N/A</t>
        </is>
      </c>
      <c r="BF44" s="63" t="inlineStr">
        <is>
          <t>N/A</t>
        </is>
      </c>
      <c r="BG44" s="75" t="inlineStr">
        <is>
          <t>Sinolink Securities (Hong Kong) Company Limited</t>
        </is>
      </c>
      <c r="BH44" s="63" t="inlineStr">
        <is>
          <t>Sinolink Securities (Hong Kong) Company Limited</t>
        </is>
      </c>
      <c r="BI44" s="63" t="inlineStr">
        <is>
          <t>Sinolink Securities (Hong Kong) Company Limited; Haitong International Securities Company Limited; Innovax Securities Limited</t>
        </is>
      </c>
      <c r="BJ44" s="63" t="inlineStr">
        <is>
          <t>Futu Securities International (Hong Kong) Limited; Haitong International Securities Company Limited; Innovax Securities Limited; Livermore Holdings Limited; Sinolink Securities (Hong Kong) Company Limited; Sinomax Securities Limited</t>
        </is>
      </c>
      <c r="BK44" s="77">
        <f>HYPERLINK("https://www1.hkexnews.hk/listedco/listconews/sehk/2021/0615/2021061500023.pdf","prospectus")</f>
        <v/>
      </c>
      <c r="BL44" s="77">
        <f>HYPERLINK("https://www1.hkexnews.hk/listedco/listconews/sehk/2021/0625/2021062500064.htm","allotment")</f>
        <v/>
      </c>
      <c r="BM44" s="77">
        <f>HYPERLINK("https://www1.hkexnews.hk/listedco/listconews/sehk/2021/0719/2021071900868.pdf","stabilisation")</f>
        <v/>
      </c>
      <c r="BN44" s="75" t="n"/>
      <c r="BO44" s="63" t="inlineStr">
        <is>
          <t>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264.62</v>
      </c>
      <c r="J45" s="63" t="inlineStr">
        <is>
          <t>net proceeds</t>
        </is>
      </c>
      <c r="K45" s="66" t="n">
        <v>4.88</v>
      </c>
      <c r="L45" s="66" t="n">
        <v>6.52</v>
      </c>
      <c r="M45" s="66" t="n">
        <v>4.88</v>
      </c>
      <c r="N45" s="63" t="inlineStr">
        <is>
          <t>N</t>
        </is>
      </c>
      <c r="O45" s="67" t="n">
        <v>74.8</v>
      </c>
      <c r="P45" s="67" t="n">
        <v>0</v>
      </c>
      <c r="Q45" s="68" t="n">
        <v>7215.7</v>
      </c>
      <c r="R45" s="63" t="inlineStr">
        <is>
          <t>prospectus:stated market capitalisation</t>
        </is>
      </c>
      <c r="S45" s="69" t="n">
        <v>9.880000000000001</v>
      </c>
      <c r="T45" s="70" t="n">
        <v>2.4</v>
      </c>
      <c r="U45" s="71" t="n">
        <v>10.76</v>
      </c>
      <c r="V45" s="67" t="n">
        <v>3.27</v>
      </c>
      <c r="W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3" t="inlineStr">
        <is>
          <t>crotona;goingup;jiang-ganjun;kaiser;ke;keltic;new;sensepower;sunfly;wealthking</t>
        </is>
      </c>
      <c r="Y45" s="67" t="n">
        <v>6.11</v>
      </c>
      <c r="Z45" s="63" t="inlineStr">
        <is>
          <t>partial</t>
        </is>
      </c>
      <c r="AA45" s="72" t="n">
        <v>0</v>
      </c>
      <c r="AB45" s="73" t="n">
        <v>-1.64</v>
      </c>
      <c r="AC45" s="73" t="n">
        <v>1.67</v>
      </c>
      <c r="AD45" s="73" t="n">
        <v>10.04</v>
      </c>
      <c r="AE45" s="73" t="n">
        <v>-13.93</v>
      </c>
      <c r="AF45" s="73" t="n">
        <v>-33.81</v>
      </c>
      <c r="AG45" s="73" t="n">
        <v>10.04</v>
      </c>
      <c r="AH45" s="73" t="n">
        <v>-13.93</v>
      </c>
      <c r="AI45" s="73" t="n">
        <v>-33.81</v>
      </c>
      <c r="AJ45" s="73" t="n">
        <v>12.74</v>
      </c>
      <c r="AK45" s="73" t="n">
        <v>-5.36</v>
      </c>
      <c r="AL45" s="73" t="n">
        <v>-13.45</v>
      </c>
      <c r="AM45" s="73" t="n">
        <v>-5.77</v>
      </c>
      <c r="AN45" s="73" t="n">
        <v>-8.57</v>
      </c>
      <c r="AO45" s="73" t="n">
        <v>-8.16</v>
      </c>
      <c r="AP45" s="63" t="inlineStr">
        <is>
          <t>Hang Seng Properties sub-index</t>
        </is>
      </c>
      <c r="AQ45" s="73" t="n">
        <v>-63.63</v>
      </c>
      <c r="AR45" s="64" t="inlineStr">
        <is>
          <t>2026-08-21</t>
        </is>
      </c>
      <c r="AS45" s="65" t="n">
        <v>1284.9</v>
      </c>
      <c r="AT45" s="68" t="n">
        <v>224.1</v>
      </c>
      <c r="AU45" s="63" t="inlineStr">
        <is>
          <t>Y</t>
        </is>
      </c>
      <c r="AV45" s="74" t="n">
        <v>32.2</v>
      </c>
      <c r="AW45" s="74" t="n"/>
      <c r="AX45" s="74" t="n">
        <v>8</v>
      </c>
      <c r="AY45" s="74" t="n">
        <v>5.6</v>
      </c>
      <c r="AZ45" s="75" t="inlineStr">
        <is>
          <t>N</t>
        </is>
      </c>
      <c r="BA45" s="76">
        <f>IF('BBG Verify'!K45="","not filed — run on terminal",'BBG Verify'!K45)</f>
        <v/>
      </c>
      <c r="BB45" s="63" t="inlineStr">
        <is>
          <t>N/A</t>
        </is>
      </c>
      <c r="BC45" s="63" t="inlineStr">
        <is>
          <t>N/A</t>
        </is>
      </c>
      <c r="BD45" s="63" t="inlineStr">
        <is>
          <t>N/A</t>
        </is>
      </c>
      <c r="BE45" s="63" t="inlineStr">
        <is>
          <t>N/A</t>
        </is>
      </c>
      <c r="BF45" s="63" t="inlineStr">
        <is>
          <t>N/A</t>
        </is>
      </c>
      <c r="BG45" s="75" t="inlineStr">
        <is>
          <t>ABCI Capital Limited; China Securities (International) Corporate Finance Company Limited; CCB International Capital Limited; Yue Xiu Capital Limited</t>
        </is>
      </c>
      <c r="BH45" s="63" t="inlineStr">
        <is>
          <t>CCB International Capital Limited; China Securities (International) Corporate Finance Company Limited; Yue Xiu Capital Limited; ABCI Capital Limited</t>
        </is>
      </c>
      <c r="BI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7">
        <f>HYPERLINK("https://www1.hkexnews.hk/listedco/listconews/sehk/2021/0616/2021061600035.pdf","prospectus")</f>
        <v/>
      </c>
      <c r="BL45" s="77">
        <f>HYPERLINK("https://www1.hkexnews.hk/listedco/listconews/sehk/2021/0625/2021062500178.htm","allotment")</f>
        <v/>
      </c>
      <c r="BM45" s="77">
        <f>HYPERLINK("https://www1.hkexnews.hk/listedco/listconews/sehk/2021/0721/2021072101184.pdf","stabilisation")</f>
        <v/>
      </c>
      <c r="BN45" s="75" t="n"/>
      <c r="BO45" s="63" t="inlineStr">
        <is>
          <t>A/H: no A-share listing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45</v>
      </c>
      <c r="M46" s="66" t="n">
        <v>40.1</v>
      </c>
      <c r="N46" s="63" t="inlineStr">
        <is>
          <t>N</t>
        </is>
      </c>
      <c r="O46" s="67" t="n">
        <v>89.09999999999999</v>
      </c>
      <c r="P46" s="67" t="n"/>
      <c r="Q46" s="68" t="n">
        <v>38183.2</v>
      </c>
      <c r="R46" s="63" t="inlineStr">
        <is>
          <t>prospectus:stated market capitalisation</t>
        </is>
      </c>
      <c r="S46" s="69" t="n">
        <v>5.23</v>
      </c>
      <c r="T46" s="70" t="n">
        <v>5</v>
      </c>
      <c r="U46" s="71" t="n">
        <v>44.9</v>
      </c>
      <c r="V46" s="67" t="n">
        <v>6.02</v>
      </c>
      <c r="W46" s="63" t="inlineStr">
        <is>
          <t>CA Fern Parent; CICC Grandeur (Xiamen) Equity Investment Fund Partnership (L.P.); CPP Investments; General Atlantic Singapore HCM Pte. Ltd; HBM Healthcare Investments (Cayman) Ltd</t>
        </is>
      </c>
      <c r="X46" s="63" t="inlineStr">
        <is>
          <t>ca;china-international;cpp;general;hbm</t>
        </is>
      </c>
      <c r="Y46" s="67" t="n">
        <v>5.1</v>
      </c>
      <c r="Z46" s="63" t="n"/>
      <c r="AA46" s="72" t="n">
        <v>50.37</v>
      </c>
      <c r="AB46" s="73" t="n">
        <v>28.18</v>
      </c>
      <c r="AC46" s="73" t="n">
        <v>17.31</v>
      </c>
      <c r="AD46" s="73" t="n">
        <v>42.02</v>
      </c>
      <c r="AE46" s="73" t="n">
        <v>76.06</v>
      </c>
      <c r="AF46" s="73" t="n">
        <v>44.26</v>
      </c>
      <c r="AG46" s="73" t="n">
        <v>-5.55</v>
      </c>
      <c r="AH46" s="73" t="n">
        <v>17.08</v>
      </c>
      <c r="AI46" s="73" t="n">
        <v>-4.06</v>
      </c>
      <c r="AJ46" s="73" t="n">
        <v>48.98</v>
      </c>
      <c r="AK46" s="73" t="n">
        <v>85.86</v>
      </c>
      <c r="AL46" s="73" t="n">
        <v>62.51</v>
      </c>
      <c r="AM46" s="73" t="n">
        <v>26.24</v>
      </c>
      <c r="AN46" s="73" t="n">
        <v>-9.800000000000001</v>
      </c>
      <c r="AO46" s="73" t="n">
        <v>-9.16</v>
      </c>
      <c r="AP46" s="63" t="inlineStr">
        <is>
          <t>China Biotech ETF (HS biotech proxy)</t>
        </is>
      </c>
      <c r="AQ46" s="73" t="n">
        <v>-50.72</v>
      </c>
      <c r="AR46" s="64" t="inlineStr">
        <is>
          <t>2026-08-20</t>
        </is>
      </c>
      <c r="AS46" s="65" t="n">
        <v>1778.2</v>
      </c>
      <c r="AT46" s="68" t="n">
        <v>-901</v>
      </c>
      <c r="AU46" s="63" t="inlineStr">
        <is>
          <t>N</t>
        </is>
      </c>
      <c r="AV46" s="63" t="inlineStr">
        <is>
          <t>n/m</t>
        </is>
      </c>
      <c r="AW46" s="74" t="n"/>
      <c r="AX46" s="74" t="n"/>
      <c r="AY46" s="74" t="n">
        <v>21.5</v>
      </c>
      <c r="AZ46" s="75" t="inlineStr">
        <is>
          <t>N</t>
        </is>
      </c>
      <c r="BA46" s="76">
        <f>IF('BBG Verify'!K46="","not filed — run on terminal",'BBG Verify'!K46)</f>
        <v/>
      </c>
      <c r="BB46" s="63" t="inlineStr">
        <is>
          <t>N/A</t>
        </is>
      </c>
      <c r="BC46" s="63" t="inlineStr">
        <is>
          <t>N/A</t>
        </is>
      </c>
      <c r="BD46" s="63" t="inlineStr">
        <is>
          <t>N/A</t>
        </is>
      </c>
      <c r="BE46" s="63" t="inlineStr">
        <is>
          <t>N/A</t>
        </is>
      </c>
      <c r="BF46" s="63" t="inlineStr">
        <is>
          <t>N/A</t>
        </is>
      </c>
      <c r="BG46" s="75" t="inlineStr">
        <is>
          <t>Morgan Stanley Asia Limited; Jefferies Hong Kong Limited; China International Capital Corporation Hong Kong Securities Limited</t>
        </is>
      </c>
      <c r="BH46" s="63" t="inlineStr">
        <is>
          <t>China International Capital Corporation Hong Kong Securities Limited; Jefferies Hong Kong Limited; Morgan Stanley Asia Limited</t>
        </is>
      </c>
      <c r="BI46" s="63"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7">
        <f>HYPERLINK("https://www1.hkexnews.hk/listedco/listconews/sehk/2021/0618/2021061800169.pdf","prospectus")</f>
        <v/>
      </c>
      <c r="BL46" s="77">
        <f>HYPERLINK("https://www1.hkexnews.hk/listedco/listconews/sehk/2021/0629/2021062900052.htm","allotment")</f>
        <v/>
      </c>
      <c r="BM46" s="63" t="n"/>
      <c r="BN46" s="75" t="n"/>
      <c r="BO46" s="63" t="inlineStr">
        <is>
          <t>P/E: n/m — loss-making at IPO (use P/S) · greenshoe: end-of-stabilisation notice not located · range low: cap-only pricing — the filing publishes a Maximum Offer Price and no indicative floor · A/H: no A-share listing</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7" t="n">
        <v>12.54</v>
      </c>
      <c r="W47" s="63" t="inlineStr">
        <is>
          <t>China Southern Asset Management Co., Ltd; GF Fund Management Co., Ltd; Grand Rejuvenation Premium Selection Fund SPC; UBS Funds</t>
        </is>
      </c>
      <c r="X47" s="63" t="inlineStr">
        <is>
          <t>southern;gf;grand-rejuvenation;ubs</t>
        </is>
      </c>
      <c r="Y47" s="67" t="n">
        <v>15</v>
      </c>
      <c r="Z47" s="63" t="inlineStr">
        <is>
          <t>lapsed</t>
        </is>
      </c>
      <c r="AA47" s="72" t="n">
        <v>-13.54</v>
      </c>
      <c r="AB47" s="73" t="n">
        <v>-4.75</v>
      </c>
      <c r="AC47" s="73" t="n">
        <v>-9.23</v>
      </c>
      <c r="AD47" s="73" t="n">
        <v>-19.09</v>
      </c>
      <c r="AE47" s="73" t="n">
        <v>-42.93</v>
      </c>
      <c r="AF47" s="73" t="n">
        <v>-39.19</v>
      </c>
      <c r="AG47" s="73" t="n">
        <v>-6.42</v>
      </c>
      <c r="AH47" s="73" t="n">
        <v>-33.99</v>
      </c>
      <c r="AI47" s="73" t="n">
        <v>-29.67</v>
      </c>
      <c r="AJ47" s="73" t="n">
        <v>-9.67</v>
      </c>
      <c r="AK47" s="73" t="n">
        <v>-28.13</v>
      </c>
      <c r="AL47" s="73" t="n">
        <v>-20.13</v>
      </c>
      <c r="AM47" s="73" t="n">
        <v>-19.79</v>
      </c>
      <c r="AN47" s="73" t="n">
        <v>-14.8</v>
      </c>
      <c r="AO47" s="73" t="n">
        <v>-14.2</v>
      </c>
      <c r="AP47" s="63" t="inlineStr">
        <is>
          <t>Hang Seng Commerce &amp; Industry sub-index</t>
        </is>
      </c>
      <c r="AQ47" s="73" t="n">
        <v>-96.39</v>
      </c>
      <c r="AR47" s="64" t="inlineStr">
        <is>
          <t>2026-08-20</t>
        </is>
      </c>
      <c r="AS47" s="65" t="n">
        <v>3362.9</v>
      </c>
      <c r="AT47" s="68" t="n">
        <v>-223.6</v>
      </c>
      <c r="AU47" s="63" t="inlineStr">
        <is>
          <t>N</t>
        </is>
      </c>
      <c r="AV47" s="63" t="inlineStr">
        <is>
          <t>n/m</t>
        </is>
      </c>
      <c r="AW47" s="74" t="n"/>
      <c r="AX47" s="74" t="n"/>
      <c r="AY47" s="74" t="n">
        <v>8.800000000000001</v>
      </c>
      <c r="AZ47" s="75" t="inlineStr">
        <is>
          <t>N</t>
        </is>
      </c>
      <c r="BA47" s="76">
        <f>IF('BBG Verify'!K47="","not filed — run on terminal",'BBG Verify'!K47)</f>
        <v/>
      </c>
      <c r="BB47" s="63" t="inlineStr">
        <is>
          <t>N/A</t>
        </is>
      </c>
      <c r="BC47" s="63" t="inlineStr">
        <is>
          <t>N/A</t>
        </is>
      </c>
      <c r="BD47" s="63" t="inlineStr">
        <is>
          <t>N/A</t>
        </is>
      </c>
      <c r="BE47" s="63" t="inlineStr">
        <is>
          <t>N/A</t>
        </is>
      </c>
      <c r="BF47" s="63" t="inlineStr">
        <is>
          <t>N/A</t>
        </is>
      </c>
      <c r="BG47" s="75" t="inlineStr">
        <is>
          <t>J.P. Morgan Securities (Far East) Limited; CMB International Capital Limited; Huatai Financial Holdings (Hong Kong) Limited</t>
        </is>
      </c>
      <c r="BH47" s="63" t="inlineStr">
        <is>
          <t>J.P. Morgan Securities (Far East) Limited; Huatai Financial Holdings (Hong Kong) Limited; CMB International Capital Limited</t>
        </is>
      </c>
      <c r="BI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7">
        <f>HYPERLINK("https://www1.hkexnews.hk/listedco/listconews/sehk/2021/0618/2021061800009.pdf","prospectus")</f>
        <v/>
      </c>
      <c r="BL47" s="77">
        <f>HYPERLINK("https://www1.hkexnews.hk/listedco/listconews/sehk/2021/0629/2021062900074.htm","allotment")</f>
        <v/>
      </c>
      <c r="BM47" s="77">
        <f>HYPERLINK("https://www1.hkexnews.hk/listedco/listconews/sehk/2021/0723/2021072300965.pdf","stabilisation")</f>
        <v/>
      </c>
      <c r="BN47" s="75" t="n"/>
      <c r="BO47" s="63" t="inlineStr">
        <is>
          <t>P/E: n/m — loss-making at IPO (use P/S) · A/H: no A-share listing</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4.6</v>
      </c>
      <c r="M48" s="66" t="n">
        <v>3.7</v>
      </c>
      <c r="N48" s="63" t="inlineStr">
        <is>
          <t>N</t>
        </is>
      </c>
      <c r="O48" s="67" t="n">
        <v>80.40000000000001</v>
      </c>
      <c r="P48" s="67" t="n"/>
      <c r="Q48" s="68" t="n">
        <v>7400</v>
      </c>
      <c r="R48" s="63" t="inlineStr">
        <is>
          <t>derived:deal size / offer % of enlarged capital</t>
        </is>
      </c>
      <c r="S48" s="69" t="n">
        <v>1.3</v>
      </c>
      <c r="T48" s="70" t="n">
        <v>3.65</v>
      </c>
      <c r="U48" s="71" t="n">
        <v>32.6</v>
      </c>
      <c r="V48" s="67" t="n">
        <v>16.85</v>
      </c>
      <c r="W48" s="63" t="inlineStr">
        <is>
          <t>He Sheng Overseas Holdings Limited; King Terrace Limited; Lam Yuen Ying; TX Capital Value Fund</t>
        </is>
      </c>
      <c r="X48" s="63" t="inlineStr">
        <is>
          <t>he-sheng;king;lam;tx</t>
        </is>
      </c>
      <c r="Y48" s="67" t="n">
        <v>10</v>
      </c>
      <c r="Z48" s="63" t="n"/>
      <c r="AA48" s="72" t="n">
        <v>8.109999999999999</v>
      </c>
      <c r="AB48" s="73" t="n">
        <v>2.97</v>
      </c>
      <c r="AC48" s="73" t="n">
        <v>4.99</v>
      </c>
      <c r="AD48" s="73" t="n">
        <v>11.89</v>
      </c>
      <c r="AE48" s="73" t="n">
        <v>8.92</v>
      </c>
      <c r="AF48" s="73" t="n">
        <v>14.05</v>
      </c>
      <c r="AG48" s="73" t="n">
        <v>3.5</v>
      </c>
      <c r="AH48" s="73" t="n">
        <v>0.75</v>
      </c>
      <c r="AI48" s="73" t="n">
        <v>5.49</v>
      </c>
      <c r="AJ48" s="73" t="n">
        <v>15.43</v>
      </c>
      <c r="AK48" s="73" t="n">
        <v>16.43</v>
      </c>
      <c r="AL48" s="73" t="n">
        <v>27.06</v>
      </c>
      <c r="AM48" s="73" t="n">
        <v>7.32</v>
      </c>
      <c r="AN48" s="73" t="n">
        <v>-7.51</v>
      </c>
      <c r="AO48" s="73" t="n">
        <v>-6.57</v>
      </c>
      <c r="AP48" s="63" t="inlineStr">
        <is>
          <t>Hang Seng Properties sub-index</t>
        </is>
      </c>
      <c r="AQ48" s="73" t="n">
        <v>-93.84</v>
      </c>
      <c r="AR48" s="64" t="inlineStr">
        <is>
          <t>2026-08-21</t>
        </is>
      </c>
      <c r="AS48" s="65" t="n">
        <v>885.8</v>
      </c>
      <c r="AT48" s="68" t="n">
        <v>178.8</v>
      </c>
      <c r="AU48" s="63" t="inlineStr">
        <is>
          <t>Y</t>
        </is>
      </c>
      <c r="AV48" s="74" t="n">
        <v>41.4</v>
      </c>
      <c r="AW48" s="74" t="n"/>
      <c r="AX48" s="74" t="n"/>
      <c r="AY48" s="74" t="n">
        <v>8.4</v>
      </c>
      <c r="AZ48" s="75" t="inlineStr">
        <is>
          <t>N</t>
        </is>
      </c>
      <c r="BA48" s="76">
        <f>IF('BBG Verify'!K48="","not filed — run on terminal",'BBG Verify'!K48)</f>
        <v/>
      </c>
      <c r="BB48" s="63" t="inlineStr">
        <is>
          <t>N/A</t>
        </is>
      </c>
      <c r="BC48" s="63" t="inlineStr">
        <is>
          <t>N/A</t>
        </is>
      </c>
      <c r="BD48" s="63" t="inlineStr">
        <is>
          <t>N/A</t>
        </is>
      </c>
      <c r="BE48" s="63" t="inlineStr">
        <is>
          <t>N/A</t>
        </is>
      </c>
      <c r="BF48" s="63" t="inlineStr">
        <is>
          <t>N/A</t>
        </is>
      </c>
      <c r="BG48" s="75" t="inlineStr">
        <is>
          <t>UBS AG Hong Kong Branch</t>
        </is>
      </c>
      <c r="BH48" s="63" t="inlineStr">
        <is>
          <t>UBS Securities Hong Kong Limited; Merrill Lynch (Asia Pacific) Limited; Merrill Lynch Far East Limited; UBS AG Hong Kong Branch</t>
        </is>
      </c>
      <c r="BI48" s="63" t="inlineStr">
        <is>
          <t>CLSA Limited; CRIC Securities Company Limited; Futu Securities International (Hong Kong) Limited; The Hongkong and Shanghai Banking Corporation Limited; Merrill Lynch (Asia Pacific) Limited; UBS AG Hong Kong Branch</t>
        </is>
      </c>
      <c r="BJ48" s="63" t="inlineStr">
        <is>
          <t>CLSA Limited; CRIC Securities Company Limited; Futu Securities International (Hong Kong) Limited; The Hongkong and Shanghai Banking Corporation Limited; Merrill Lynch (Asia Pacific) Limited; UBS AG Hong Kong Branch</t>
        </is>
      </c>
      <c r="BK48" s="77">
        <f>HYPERLINK("https://www1.hkexnews.hk/listedco/listconews/sehk/2021/0621/2021062100009.pdf","prospectus")</f>
        <v/>
      </c>
      <c r="BL48" s="77">
        <f>HYPERLINK("https://www1.hkexnews.hk/listedco/listconews/sehk/2021/0630/2021063000308.htm","allotment")</f>
        <v/>
      </c>
      <c r="BM48" s="63" t="n"/>
      <c r="BN48" s="75" t="n"/>
      <c r="BO48" s="63" t="inlineStr">
        <is>
          <t>greenshoe: end-of-stabilisation notice not located · range low: cap-only pricing — the filing publishes a Maximum Offer Price and no indicative floor · A/H: no A-share listing</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7" t="n">
        <v>11.46</v>
      </c>
      <c r="W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3" t="inlineStr">
        <is>
          <t>aihc;athos;boyu;cormorant;fidelity;gaoling;yhg;hudson;ivyrock;lake;octagon;sage;snow</t>
        </is>
      </c>
      <c r="Y49" s="67" t="n">
        <v>15.94</v>
      </c>
      <c r="Z49" s="63" t="inlineStr">
        <is>
          <t>full</t>
        </is>
      </c>
      <c r="AA49" s="72" t="n">
        <v>40.52</v>
      </c>
      <c r="AB49" s="73" t="n">
        <v>28.81</v>
      </c>
      <c r="AC49" s="73" t="n">
        <v>9.09</v>
      </c>
      <c r="AD49" s="73" t="n">
        <v>29.51</v>
      </c>
      <c r="AE49" s="73" t="n">
        <v>8.67</v>
      </c>
      <c r="AF49" s="73" t="n">
        <v>-1.64</v>
      </c>
      <c r="AG49" s="73" t="n">
        <v>-7.84</v>
      </c>
      <c r="AH49" s="73" t="n">
        <v>-22.67</v>
      </c>
      <c r="AI49" s="73" t="n">
        <v>-30</v>
      </c>
      <c r="AJ49" s="73" t="n">
        <v>30.01</v>
      </c>
      <c r="AK49" s="73" t="n">
        <v>9.76</v>
      </c>
      <c r="AL49" s="73" t="n">
        <v>14.7</v>
      </c>
      <c r="AM49" s="73" t="n">
        <v>-22.13</v>
      </c>
      <c r="AN49" s="73" t="n">
        <v>-1.09</v>
      </c>
      <c r="AO49" s="73" t="n">
        <v>-0.54</v>
      </c>
      <c r="AP49" s="63" t="inlineStr">
        <is>
          <t>China Biotech ETF (HS biotech proxy)</t>
        </is>
      </c>
      <c r="AQ49" s="73" t="n">
        <v>-50.73</v>
      </c>
      <c r="AR49" s="64" t="inlineStr">
        <is>
          <t>2026-08-21</t>
        </is>
      </c>
      <c r="AS49" s="65" t="n">
        <v>30.4</v>
      </c>
      <c r="AT49" s="68" t="n">
        <v>-110.5</v>
      </c>
      <c r="AU49" s="63" t="inlineStr">
        <is>
          <t>N</t>
        </is>
      </c>
      <c r="AV49" s="63" t="inlineStr">
        <is>
          <t>n/m</t>
        </is>
      </c>
      <c r="AW49" s="74" t="n"/>
      <c r="AX49" s="74" t="n">
        <v>22.4</v>
      </c>
      <c r="AY49" s="74" t="n">
        <v>405.2</v>
      </c>
      <c r="AZ49" s="75" t="inlineStr">
        <is>
          <t>N</t>
        </is>
      </c>
      <c r="BA49" s="76">
        <f>IF('BBG Verify'!K49="","not filed — run on terminal",'BBG Verify'!K49)</f>
        <v/>
      </c>
      <c r="BB49" s="63" t="inlineStr">
        <is>
          <t>N/A</t>
        </is>
      </c>
      <c r="BC49" s="63" t="inlineStr">
        <is>
          <t>N/A</t>
        </is>
      </c>
      <c r="BD49" s="63" t="inlineStr">
        <is>
          <t>N/A</t>
        </is>
      </c>
      <c r="BE49" s="63" t="inlineStr">
        <is>
          <t>N/A</t>
        </is>
      </c>
      <c r="BF49" s="63" t="inlineStr">
        <is>
          <t>N/A</t>
        </is>
      </c>
      <c r="BG49" s="75" t="inlineStr">
        <is>
          <t>Morgan Stanley Asia Limited; CLSA Capital Markets Limited</t>
        </is>
      </c>
      <c r="BH49" s="63" t="inlineStr">
        <is>
          <t>Morgan Stanley Asia Limited; CLSA Capital Markets Limited</t>
        </is>
      </c>
      <c r="BI49" s="63"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3" t="inlineStr">
        <is>
          <t>China Industrial Securities International Capital Limited; CLSA Limited; CMB International Capital Limited; Essence International Securities (Hong Kong) Limited; ICBC International Securities Limited; Morgan Stanley Asia Limited</t>
        </is>
      </c>
      <c r="BK49" s="77">
        <f>HYPERLINK("https://www1.hkexnews.hk/listedco/listconews/sehk/2021/0622/2021062200009.pdf","prospectus")</f>
        <v/>
      </c>
      <c r="BL49" s="77">
        <f>HYPERLINK("https://www1.hkexnews.hk/listedco/listconews/sehk/2021/0702/2021070200028.htm","allotment")</f>
        <v/>
      </c>
      <c r="BM49" s="77">
        <f>HYPERLINK("https://www1.hkexnews.hk/listedco/listconews/sehk/2021/0726/2021072601655.pdf","stabilisation")</f>
        <v/>
      </c>
      <c r="BN49" s="75" t="n"/>
      <c r="BO49" s="63" t="inlineStr">
        <is>
          <t>P/E: n/m — loss-making at IPO (use P/S) · A/H: no A-share listing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c r="L50" s="66" t="n">
        <v>10.6</v>
      </c>
      <c r="M50" s="66" t="n">
        <v>10.6</v>
      </c>
      <c r="N50" s="63" t="inlineStr">
        <is>
          <t>Y</t>
        </is>
      </c>
      <c r="O50" s="67" t="n">
        <v>100</v>
      </c>
      <c r="P50" s="67" t="n"/>
      <c r="Q50" s="68" t="n">
        <v>7288.4</v>
      </c>
      <c r="R50" s="63" t="inlineStr">
        <is>
          <t>derived:deal size / offer % of enlarged capital</t>
        </is>
      </c>
      <c r="S50" s="69" t="n">
        <v>113.97</v>
      </c>
      <c r="T50" s="70" t="n">
        <v>17.83</v>
      </c>
      <c r="U50" s="71" t="n">
        <v>49.4</v>
      </c>
      <c r="V50" s="67" t="n">
        <v>12.58</v>
      </c>
      <c r="W50" s="63" t="inlineStr">
        <is>
          <t>Fullgoal Fund Management Co., Ltd; Gigantic Wealth Holdings Limited; GT Cedar Capital (Hong Kong) Limited; The Valliance Fund</t>
        </is>
      </c>
      <c r="X50" s="63" t="inlineStr">
        <is>
          <t>fullgoal;gigantic;gt;valliance</t>
        </is>
      </c>
      <c r="Y50" s="67" t="n">
        <v>15</v>
      </c>
      <c r="Z50" s="63" t="inlineStr">
        <is>
          <t>full</t>
        </is>
      </c>
      <c r="AA50" s="72" t="n">
        <v>33.02</v>
      </c>
      <c r="AB50" s="73" t="n">
        <v>0</v>
      </c>
      <c r="AC50" s="73" t="n">
        <v>33.02</v>
      </c>
      <c r="AD50" s="73" t="n">
        <v>44.34</v>
      </c>
      <c r="AE50" s="73" t="n">
        <v>25.47</v>
      </c>
      <c r="AF50" s="73" t="n">
        <v>-10.47</v>
      </c>
      <c r="AG50" s="73" t="n">
        <v>8.51</v>
      </c>
      <c r="AH50" s="73" t="n">
        <v>-5.68</v>
      </c>
      <c r="AI50" s="73" t="n">
        <v>-32.69</v>
      </c>
      <c r="AJ50" s="73" t="n">
        <v>39.55</v>
      </c>
      <c r="AK50" s="73" t="n">
        <v>21.82</v>
      </c>
      <c r="AL50" s="73" t="n">
        <v>2.92</v>
      </c>
      <c r="AM50" s="73" t="n">
        <v>-7.22</v>
      </c>
      <c r="AN50" s="73" t="n">
        <v>3.65</v>
      </c>
      <c r="AO50" s="73" t="n">
        <v>1.54</v>
      </c>
      <c r="AP50" s="63" t="inlineStr">
        <is>
          <t>China Biotech ETF (HS biotech proxy)</t>
        </is>
      </c>
      <c r="AQ50" s="73" t="n">
        <v>-75.98999999999999</v>
      </c>
      <c r="AR50" s="64" t="inlineStr">
        <is>
          <t>2026-08-20</t>
        </is>
      </c>
      <c r="AS50" s="65" t="n">
        <v>873.7</v>
      </c>
      <c r="AT50" s="68" t="n">
        <v>132.6</v>
      </c>
      <c r="AU50" s="63" t="inlineStr">
        <is>
          <t>Y</t>
        </is>
      </c>
      <c r="AV50" s="74" t="n">
        <v>55</v>
      </c>
      <c r="AW50" s="74" t="n"/>
      <c r="AX50" s="74" t="n">
        <v>8.5</v>
      </c>
      <c r="AY50" s="74" t="n">
        <v>8.300000000000001</v>
      </c>
      <c r="AZ50" s="75" t="inlineStr">
        <is>
          <t>N</t>
        </is>
      </c>
      <c r="BA50" s="76">
        <f>IF('BBG Verify'!K50="","not filed — run on terminal",'BBG Verify'!K50)</f>
        <v/>
      </c>
      <c r="BB50" s="63" t="inlineStr">
        <is>
          <t>N/A</t>
        </is>
      </c>
      <c r="BC50" s="63" t="inlineStr">
        <is>
          <t>N/A</t>
        </is>
      </c>
      <c r="BD50" s="63" t="inlineStr">
        <is>
          <t>N/A</t>
        </is>
      </c>
      <c r="BE50" s="63" t="inlineStr">
        <is>
          <t>N/A</t>
        </is>
      </c>
      <c r="BF50" s="63" t="inlineStr">
        <is>
          <t>N/A</t>
        </is>
      </c>
      <c r="BG50" s="75" t="inlineStr">
        <is>
          <t>Haitong International Capital Limited; Industrial and Commercial Bank of China (Asia) Limited; Hong Kong Share Registrar Computershare Hong Kong Investor Services Limited; Industrial and Commercial Bank of China Co., Ltd., Xiamen Xinglin Branch</t>
        </is>
      </c>
      <c r="BH50" s="63" t="inlineStr">
        <is>
          <t>Haitong International Capital Limited; Huatai Financial Holdings (Hong Kong) Limited</t>
        </is>
      </c>
      <c r="BI50" s="63" t="inlineStr">
        <is>
          <t>Huatai Financial Holdings (Hong Kong) Limited; Haitong International Securities Company Limited</t>
        </is>
      </c>
      <c r="BJ50" s="63" t="inlineStr">
        <is>
          <t>Huatai Financial Holdings (Hong Kong) Limited; Haitong International Securities Company Limited</t>
        </is>
      </c>
      <c r="BK50" s="77">
        <f>HYPERLINK("https://www1.hkexnews.hk/listedco/listconews/sehk/2021/0624/2021062400013.pdf","prospectus")</f>
        <v/>
      </c>
      <c r="BL50" s="77">
        <f>HYPERLINK("https://www1.hkexnews.hk/listedco/listconews/sehk/2021/0706/2021070600016.htm","allotment")</f>
        <v/>
      </c>
      <c r="BM50" s="77">
        <f>HYPERLINK("https://www1.hkexnews.hk/listedco/listconews/sehk/2021/0729/2021072901513.pdf","stabilisation")</f>
        <v/>
      </c>
      <c r="BN50" s="75" t="n"/>
      <c r="BO50" s="63" t="inlineStr">
        <is>
          <t>range low: cap-only pricing — the filing publishes a Maximum Offer Price and no indicative floor · 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7" t="n">
        <v>5.19</v>
      </c>
      <c r="W51" s="63" t="n"/>
      <c r="X51" s="63" t="n"/>
      <c r="Y51" s="67" t="n">
        <v>7.5</v>
      </c>
      <c r="Z51" s="63" t="inlineStr">
        <is>
          <t>partial</t>
        </is>
      </c>
      <c r="AA51" s="72" t="n">
        <v>0</v>
      </c>
      <c r="AB51" s="73" t="n">
        <v>1.82</v>
      </c>
      <c r="AC51" s="73" t="n">
        <v>-1.79</v>
      </c>
      <c r="AD51" s="73" t="n">
        <v>-8.48</v>
      </c>
      <c r="AE51" s="73" t="n">
        <v>-0.12</v>
      </c>
      <c r="AF51" s="73" t="n">
        <v>-17.7</v>
      </c>
      <c r="AG51" s="73" t="n">
        <v>-8.48</v>
      </c>
      <c r="AH51" s="73" t="n">
        <v>-0.12</v>
      </c>
      <c r="AI51" s="73" t="n">
        <v>-17.7</v>
      </c>
      <c r="AJ51" s="73" t="n">
        <v>-8.69</v>
      </c>
      <c r="AK51" s="73" t="n">
        <v>8.289999999999999</v>
      </c>
      <c r="AL51" s="73" t="n">
        <v>0.82</v>
      </c>
      <c r="AM51" s="73" t="n">
        <v>8.140000000000001</v>
      </c>
      <c r="AN51" s="73" t="n">
        <v>-8.41</v>
      </c>
      <c r="AO51" s="73" t="n">
        <v>-8.26</v>
      </c>
      <c r="AP51" s="63" t="inlineStr">
        <is>
          <t>Hang Seng Commerce &amp; Industry sub-index</t>
        </is>
      </c>
      <c r="AQ51" s="73" t="n">
        <v>-71.02</v>
      </c>
      <c r="AR51" s="64" t="inlineStr">
        <is>
          <t>2026-08-20</t>
        </is>
      </c>
      <c r="AS51" s="65" t="n">
        <v>6428.7</v>
      </c>
      <c r="AT51" s="68" t="n">
        <v>-3005.2</v>
      </c>
      <c r="AU51" s="63" t="inlineStr">
        <is>
          <t>N</t>
        </is>
      </c>
      <c r="AV51" s="63" t="inlineStr">
        <is>
          <t>n/m</t>
        </is>
      </c>
      <c r="AW51" s="74" t="n"/>
      <c r="AX51" s="74" t="n"/>
      <c r="AY51" s="74" t="n">
        <v>42</v>
      </c>
      <c r="AZ51" s="75" t="inlineStr">
        <is>
          <t>N</t>
        </is>
      </c>
      <c r="BA51" s="76">
        <f>IF('BBG Verify'!K51="","not filed — run on terminal",'BBG Verify'!K51)</f>
        <v/>
      </c>
      <c r="BB51" s="63" t="inlineStr">
        <is>
          <t>N/A</t>
        </is>
      </c>
      <c r="BC51" s="63" t="inlineStr">
        <is>
          <t>N/A</t>
        </is>
      </c>
      <c r="BD51" s="63" t="inlineStr">
        <is>
          <t>N/A</t>
        </is>
      </c>
      <c r="BE51" s="63" t="inlineStr">
        <is>
          <t>N/A</t>
        </is>
      </c>
      <c r="BF51" s="63" t="inlineStr">
        <is>
          <t>N/A</t>
        </is>
      </c>
      <c r="BG51" s="75" t="inlineStr">
        <is>
          <t>J.P. Morgan Securities (Far East) Limited; Merrill Lynch (Asia Pacific) Limited; J.P. Morgan Securities (Asia Pacific) Limited; Citigroup Global Markets Asia Limited</t>
        </is>
      </c>
      <c r="BH51" s="63" t="inlineStr">
        <is>
          <t>J.P. Morgan Securities (Far East) Limited; Merrill Lynch (Asia Pacific) Limited</t>
        </is>
      </c>
      <c r="BI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3" t="inlineStr">
        <is>
          <t>ABCI Securities Company Limited; BOCI Asia Limited; Citigroup Global Markets Asia Limited; CLSA Limited; Futu Securities International (Hong Kong) Limited; J.P. Morgan Securities (Asia Pacific) Limited; Merrill Lynch (Asia Pacific) Limited</t>
        </is>
      </c>
      <c r="BK51" s="77">
        <f>HYPERLINK("https://www1.hkexnews.hk/listedco/listconews/sehk/2021/0625/2021062500039.pdf","prospectus")</f>
        <v/>
      </c>
      <c r="BL51" s="77">
        <f>HYPERLINK("https://www1.hkexnews.hk/listedco/listconews/sehk/2021/0706/2021070600032.htm","allotment")</f>
        <v/>
      </c>
      <c r="BM51" s="77">
        <f>HYPERLINK("https://www1.hkexnews.hk/listedco/listconews/sehk/2021/0730/2021073001378.pdf","stabilisation")</f>
        <v/>
      </c>
      <c r="BN51" s="75" t="n"/>
      <c r="BO51"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7" t="n">
        <v>15.17</v>
      </c>
      <c r="W52" s="63" t="inlineStr">
        <is>
          <t>CURA International (Hong Kong) Investment Management Company Limited</t>
        </is>
      </c>
      <c r="X52" s="63" t="inlineStr">
        <is>
          <t>cura</t>
        </is>
      </c>
      <c r="Y52" s="67" t="n">
        <v>10</v>
      </c>
      <c r="Z52" s="63" t="inlineStr">
        <is>
          <t>partial</t>
        </is>
      </c>
      <c r="AA52" s="72" t="n">
        <v>41.51</v>
      </c>
      <c r="AB52" s="73" t="n">
        <v>88.68000000000001</v>
      </c>
      <c r="AC52" s="73" t="n">
        <v>-25</v>
      </c>
      <c r="AD52" s="73" t="n">
        <v>2.52</v>
      </c>
      <c r="AE52" s="73" t="n">
        <v>0</v>
      </c>
      <c r="AF52" s="73" t="n">
        <v>3.77</v>
      </c>
      <c r="AG52" s="73" t="n">
        <v>-27.55</v>
      </c>
      <c r="AH52" s="73" t="n">
        <v>-29.33</v>
      </c>
      <c r="AI52" s="73" t="n">
        <v>-26.67</v>
      </c>
      <c r="AJ52" s="73" t="n">
        <v>2.52</v>
      </c>
      <c r="AK52" s="73" t="n">
        <v>9.33</v>
      </c>
      <c r="AL52" s="73" t="n">
        <v>15.35</v>
      </c>
      <c r="AM52" s="73" t="n">
        <v>-21.35</v>
      </c>
      <c r="AN52" s="73" t="n">
        <v>-9.33</v>
      </c>
      <c r="AO52" s="73" t="n">
        <v>-7.98</v>
      </c>
      <c r="AP52" s="63" t="inlineStr">
        <is>
          <t>Hang Seng Properties sub-index</t>
        </is>
      </c>
      <c r="AQ52" s="73" t="n">
        <v>-95.44</v>
      </c>
      <c r="AR52" s="64" t="inlineStr">
        <is>
          <t>2026-08-19</t>
        </is>
      </c>
      <c r="AS52" s="65" t="n">
        <v>131.9</v>
      </c>
      <c r="AT52" s="68" t="n">
        <v>72.09999999999999</v>
      </c>
      <c r="AU52" s="63" t="inlineStr">
        <is>
          <t>Y</t>
        </is>
      </c>
      <c r="AV52" s="74" t="n">
        <v>22</v>
      </c>
      <c r="AW52" s="74" t="n"/>
      <c r="AX52" s="74" t="n">
        <v>1.9</v>
      </c>
      <c r="AY52" s="74" t="n">
        <v>12</v>
      </c>
      <c r="AZ52" s="75" t="inlineStr">
        <is>
          <t>N</t>
        </is>
      </c>
      <c r="BA52" s="76">
        <f>IF('BBG Verify'!K52="","not filed — run on terminal",'BBG Verify'!K52)</f>
        <v/>
      </c>
      <c r="BB52" s="63" t="inlineStr">
        <is>
          <t>N/A</t>
        </is>
      </c>
      <c r="BC52" s="63" t="inlineStr">
        <is>
          <t>N/A</t>
        </is>
      </c>
      <c r="BD52" s="63" t="inlineStr">
        <is>
          <t>N/A</t>
        </is>
      </c>
      <c r="BE52" s="63" t="inlineStr">
        <is>
          <t>N/A</t>
        </is>
      </c>
      <c r="BF52" s="63" t="inlineStr">
        <is>
          <t>N/A</t>
        </is>
      </c>
      <c r="BG52" s="75" t="inlineStr">
        <is>
          <t>Haitong International Capital Limited</t>
        </is>
      </c>
      <c r="BH52" s="63" t="inlineStr">
        <is>
          <t>Haitong International Capital Limited</t>
        </is>
      </c>
      <c r="BI52" s="63" t="inlineStr">
        <is>
          <t>Beta International Securities Limited; CCB International Capital Limited; China Industrial Securities International Capital Limited; CLSA Limited; CMB International Capital Corporation Limited; CRIC Securities Company Limited</t>
        </is>
      </c>
      <c r="BJ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7">
        <f>HYPERLINK("https://www1.hkexnews.hk/listedco/listconews/sehk/2021/0625/2021062500057.pdf","prospectus")</f>
        <v/>
      </c>
      <c r="BL52" s="77">
        <f>HYPERLINK("https://www1.hkexnews.hk/listedco/listconews/sehk/2021/0707/2021070700022.htm","allotment")</f>
        <v/>
      </c>
      <c r="BM52" s="77">
        <f>HYPERLINK("https://www1.hkexnews.hk/listedco/listconews/sehk/2021/0730/2021073001922.pdf","stabilisation")</f>
        <v/>
      </c>
      <c r="BN52" s="75" t="n"/>
      <c r="BO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7" t="n">
        <v>18.15</v>
      </c>
      <c r="W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3" t="inlineStr">
        <is>
          <t>aranda;boyu;double;dragon;hillhouse;hudson;invesco;janchor;lake;lav;octagon;sage;springhill;ubs;yi</t>
        </is>
      </c>
      <c r="Y53" s="67" t="n">
        <v>10.78</v>
      </c>
      <c r="Z53" s="63" t="inlineStr">
        <is>
          <t>full</t>
        </is>
      </c>
      <c r="AA53" s="72" t="n">
        <v>27.58</v>
      </c>
      <c r="AB53" s="73" t="n">
        <v>46.34</v>
      </c>
      <c r="AC53" s="73" t="n">
        <v>-12.82</v>
      </c>
      <c r="AD53" s="73" t="n">
        <v>27.95</v>
      </c>
      <c r="AE53" s="73" t="n">
        <v>22.51</v>
      </c>
      <c r="AF53" s="73" t="n">
        <v>-6.19</v>
      </c>
      <c r="AG53" s="73" t="n">
        <v>0.29</v>
      </c>
      <c r="AH53" s="73" t="n">
        <v>-3.97</v>
      </c>
      <c r="AI53" s="73" t="n">
        <v>-26.47</v>
      </c>
      <c r="AJ53" s="73" t="n">
        <v>26.02</v>
      </c>
      <c r="AK53" s="73" t="n">
        <v>25.29</v>
      </c>
      <c r="AL53" s="73" t="n">
        <v>7.58</v>
      </c>
      <c r="AM53" s="73" t="n">
        <v>-3.08</v>
      </c>
      <c r="AN53" s="73" t="n">
        <v>-2.78</v>
      </c>
      <c r="AO53" s="73" t="n">
        <v>-0.89</v>
      </c>
      <c r="AP53" s="63" t="inlineStr">
        <is>
          <t>China Biotech ETF (HS biotech proxy)</t>
        </is>
      </c>
      <c r="AQ53" s="73" t="n">
        <v>45.87</v>
      </c>
      <c r="AR53" s="64" t="inlineStr">
        <is>
          <t>2026-08-20</t>
        </is>
      </c>
      <c r="AS53" s="65" t="n">
        <v>0</v>
      </c>
      <c r="AT53" s="68" t="n">
        <v>-900.7</v>
      </c>
      <c r="AU53" s="63" t="inlineStr">
        <is>
          <t>N</t>
        </is>
      </c>
      <c r="AV53" s="63" t="inlineStr">
        <is>
          <t>n/m</t>
        </is>
      </c>
      <c r="AW53" s="74" t="n"/>
      <c r="AX53" s="74" t="n"/>
      <c r="AY53" s="63" t="inlineStr">
        <is>
          <t>pre-rev</t>
        </is>
      </c>
      <c r="AZ53" s="75" t="inlineStr">
        <is>
          <t>N</t>
        </is>
      </c>
      <c r="BA53" s="76">
        <f>IF('BBG Verify'!K53="","not filed — run on terminal",'BBG Verify'!K53)</f>
        <v/>
      </c>
      <c r="BB53" s="63" t="inlineStr">
        <is>
          <t>N/A</t>
        </is>
      </c>
      <c r="BC53" s="63" t="inlineStr">
        <is>
          <t>N/A</t>
        </is>
      </c>
      <c r="BD53" s="63" t="inlineStr">
        <is>
          <t>N/A</t>
        </is>
      </c>
      <c r="BE53" s="63" t="inlineStr">
        <is>
          <t>N/A</t>
        </is>
      </c>
      <c r="BF53" s="63" t="inlineStr">
        <is>
          <t>N/A</t>
        </is>
      </c>
      <c r="BG53" s="75" t="inlineStr">
        <is>
          <t>Morgan Stanley Asia Limited; China International Capital Corporation Hong Kong Securities Limited; Central, Hong Kong Huatai Financial Holdings (Hong Kong) Limited</t>
        </is>
      </c>
      <c r="BH53" s="63" t="inlineStr">
        <is>
          <t>China International Capital Corporation Hong Kong Securities Limited; Morgan Stanley Asia Limited; Huatai Financial Holdings (Hong Kong) Limited</t>
        </is>
      </c>
      <c r="BI53" s="63" t="inlineStr">
        <is>
          <t>Morgan Stanley Asia Limited; China International Capital Corporation Hong Kong Securities Limited; Central, Hong Kong Huatai Financial Holdings (Hong Kong) Limited; Morgan Stanley &amp; Co. International plc; China Everbright Securities (HK) Limited</t>
        </is>
      </c>
      <c r="BJ53" s="63" t="inlineStr">
        <is>
          <t>China Everbright Securities (HK) Limited; China International Capital Corporation Hong Kong Securities Limited; Huatai Financial Holdings (Hong Kong) Limited; Morgan Stanley Asia Limited</t>
        </is>
      </c>
      <c r="BK53" s="77">
        <f>HYPERLINK("https://www1.hkexnews.hk/listedco/listconews/sehk/2021/0625/2021062500031.pdf","prospectus")</f>
        <v/>
      </c>
      <c r="BL53" s="77">
        <f>HYPERLINK("https://www1.hkexnews.hk/listedco/listconews/sehk/2021/0707/2021070700054.htm","allotment")</f>
        <v/>
      </c>
      <c r="BM53" s="77">
        <f>HYPERLINK("https://www1.hkexnews.hk/listedco/listconews/sehk/2021/0730/2021073001918.pdf","stabilisation")</f>
        <v/>
      </c>
      <c r="BN53" s="75" t="n"/>
      <c r="BO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116.7</v>
      </c>
      <c r="J54" s="63" t="inlineStr">
        <is>
          <t>gross (price x shares)</t>
        </is>
      </c>
      <c r="K54" s="66" t="n">
        <v>3</v>
      </c>
      <c r="L54" s="66" t="n">
        <v>3.33</v>
      </c>
      <c r="M54" s="66" t="n">
        <v>3.28</v>
      </c>
      <c r="N54" s="63" t="inlineStr">
        <is>
          <t>N</t>
        </is>
      </c>
      <c r="O54" s="67" t="n">
        <v>98.5</v>
      </c>
      <c r="P54" s="67" t="n">
        <v>84.8</v>
      </c>
      <c r="Q54" s="68" t="n">
        <v>1032.7</v>
      </c>
      <c r="R54" s="63" t="inlineStr">
        <is>
          <t>derived:deal size / offer % of enlarged capital</t>
        </is>
      </c>
      <c r="S54" s="69" t="n">
        <v>145.3</v>
      </c>
      <c r="T54" s="70" t="n">
        <v>3.2</v>
      </c>
      <c r="U54" s="71" t="n">
        <v>37.94</v>
      </c>
      <c r="V54" s="67" t="n">
        <v>7.01</v>
      </c>
      <c r="W54" s="63" t="inlineStr">
        <is>
          <t>CS Logistics Holdings Ltd; Triple Surge Holdings Limited</t>
        </is>
      </c>
      <c r="X54" s="63" t="inlineStr">
        <is>
          <t>cs;triple</t>
        </is>
      </c>
      <c r="Y54" s="67" t="n">
        <v>11.3</v>
      </c>
      <c r="Z54" s="63" t="inlineStr">
        <is>
          <t>partial</t>
        </is>
      </c>
      <c r="AA54" s="72" t="n">
        <v>5.49</v>
      </c>
      <c r="AB54" s="73" t="n">
        <v>47.26</v>
      </c>
      <c r="AC54" s="73" t="n">
        <v>-28.36</v>
      </c>
      <c r="AD54" s="73" t="n">
        <v>-7.62</v>
      </c>
      <c r="AE54" s="73" t="n">
        <v>-20.12</v>
      </c>
      <c r="AF54" s="73" t="n">
        <v>-56.1</v>
      </c>
      <c r="AG54" s="73" t="n">
        <v>-12.43</v>
      </c>
      <c r="AH54" s="73" t="n">
        <v>-24.28</v>
      </c>
      <c r="AI54" s="73" t="n">
        <v>-58.38</v>
      </c>
      <c r="AJ54" s="73" t="n">
        <v>-11.53</v>
      </c>
      <c r="AK54" s="73" t="n">
        <v>-10.79</v>
      </c>
      <c r="AL54" s="73" t="n">
        <v>-40.38</v>
      </c>
      <c r="AM54" s="73" t="n">
        <v>-14.03</v>
      </c>
      <c r="AN54" s="73" t="n">
        <v>-9.33</v>
      </c>
      <c r="AO54" s="73" t="n">
        <v>-10.25</v>
      </c>
      <c r="AP54" s="63" t="inlineStr">
        <is>
          <t>HSTECH (Hang Seng TECH ETF)</t>
        </is>
      </c>
      <c r="AQ54" s="73" t="n">
        <v>7.77</v>
      </c>
      <c r="AR54" s="64" t="inlineStr">
        <is>
          <t>2026-08-20</t>
        </is>
      </c>
      <c r="AS54" s="65" t="n">
        <v>1351.9</v>
      </c>
      <c r="AT54" s="68" t="n">
        <v>87.5</v>
      </c>
      <c r="AU54" s="63" t="inlineStr">
        <is>
          <t>Y</t>
        </is>
      </c>
      <c r="AV54" s="74" t="n">
        <v>11.8</v>
      </c>
      <c r="AW54" s="74" t="n"/>
      <c r="AX54" s="74" t="n">
        <v>8.199999999999999</v>
      </c>
      <c r="AY54" s="74" t="n">
        <v>0.8</v>
      </c>
      <c r="AZ54" s="75" t="inlineStr">
        <is>
          <t>N</t>
        </is>
      </c>
      <c r="BA54" s="76">
        <f>IF('BBG Verify'!K54="","not filed — run on terminal",'BBG Verify'!K54)</f>
        <v/>
      </c>
      <c r="BB54" s="63" t="inlineStr">
        <is>
          <t>N/A</t>
        </is>
      </c>
      <c r="BC54" s="63" t="inlineStr">
        <is>
          <t>N/A</t>
        </is>
      </c>
      <c r="BD54" s="63" t="inlineStr">
        <is>
          <t>N/A</t>
        </is>
      </c>
      <c r="BE54" s="63" t="inlineStr">
        <is>
          <t>N/A</t>
        </is>
      </c>
      <c r="BF54" s="63" t="inlineStr">
        <is>
          <t>N/A</t>
        </is>
      </c>
      <c r="BG54" s="75" t="inlineStr">
        <is>
          <t>UOB Kay Hian (Hong Kong) Limited</t>
        </is>
      </c>
      <c r="BH54" s="63" t="inlineStr">
        <is>
          <t>UOB Kay Hian (Hong Kong) Limited</t>
        </is>
      </c>
      <c r="BI54" s="63"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7">
        <f>HYPERLINK("https://www1.hkexnews.hk/listedco/listconews/sehk/2021/0628/2021062800027.pdf","prospectus")</f>
        <v/>
      </c>
      <c r="BL54" s="77">
        <f>HYPERLINK("https://www1.hkexnews.hk/listedco/listconews/sehk/2021/0708/2021070800026.htm","allotment")</f>
        <v/>
      </c>
      <c r="BM54" s="77">
        <f>HYPERLINK("https://www1.hkexnews.hk/listedco/listconews/sehk/2021/0801/2021080100011.pdf","stabilisation")</f>
        <v/>
      </c>
      <c r="BN54" s="75" t="n"/>
      <c r="BO54" s="63" t="inlineStr">
        <is>
          <t>A/H: no A-share listing · deal size: stated gross HK$4.5m rejected — below the deal's own net proceeds HK$91.0m, which cannot happen</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c r="L55" s="66" t="n">
        <v>4.55</v>
      </c>
      <c r="M55" s="66" t="n">
        <v>4.19</v>
      </c>
      <c r="N55" s="63" t="inlineStr">
        <is>
          <t>N</t>
        </is>
      </c>
      <c r="O55" s="67" t="n">
        <v>92.09999999999999</v>
      </c>
      <c r="P55" s="67" t="n"/>
      <c r="Q55" s="68" t="n">
        <v>1058.8</v>
      </c>
      <c r="R55" s="63" t="inlineStr">
        <is>
          <t>derived:deal size / offer % of enlarged capital</t>
        </is>
      </c>
      <c r="S55" s="69" t="n">
        <v>5.23</v>
      </c>
      <c r="T55" s="70" t="n">
        <v>1.2</v>
      </c>
      <c r="U55" s="71" t="n">
        <v>0</v>
      </c>
      <c r="V55" s="67" t="n">
        <v>27.7</v>
      </c>
      <c r="W55" s="63" t="n"/>
      <c r="X55" s="63" t="n"/>
      <c r="Y55" s="67" t="n">
        <v>16.5</v>
      </c>
      <c r="Z55" s="63" t="inlineStr">
        <is>
          <t>partial</t>
        </is>
      </c>
      <c r="AA55" s="72" t="n">
        <v>0</v>
      </c>
      <c r="AB55" s="73" t="n">
        <v>24.11</v>
      </c>
      <c r="AC55" s="73" t="n">
        <v>-19.43</v>
      </c>
      <c r="AD55" s="73" t="n">
        <v>0</v>
      </c>
      <c r="AE55" s="73" t="n">
        <v>0.24</v>
      </c>
      <c r="AF55" s="73" t="n">
        <v>0</v>
      </c>
      <c r="AG55" s="73" t="n">
        <v>0</v>
      </c>
      <c r="AH55" s="73" t="n">
        <v>0.24</v>
      </c>
      <c r="AI55" s="73" t="n">
        <v>0</v>
      </c>
      <c r="AJ55" s="73" t="n">
        <v>-1.01</v>
      </c>
      <c r="AK55" s="73" t="n">
        <v>5.83</v>
      </c>
      <c r="AL55" s="73" t="n">
        <v>9.390000000000001</v>
      </c>
      <c r="AM55" s="73" t="n">
        <v>7.02</v>
      </c>
      <c r="AN55" s="73" t="n">
        <v>-5.59</v>
      </c>
      <c r="AO55" s="73" t="n">
        <v>-6.78</v>
      </c>
      <c r="AP55" s="63" t="inlineStr">
        <is>
          <t>Hang Seng Properties sub-index</t>
        </is>
      </c>
      <c r="AQ55" s="73" t="n">
        <v>-60.62</v>
      </c>
      <c r="AR55" s="64" t="inlineStr">
        <is>
          <t>2026-08-21</t>
        </is>
      </c>
      <c r="AS55" s="65" t="n">
        <v>471</v>
      </c>
      <c r="AT55" s="68" t="n">
        <v>77.3</v>
      </c>
      <c r="AU55" s="63" t="inlineStr">
        <is>
          <t>Y</t>
        </is>
      </c>
      <c r="AV55" s="74" t="n">
        <v>13.7</v>
      </c>
      <c r="AW55" s="74" t="n"/>
      <c r="AX55" s="74" t="n">
        <v>5.1</v>
      </c>
      <c r="AY55" s="74" t="n">
        <v>2.2</v>
      </c>
      <c r="AZ55" s="75" t="inlineStr">
        <is>
          <t>N</t>
        </is>
      </c>
      <c r="BA55" s="76">
        <f>IF('BBG Verify'!K55="","not filed — run on terminal",'BBG Verify'!K55)</f>
        <v/>
      </c>
      <c r="BB55" s="63" t="inlineStr">
        <is>
          <t>N/A</t>
        </is>
      </c>
      <c r="BC55" s="63" t="inlineStr">
        <is>
          <t>N/A</t>
        </is>
      </c>
      <c r="BD55" s="63" t="inlineStr">
        <is>
          <t>N/A</t>
        </is>
      </c>
      <c r="BE55" s="63" t="inlineStr">
        <is>
          <t>N/A</t>
        </is>
      </c>
      <c r="BF55" s="63" t="inlineStr">
        <is>
          <t>N/A</t>
        </is>
      </c>
      <c r="BG55" s="75" t="inlineStr">
        <is>
          <t>CCB International Capital Limited</t>
        </is>
      </c>
      <c r="BH55" s="63" t="inlineStr">
        <is>
          <t>CCB International Capital Limited</t>
        </is>
      </c>
      <c r="BI55" s="63" t="inlineStr">
        <is>
          <t>CCB International Capital Limited; CMB International Capital Limited; Huatai Financial Holdings (Hong Kong) Limited; Seazen Resources Securities Limited; Shenwan Hongyuan Securities (H.K.) Limited; CMBC Securities Company Limited</t>
        </is>
      </c>
      <c r="BJ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7">
        <f>HYPERLINK("https://www1.hkexnews.hk/listedco/listconews/sehk/2021/0629/2021062900045.pdf","prospectus")</f>
        <v/>
      </c>
      <c r="BL55" s="77">
        <f>HYPERLINK("https://www1.hkexnews.hk/listedco/listconews/sehk/2021/0709/2021070900020.htm","allotment")</f>
        <v/>
      </c>
      <c r="BM55" s="77">
        <f>HYPERLINK("https://www1.hkexnews.hk/listedco/listconews/sehk/2021/0805/2021080500013.pdf","stabilisation")</f>
        <v/>
      </c>
      <c r="BN55" s="75" t="n"/>
      <c r="BO55" s="63" t="inlineStr">
        <is>
          <t>range low: cap-only pricing — the filing publishes a Maximum Offer Price and no indicative floor · 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1967.5</v>
      </c>
      <c r="R56" s="63" t="inlineStr">
        <is>
          <t>prospectus:stated market capitalisation</t>
        </is>
      </c>
      <c r="S56" s="69" t="n">
        <v>25.45</v>
      </c>
      <c r="T56" s="70" t="n">
        <v>1.83</v>
      </c>
      <c r="U56" s="71" t="n">
        <v>31.3</v>
      </c>
      <c r="V56" s="67" t="n">
        <v>11.45</v>
      </c>
      <c r="W56" s="63" t="inlineStr">
        <is>
          <t>Country Garden Property Services HK Holdings Company Limited; Kobayashi Pharmaceutical Co., Ltd; Unicharm Corporation</t>
        </is>
      </c>
      <c r="X56" s="63" t="inlineStr">
        <is>
          <t>country;kobayashi;unicharm</t>
        </is>
      </c>
      <c r="Y56" s="67" t="n">
        <v>17.7</v>
      </c>
      <c r="Z56" s="63" t="inlineStr">
        <is>
          <t>lapsed</t>
        </is>
      </c>
      <c r="AA56" s="72" t="n">
        <v>-23.78</v>
      </c>
      <c r="AB56" s="73" t="n">
        <v>3.04</v>
      </c>
      <c r="AC56" s="73" t="n">
        <v>-26.03</v>
      </c>
      <c r="AD56" s="73" t="n">
        <v>-29.09</v>
      </c>
      <c r="AE56" s="73" t="n">
        <v>-50.42</v>
      </c>
      <c r="AF56" s="73" t="n">
        <v>-57</v>
      </c>
      <c r="AG56" s="73" t="n">
        <v>-6.97</v>
      </c>
      <c r="AH56" s="73" t="n">
        <v>-34.95</v>
      </c>
      <c r="AI56" s="73" t="n">
        <v>-43.58</v>
      </c>
      <c r="AJ56" s="73" t="n">
        <v>-29.02</v>
      </c>
      <c r="AK56" s="73" t="n">
        <v>-42.4</v>
      </c>
      <c r="AL56" s="73" t="n">
        <v>-43.14</v>
      </c>
      <c r="AM56" s="73" t="n">
        <v>-25.82</v>
      </c>
      <c r="AN56" s="73" t="n">
        <v>-8.02</v>
      </c>
      <c r="AO56" s="73" t="n">
        <v>-9.130000000000001</v>
      </c>
      <c r="AP56" s="63" t="inlineStr">
        <is>
          <t>HSTECH (Hang Seng TECH ETF)</t>
        </is>
      </c>
      <c r="AQ56" s="73" t="n">
        <v>-81.79000000000001</v>
      </c>
      <c r="AR56" s="64" t="inlineStr">
        <is>
          <t>2026-08-21</t>
        </is>
      </c>
      <c r="AS56" s="65" t="n">
        <v>3080.9</v>
      </c>
      <c r="AT56" s="68" t="n">
        <v>47.3</v>
      </c>
      <c r="AU56" s="63" t="inlineStr">
        <is>
          <t>Y</t>
        </is>
      </c>
      <c r="AV56" s="74" t="n">
        <v>41.6</v>
      </c>
      <c r="AW56" s="74" t="n"/>
      <c r="AX56" s="74" t="n">
        <v>12.5</v>
      </c>
      <c r="AY56" s="74" t="n">
        <v>0.6</v>
      </c>
      <c r="AZ56" s="75" t="inlineStr">
        <is>
          <t>N</t>
        </is>
      </c>
      <c r="BA56" s="76">
        <f>IF('BBG Verify'!K56="","not filed — run on terminal",'BBG Verify'!K56)</f>
        <v/>
      </c>
      <c r="BB56" s="63" t="inlineStr">
        <is>
          <t>N/A</t>
        </is>
      </c>
      <c r="BC56" s="63" t="inlineStr">
        <is>
          <t>N/A</t>
        </is>
      </c>
      <c r="BD56" s="63" t="inlineStr">
        <is>
          <t>N/A</t>
        </is>
      </c>
      <c r="BE56" s="63" t="inlineStr">
        <is>
          <t>N/A</t>
        </is>
      </c>
      <c r="BF56" s="63" t="inlineStr">
        <is>
          <t>N/A</t>
        </is>
      </c>
      <c r="BG56" s="75" t="inlineStr">
        <is>
          <t>China International Capital Corporation Hong Kong Securities Limited</t>
        </is>
      </c>
      <c r="BH56" s="63" t="inlineStr">
        <is>
          <t>China International Capital Corporation Hong Kong Securities Limited</t>
        </is>
      </c>
      <c r="BI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7">
        <f>HYPERLINK("https://www1.hkexnews.hk/listedco/listconews/sehk/2021/0628/2021062800009.pdf","prospectus")</f>
        <v/>
      </c>
      <c r="BL56" s="77">
        <f>HYPERLINK("https://www1.hkexnews.hk/listedco/listconews/sehk/2021/0709/2021070900048.htm","allotment")</f>
        <v/>
      </c>
      <c r="BM56" s="77">
        <f>HYPERLINK("https://www1.hkexnews.hk/listedco/listconews/sehk/2021/0804/2021080401759.pdf","stabilisation")</f>
        <v/>
      </c>
      <c r="BN56" s="75" t="n"/>
      <c r="BO56" s="63" t="inlineStr">
        <is>
          <t>A/H: no A-share listing</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c r="L57" s="66" t="n">
        <v>2.01</v>
      </c>
      <c r="M57" s="66" t="n">
        <v>1.59</v>
      </c>
      <c r="N57" s="63" t="inlineStr">
        <is>
          <t>N</t>
        </is>
      </c>
      <c r="O57" s="67" t="n">
        <v>79.09999999999999</v>
      </c>
      <c r="P57" s="67" t="n"/>
      <c r="Q57" s="68" t="n">
        <v>2564.2</v>
      </c>
      <c r="R57" s="63" t="inlineStr">
        <is>
          <t>aastocks:上市市值 at the struck price</t>
        </is>
      </c>
      <c r="S57" s="69" t="n">
        <v>6.01</v>
      </c>
      <c r="T57" s="70" t="n">
        <v>1.99</v>
      </c>
      <c r="U57" s="71" t="n">
        <v>0</v>
      </c>
      <c r="V57" s="67" t="n">
        <v>20.71</v>
      </c>
      <c r="W57" s="63" t="n"/>
      <c r="X57" s="63" t="n"/>
      <c r="Y57" s="67" t="n">
        <v>12.3</v>
      </c>
      <c r="Z57" s="63" t="inlineStr">
        <is>
          <t>lapsed</t>
        </is>
      </c>
      <c r="AA57" s="72" t="n">
        <v>-16.98</v>
      </c>
      <c r="AB57" s="73" t="n">
        <v>-8.81</v>
      </c>
      <c r="AC57" s="73" t="n">
        <v>-8.960000000000001</v>
      </c>
      <c r="AD57" s="73" t="n">
        <v>-33.33</v>
      </c>
      <c r="AE57" s="73" t="n">
        <v>-11.95</v>
      </c>
      <c r="AF57" s="73" t="n">
        <v>-24.53</v>
      </c>
      <c r="AG57" s="73" t="n">
        <v>-19.69</v>
      </c>
      <c r="AH57" s="73" t="n">
        <v>6.06</v>
      </c>
      <c r="AI57" s="73" t="n">
        <v>-9.09</v>
      </c>
      <c r="AJ57" s="73" t="n">
        <v>-32.43</v>
      </c>
      <c r="AK57" s="73" t="n">
        <v>-6.8</v>
      </c>
      <c r="AL57" s="73" t="n">
        <v>-12.42</v>
      </c>
      <c r="AM57" s="73" t="n">
        <v>12.97</v>
      </c>
      <c r="AN57" s="73" t="n">
        <v>-5.15</v>
      </c>
      <c r="AO57" s="73" t="n">
        <v>-6.91</v>
      </c>
      <c r="AP57" s="63" t="inlineStr">
        <is>
          <t>Hang Seng Commerce &amp; Industry sub-index</t>
        </is>
      </c>
      <c r="AQ57" s="73" t="n">
        <v>-93.08</v>
      </c>
      <c r="AR57" s="64" t="inlineStr">
        <is>
          <t>2026-08-20</t>
        </is>
      </c>
      <c r="AS57" s="65" t="n">
        <v>495</v>
      </c>
      <c r="AT57" s="68" t="n">
        <v>187</v>
      </c>
      <c r="AU57" s="63" t="inlineStr">
        <is>
          <t>Y</t>
        </is>
      </c>
      <c r="AV57" s="74" t="n">
        <v>13.7</v>
      </c>
      <c r="AW57" s="74" t="n"/>
      <c r="AX57" s="74" t="n"/>
      <c r="AY57" s="74" t="n">
        <v>5.2</v>
      </c>
      <c r="AZ57" s="75" t="inlineStr">
        <is>
          <t>N</t>
        </is>
      </c>
      <c r="BA57" s="76">
        <f>IF('BBG Verify'!K57="","not filed — run on terminal",'BBG Verify'!K57)</f>
        <v/>
      </c>
      <c r="BB57" s="63" t="inlineStr">
        <is>
          <t>N/A</t>
        </is>
      </c>
      <c r="BC57" s="63" t="inlineStr">
        <is>
          <t>N/A</t>
        </is>
      </c>
      <c r="BD57" s="63" t="inlineStr">
        <is>
          <t>N/A</t>
        </is>
      </c>
      <c r="BE57" s="63" t="inlineStr">
        <is>
          <t>N/A</t>
        </is>
      </c>
      <c r="BF57" s="63" t="inlineStr">
        <is>
          <t>N/A</t>
        </is>
      </c>
      <c r="BG57" s="75" t="inlineStr">
        <is>
          <t>BNP Paribas Securities (Asia) Limited</t>
        </is>
      </c>
      <c r="BH57" s="63" t="inlineStr">
        <is>
          <t>BNP Paribas Securities (Asia) Limited</t>
        </is>
      </c>
      <c r="BI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7">
        <f>HYPERLINK("https://www1.hkexnews.hk/listedco/listconews/sehk/2021/0630/2021063000199.pdf","prospectus")</f>
        <v/>
      </c>
      <c r="BL57" s="77">
        <f>HYPERLINK("https://www1.hkexnews.hk/listedco/listconews/sehk/2021/0712/2021071200022.htm","allotment")</f>
        <v/>
      </c>
      <c r="BM57" s="77">
        <f>HYPERLINK("https://www1.hkexnews.hk/listedco/listconews/sehk/2021/0805/2021080500675.pdf","stabilisation")</f>
        <v/>
      </c>
      <c r="BN57" s="75" t="n"/>
      <c r="BO57"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7" t="n">
        <v>9.32</v>
      </c>
      <c r="W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3" t="inlineStr">
        <is>
          <t>aihc;athos;boyu;invesco;rbc;sage;scc;springhill;valliance;ubs;youyu</t>
        </is>
      </c>
      <c r="Y58" s="67" t="n">
        <v>6.1</v>
      </c>
      <c r="Z58" s="63" t="inlineStr">
        <is>
          <t>partial</t>
        </is>
      </c>
      <c r="AA58" s="72" t="n">
        <v>3.15</v>
      </c>
      <c r="AB58" s="73" t="n">
        <v>-3.82</v>
      </c>
      <c r="AC58" s="73" t="n">
        <v>7.25</v>
      </c>
      <c r="AD58" s="73" t="n">
        <v>-6.52</v>
      </c>
      <c r="AE58" s="73" t="n">
        <v>79.78</v>
      </c>
      <c r="AF58" s="73" t="n">
        <v>22.02</v>
      </c>
      <c r="AG58" s="73" t="n">
        <v>-9.369999999999999</v>
      </c>
      <c r="AH58" s="73" t="n">
        <v>74.29000000000001</v>
      </c>
      <c r="AI58" s="73" t="n">
        <v>18.29</v>
      </c>
      <c r="AJ58" s="73" t="n">
        <v>-6.88</v>
      </c>
      <c r="AK58" s="73" t="n">
        <v>87.09999999999999</v>
      </c>
      <c r="AL58" s="73" t="n">
        <v>39.45</v>
      </c>
      <c r="AM58" s="73" t="n">
        <v>81.16</v>
      </c>
      <c r="AN58" s="73" t="n">
        <v>-7.32</v>
      </c>
      <c r="AO58" s="73" t="n">
        <v>-6.87</v>
      </c>
      <c r="AP58" s="63" t="inlineStr">
        <is>
          <t>China Biotech ETF (HS biotech proxy)</t>
        </is>
      </c>
      <c r="AQ58" s="73" t="n">
        <v>-95.59999999999999</v>
      </c>
      <c r="AR58" s="64" t="inlineStr">
        <is>
          <t>2026-08-20</t>
        </is>
      </c>
      <c r="AS58" s="65" t="n">
        <v>34.1</v>
      </c>
      <c r="AT58" s="68" t="n">
        <v>-1411.9</v>
      </c>
      <c r="AU58" s="63" t="inlineStr">
        <is>
          <t>N</t>
        </is>
      </c>
      <c r="AV58" s="63" t="inlineStr">
        <is>
          <t>n/m</t>
        </is>
      </c>
      <c r="AW58" s="74" t="n"/>
      <c r="AX58" s="74" t="n"/>
      <c r="AY58" s="74" t="n">
        <v>410.2</v>
      </c>
      <c r="AZ58" s="75" t="inlineStr">
        <is>
          <t>N</t>
        </is>
      </c>
      <c r="BA58" s="76">
        <f>IF('BBG Verify'!K58="","not filed — run on terminal",'BBG Verify'!K58)</f>
        <v/>
      </c>
      <c r="BB58" s="63" t="inlineStr">
        <is>
          <t>N/A</t>
        </is>
      </c>
      <c r="BC58" s="63" t="inlineStr">
        <is>
          <t>N/A</t>
        </is>
      </c>
      <c r="BD58" s="63" t="inlineStr">
        <is>
          <t>N/A</t>
        </is>
      </c>
      <c r="BE58" s="63" t="inlineStr">
        <is>
          <t>N/A</t>
        </is>
      </c>
      <c r="BF58" s="63" t="inlineStr">
        <is>
          <t>N/A</t>
        </is>
      </c>
      <c r="BG58" s="75" t="inlineStr">
        <is>
          <t>Morgan Stanley Asia Limited; UBS Securities Hong Kong Limited</t>
        </is>
      </c>
      <c r="BH58" s="63" t="inlineStr">
        <is>
          <t>Morgan Stanley Asia Limited; UBS Securities Hong Kong Limited</t>
        </is>
      </c>
      <c r="BI58" s="63" t="inlineStr">
        <is>
          <t>Morgan Stanley Asia Limited; UBS AG Hong Kong Branch; China International Capital Corporation Hong Kong Securities Limited</t>
        </is>
      </c>
      <c r="BJ58" s="63" t="inlineStr">
        <is>
          <t>China International Capital Corporation Hong Kong Securities Limited; Morgan Stanley Asia Limited; UBS AG Hong Kong Branch</t>
        </is>
      </c>
      <c r="BK58" s="77">
        <f>HYPERLINK("https://www1.hkexnews.hk/listedco/listconews/sehk/2021/0630/2021063000045.pdf","prospectus")</f>
        <v/>
      </c>
      <c r="BL58" s="77">
        <f>HYPERLINK("https://www1.hkexnews.hk/listedco/listconews/sehk/2021/0712/2021071200036.htm","allotment")</f>
        <v/>
      </c>
      <c r="BM58" s="77">
        <f>HYPERLINK("https://www1.hkexnews.hk/listedco/listconews/sehk/2021/0805/2021080502190.pdf","stabilisation")</f>
        <v/>
      </c>
      <c r="BN58" s="75" t="n"/>
      <c r="BO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7" t="n">
        <v>14.18</v>
      </c>
      <c r="W59" s="63" t="inlineStr">
        <is>
          <t>Fidelity Investments; FIL Investment Management (Hong Kong) Limited; GIC Private Limited; Matthews Funds; OrbiMed Funds; Springhill Master Fund Limited; Tencent Mobility Limited</t>
        </is>
      </c>
      <c r="X59" s="63" t="inlineStr">
        <is>
          <t>fidelity;fil;gic;matthews;orbimed;springhill;tencent</t>
        </is>
      </c>
      <c r="Y59" s="67" t="n">
        <v>5.2</v>
      </c>
      <c r="Z59" s="63" t="inlineStr">
        <is>
          <t>partial</t>
        </is>
      </c>
      <c r="AA59" s="72" t="n">
        <v>13.97</v>
      </c>
      <c r="AB59" s="73" t="n">
        <v>6.25</v>
      </c>
      <c r="AC59" s="73" t="n">
        <v>7.27</v>
      </c>
      <c r="AD59" s="73" t="n">
        <v>11.21</v>
      </c>
      <c r="AE59" s="73" t="n">
        <v>29.23</v>
      </c>
      <c r="AF59" s="73" t="n">
        <v>42.28</v>
      </c>
      <c r="AG59" s="73" t="n">
        <v>-2.42</v>
      </c>
      <c r="AH59" s="73" t="n">
        <v>13.39</v>
      </c>
      <c r="AI59" s="73" t="n">
        <v>24.84</v>
      </c>
      <c r="AJ59" s="73" t="n">
        <v>13.47</v>
      </c>
      <c r="AK59" s="73" t="n">
        <v>39.37</v>
      </c>
      <c r="AL59" s="73" t="n">
        <v>60.8</v>
      </c>
      <c r="AM59" s="73" t="n">
        <v>22.89</v>
      </c>
      <c r="AN59" s="73" t="n">
        <v>-10.14</v>
      </c>
      <c r="AO59" s="73" t="n">
        <v>-9.5</v>
      </c>
      <c r="AP59" s="63" t="inlineStr">
        <is>
          <t>China Biotech ETF (HS biotech proxy)</t>
        </is>
      </c>
      <c r="AQ59" s="73" t="n">
        <v>-71.31</v>
      </c>
      <c r="AR59" s="64" t="inlineStr">
        <is>
          <t>2026-08-20</t>
        </is>
      </c>
      <c r="AS59" s="65" t="n">
        <v>234.9</v>
      </c>
      <c r="AT59" s="68" t="n">
        <v>93.7</v>
      </c>
      <c r="AU59" s="63" t="inlineStr">
        <is>
          <t>Y</t>
        </is>
      </c>
      <c r="AV59" s="74" t="n">
        <v>188.9</v>
      </c>
      <c r="AW59" s="74" t="n"/>
      <c r="AX59" s="74" t="n">
        <v>15.2</v>
      </c>
      <c r="AY59" s="74" t="n">
        <v>75.40000000000001</v>
      </c>
      <c r="AZ59" s="75" t="inlineStr">
        <is>
          <t>N</t>
        </is>
      </c>
      <c r="BA59" s="76">
        <f>IF('BBG Verify'!K59="","not filed — run on terminal",'BBG Verify'!K59)</f>
        <v/>
      </c>
      <c r="BB59" s="63" t="inlineStr">
        <is>
          <t>N/A</t>
        </is>
      </c>
      <c r="BC59" s="63" t="inlineStr">
        <is>
          <t>N/A</t>
        </is>
      </c>
      <c r="BD59" s="63" t="inlineStr">
        <is>
          <t>N/A</t>
        </is>
      </c>
      <c r="BE59" s="63" t="inlineStr">
        <is>
          <t>N/A</t>
        </is>
      </c>
      <c r="BF59" s="63" t="inlineStr">
        <is>
          <t>N/A</t>
        </is>
      </c>
      <c r="BG59" s="7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3" t="inlineStr">
        <is>
          <t>Haitong International Capital Limited; Goldman Sachs (Asia) L.L.C.</t>
        </is>
      </c>
      <c r="BI59" s="63" t="inlineStr">
        <is>
          <t>China International Capital Corporation Hong Kong Securities Limited; Goldman Sachs (Asia) L.L.C.; Haitong International Securities Company Limited</t>
        </is>
      </c>
      <c r="BJ59" s="63" t="inlineStr">
        <is>
          <t>China International Capital Corporation Hong Kong Securities Limited; Goldman Sachs (Asia) L.L.C.; Haitong International Securities Company Limited</t>
        </is>
      </c>
      <c r="BK59" s="77">
        <f>HYPERLINK("https://www1.hkexnews.hk/listedco/listconews/sehk/2021/0630/2021063000187.pdf","prospectus")</f>
        <v/>
      </c>
      <c r="BL59" s="77">
        <f>HYPERLINK("https://www1.hkexnews.hk/listedco/listconews/sehk/2021/0714/2021071400028.htm","allotment")</f>
        <v/>
      </c>
      <c r="BM59" s="77">
        <f>HYPERLINK("https://www1.hkexnews.hk/listedco/listconews/sehk/2021/0808/2021080800055.pdf","stabilisation")</f>
        <v/>
      </c>
      <c r="BN59" s="75" t="n"/>
      <c r="BO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c r="L60" s="66" t="n">
        <v>4.8</v>
      </c>
      <c r="M60" s="66" t="n">
        <v>4.4</v>
      </c>
      <c r="N60" s="63" t="inlineStr">
        <is>
          <t>N</t>
        </is>
      </c>
      <c r="O60" s="67" t="n">
        <v>91.7</v>
      </c>
      <c r="P60" s="67" t="n"/>
      <c r="Q60" s="68" t="n">
        <v>2640</v>
      </c>
      <c r="R60" s="63" t="inlineStr">
        <is>
          <t>derived:deal size / offer % of enlarged capital</t>
        </is>
      </c>
      <c r="S60" s="69" t="n">
        <v>43.92</v>
      </c>
      <c r="T60" s="70" t="n">
        <v>2.28</v>
      </c>
      <c r="U60" s="71" t="n">
        <v>0</v>
      </c>
      <c r="V60" s="67" t="n">
        <v>25</v>
      </c>
      <c r="W60" s="63" t="n"/>
      <c r="X60" s="63" t="n"/>
      <c r="Y60" s="67" t="n">
        <v>9.800000000000001</v>
      </c>
      <c r="Z60" s="63" t="inlineStr">
        <is>
          <t>full</t>
        </is>
      </c>
      <c r="AA60" s="72" t="n">
        <v>25</v>
      </c>
      <c r="AB60" s="73" t="n">
        <v>34.09</v>
      </c>
      <c r="AC60" s="73" t="n">
        <v>-6.78</v>
      </c>
      <c r="AD60" s="73" t="n">
        <v>89.55</v>
      </c>
      <c r="AE60" s="73" t="n">
        <v>63.41</v>
      </c>
      <c r="AF60" s="73" t="n">
        <v>57.27</v>
      </c>
      <c r="AG60" s="73" t="n">
        <v>51.64</v>
      </c>
      <c r="AH60" s="73" t="n">
        <v>30.73</v>
      </c>
      <c r="AI60" s="73" t="n">
        <v>25.82</v>
      </c>
      <c r="AJ60" s="73" t="n">
        <v>90.8</v>
      </c>
      <c r="AK60" s="73" t="n">
        <v>71.28</v>
      </c>
      <c r="AL60" s="73" t="n">
        <v>68.45</v>
      </c>
      <c r="AM60" s="73" t="n">
        <v>38.95</v>
      </c>
      <c r="AN60" s="73" t="n">
        <v>-7.87</v>
      </c>
      <c r="AO60" s="73" t="n">
        <v>-8.220000000000001</v>
      </c>
      <c r="AP60" s="63" t="inlineStr">
        <is>
          <t>Hang Seng Commerce &amp; Industry sub-index</t>
        </is>
      </c>
      <c r="AQ60" s="73" t="n">
        <v>-94.66</v>
      </c>
      <c r="AR60" s="64" t="inlineStr">
        <is>
          <t>2026-08-20</t>
        </is>
      </c>
      <c r="AS60" s="65" t="n">
        <v>9386.4</v>
      </c>
      <c r="AT60" s="68" t="n">
        <v>337.1</v>
      </c>
      <c r="AU60" s="63" t="inlineStr">
        <is>
          <t>Y</t>
        </is>
      </c>
      <c r="AV60" s="74" t="n">
        <v>7.8</v>
      </c>
      <c r="AW60" s="74" t="n"/>
      <c r="AX60" s="74" t="n">
        <v>62.1</v>
      </c>
      <c r="AY60" s="74" t="n">
        <v>0.3</v>
      </c>
      <c r="AZ60" s="75" t="inlineStr">
        <is>
          <t>N</t>
        </is>
      </c>
      <c r="BA60" s="76">
        <f>IF('BBG Verify'!K60="","not filed — run on terminal",'BBG Verify'!K60)</f>
        <v/>
      </c>
      <c r="BB60" s="63" t="inlineStr">
        <is>
          <t>N/A</t>
        </is>
      </c>
      <c r="BC60" s="63" t="inlineStr">
        <is>
          <t>N/A</t>
        </is>
      </c>
      <c r="BD60" s="63" t="inlineStr">
        <is>
          <t>N/A</t>
        </is>
      </c>
      <c r="BE60" s="63" t="inlineStr">
        <is>
          <t>N/A</t>
        </is>
      </c>
      <c r="BF60" s="63" t="inlineStr">
        <is>
          <t>N/A</t>
        </is>
      </c>
      <c r="BG60" s="75" t="inlineStr">
        <is>
          <t>Macquarie Capital Limited</t>
        </is>
      </c>
      <c r="BH60" s="63" t="inlineStr">
        <is>
          <t>Macquarie Capital Limited</t>
        </is>
      </c>
      <c r="BI60" s="63" t="inlineStr">
        <is>
          <t>Macquarie Capital Limited; Huatai Financial Holdings (Hong Kong) Limited; BOCOM International Securities Limited; UOB Kay Hian (Hong Kong) Limited; DBS Asia Capital Limited; First Shanghai Securities Limited; Maxa Capital Limited</t>
        </is>
      </c>
      <c r="BJ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7">
        <f>HYPERLINK("https://www1.hkexnews.hk/listedco/listconews/sehk/2021/0630/2021063000067.pdf","prospectus")</f>
        <v/>
      </c>
      <c r="BL60" s="77">
        <f>HYPERLINK("https://www1.hkexnews.hk/listedco/listconews/sehk/2021/0714/2021071400040.htm","allotment")</f>
        <v/>
      </c>
      <c r="BM60" s="77">
        <f>HYPERLINK("https://www1.hkexnews.hk/listedco/listconews/sehk/2021/0808/2021080800009.pdf","stabilisation")</f>
        <v/>
      </c>
      <c r="BN60" s="75" t="n"/>
      <c r="BO60" s="63" t="inlineStr">
        <is>
          <t>range low: cap-only pricing — the filing publishes a Maximum Offer Price and no indicative floor · 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106.9</v>
      </c>
      <c r="J61" s="63" t="inlineStr">
        <is>
          <t>net proceeds</t>
        </is>
      </c>
      <c r="K61" s="66" t="n">
        <v>2.66</v>
      </c>
      <c r="L61" s="66" t="n">
        <v>3.44</v>
      </c>
      <c r="M61" s="66" t="n">
        <v>3.06</v>
      </c>
      <c r="N61" s="63" t="inlineStr">
        <is>
          <t>N</t>
        </is>
      </c>
      <c r="O61" s="67" t="n">
        <v>89</v>
      </c>
      <c r="P61" s="67" t="n">
        <v>51.3</v>
      </c>
      <c r="Q61" s="68" t="n">
        <v>3410.4</v>
      </c>
      <c r="R61" s="63" t="inlineStr">
        <is>
          <t>aastocks:上市市值 at the struck price</t>
        </is>
      </c>
      <c r="S61" s="69" t="n">
        <v>3.08</v>
      </c>
      <c r="T61" s="70" t="n">
        <v>1.31</v>
      </c>
      <c r="U61" s="71" t="n">
        <v>21.4</v>
      </c>
      <c r="V61" s="67" t="n">
        <v>2.46</v>
      </c>
      <c r="W61" s="63" t="inlineStr">
        <is>
          <t>Hangzhou Jintou Shenghan Investment Partnership (Limited Partnership); Hangzhou Light Industrial Association Investment Group Co.,Ltd; JIC TRUST CO., LTD</t>
        </is>
      </c>
      <c r="X61" s="63" t="inlineStr">
        <is>
          <t>hangzhou-jintou;hangzhou-light;jic</t>
        </is>
      </c>
      <c r="Y61" s="67" t="n">
        <v>15</v>
      </c>
      <c r="Z61" s="63" t="inlineStr">
        <is>
          <t>partial</t>
        </is>
      </c>
      <c r="AA61" s="72" t="n">
        <v>0</v>
      </c>
      <c r="AB61" s="73" t="n">
        <v>0</v>
      </c>
      <c r="AC61" s="73" t="n">
        <v>0</v>
      </c>
      <c r="AD61" s="73" t="n">
        <v>-0</v>
      </c>
      <c r="AE61" s="73" t="n">
        <v>9.800000000000001</v>
      </c>
      <c r="AF61" s="73" t="n">
        <v>10.13</v>
      </c>
      <c r="AG61" s="73" t="n">
        <v>0</v>
      </c>
      <c r="AH61" s="73" t="n">
        <v>9.800000000000001</v>
      </c>
      <c r="AI61" s="73" t="n">
        <v>10.13</v>
      </c>
      <c r="AJ61" s="73" t="n">
        <v>-1.15</v>
      </c>
      <c r="AK61" s="73" t="n">
        <v>14.33</v>
      </c>
      <c r="AL61" s="73" t="n">
        <v>19.43</v>
      </c>
      <c r="AM61" s="73" t="n">
        <v>16.18</v>
      </c>
      <c r="AN61" s="73" t="n">
        <v>-4.53</v>
      </c>
      <c r="AO61" s="73" t="n">
        <v>-6.38</v>
      </c>
      <c r="AP61" s="63" t="inlineStr">
        <is>
          <t>Hang Seng Properties sub-index</t>
        </is>
      </c>
      <c r="AQ61" s="73" t="n">
        <v>-91.98999999999999</v>
      </c>
      <c r="AR61" s="64" t="inlineStr">
        <is>
          <t>2026-08-20</t>
        </is>
      </c>
      <c r="AS61" s="65" t="n">
        <v>761.6</v>
      </c>
      <c r="AT61" s="68" t="n">
        <v>116.4</v>
      </c>
      <c r="AU61" s="63" t="inlineStr">
        <is>
          <t>Y</t>
        </is>
      </c>
      <c r="AV61" s="74" t="n">
        <v>29.3</v>
      </c>
      <c r="AW61" s="74" t="n"/>
      <c r="AX61" s="74" t="n"/>
      <c r="AY61" s="74" t="n">
        <v>4.5</v>
      </c>
      <c r="AZ61" s="75" t="inlineStr">
        <is>
          <t>N</t>
        </is>
      </c>
      <c r="BA61" s="76">
        <f>IF('BBG Verify'!K61="","not filed — run on terminal",'BBG Verify'!K61)</f>
        <v/>
      </c>
      <c r="BB61" s="63" t="inlineStr">
        <is>
          <t>N/A</t>
        </is>
      </c>
      <c r="BC61" s="63" t="inlineStr">
        <is>
          <t>N/A</t>
        </is>
      </c>
      <c r="BD61" s="63" t="inlineStr">
        <is>
          <t>N/A</t>
        </is>
      </c>
      <c r="BE61" s="63" t="inlineStr">
        <is>
          <t>N/A</t>
        </is>
      </c>
      <c r="BF61" s="63" t="inlineStr">
        <is>
          <t>N/A</t>
        </is>
      </c>
      <c r="BG61" s="75" t="inlineStr">
        <is>
          <t>CCB International Capital Limited</t>
        </is>
      </c>
      <c r="BH61" s="63" t="inlineStr">
        <is>
          <t>CCB International Capital Limited</t>
        </is>
      </c>
      <c r="BI61" s="63" t="inlineStr">
        <is>
          <t>CCB International Capital Limited; China Industrial Securities International Capital Limited; Zhongtai International Securities Limited; Vision Capital International Holdings Limited</t>
        </is>
      </c>
      <c r="BJ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7">
        <f>HYPERLINK("https://www1.hkexnews.hk/listedco/listconews/sehk/2021/0629/2021062900043.pdf","prospectus")</f>
        <v/>
      </c>
      <c r="BL61" s="77">
        <f>HYPERLINK("https://www1.hkexnews.hk/listedco/listconews/sehk/2021/0714/2021071400259.htm","allotment")</f>
        <v/>
      </c>
      <c r="BM61" s="77">
        <f>HYPERLINK("https://www1.hkexnews.hk/listedco/listconews/sehk/2021/0808/2021080800043.pdf","stabilisation")</f>
        <v/>
      </c>
      <c r="BN61" s="75" t="n"/>
      <c r="BO61"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7" t="n">
        <v>14.1</v>
      </c>
      <c r="W62" s="63" t="inlineStr">
        <is>
          <t>Athos Capital Limited; BlackRock, Inc; Carmignac Funds; China Pinnacle Equity Management Limited; DNCA Finance; IvyRock Asset Management (HK) Limited; Snow Lake Capital (HK) Limited</t>
        </is>
      </c>
      <c r="X62" s="63" t="inlineStr">
        <is>
          <t>athos;blackrock;carmignac;pinnacle;dnca;ivyrock;snow</t>
        </is>
      </c>
      <c r="Y62" s="67" t="n">
        <v>7.2</v>
      </c>
      <c r="Z62" s="63" t="inlineStr">
        <is>
          <t>lapsed</t>
        </is>
      </c>
      <c r="AA62" s="72" t="n">
        <v>-7.57</v>
      </c>
      <c r="AB62" s="73" t="n">
        <v>0</v>
      </c>
      <c r="AC62" s="73" t="n">
        <v>-7.57</v>
      </c>
      <c r="AD62" s="73" t="n">
        <v>-18</v>
      </c>
      <c r="AE62" s="73" t="n">
        <v>-20.76</v>
      </c>
      <c r="AF62" s="73" t="n">
        <v>-45.3</v>
      </c>
      <c r="AG62" s="73" t="n">
        <v>-11.28</v>
      </c>
      <c r="AH62" s="73" t="n">
        <v>-14.27</v>
      </c>
      <c r="AI62" s="73" t="n">
        <v>-40.82</v>
      </c>
      <c r="AJ62" s="73" t="n">
        <v>-13.98</v>
      </c>
      <c r="AK62" s="73" t="n">
        <v>-10.43</v>
      </c>
      <c r="AL62" s="73" t="n">
        <v>-28.86</v>
      </c>
      <c r="AM62" s="73" t="n">
        <v>-4.25</v>
      </c>
      <c r="AN62" s="73" t="n">
        <v>-10.33</v>
      </c>
      <c r="AO62" s="73" t="n">
        <v>-10.02</v>
      </c>
      <c r="AP62" s="63" t="inlineStr">
        <is>
          <t>China Biotech ETF (HS biotech proxy)</t>
        </is>
      </c>
      <c r="AQ62" s="73" t="n">
        <v>-90.23999999999999</v>
      </c>
      <c r="AR62" s="64" t="inlineStr">
        <is>
          <t>2026-08-20</t>
        </is>
      </c>
      <c r="AS62" s="65" t="n">
        <v>980.5</v>
      </c>
      <c r="AT62" s="68" t="n">
        <v>-1067.1</v>
      </c>
      <c r="AU62" s="63" t="inlineStr">
        <is>
          <t>N</t>
        </is>
      </c>
      <c r="AV62" s="63" t="inlineStr">
        <is>
          <t>n/m</t>
        </is>
      </c>
      <c r="AW62" s="74" t="n"/>
      <c r="AX62" s="74" t="n"/>
      <c r="AY62" s="74" t="n">
        <v>8.199999999999999</v>
      </c>
      <c r="AZ62" s="75" t="inlineStr">
        <is>
          <t>N</t>
        </is>
      </c>
      <c r="BA62" s="76">
        <f>IF('BBG Verify'!K62="","not filed — run on terminal",'BBG Verify'!K62)</f>
        <v/>
      </c>
      <c r="BB62" s="63" t="inlineStr">
        <is>
          <t>N/A</t>
        </is>
      </c>
      <c r="BC62" s="63" t="inlineStr">
        <is>
          <t>N/A</t>
        </is>
      </c>
      <c r="BD62" s="63" t="inlineStr">
        <is>
          <t>N/A</t>
        </is>
      </c>
      <c r="BE62" s="63" t="inlineStr">
        <is>
          <t>N/A</t>
        </is>
      </c>
      <c r="BF62" s="63" t="inlineStr">
        <is>
          <t>N/A</t>
        </is>
      </c>
      <c r="BG62" s="75" t="inlineStr">
        <is>
          <t>Goldman Sachs (Asia) L.L.C; China International Capital Corporation Hong Kong Securities Limited; Credit Suisse (Hong Kong) Limited</t>
        </is>
      </c>
      <c r="BH62" s="63" t="inlineStr">
        <is>
          <t>China International Capital Corporation Hong Kong Securities Limited; Goldman Sachs (Asia) L.L.C.; Credit Suisse (Hong Kong) Limited</t>
        </is>
      </c>
      <c r="BI62" s="63" t="inlineStr">
        <is>
          <t>Goldman Sachs (Asia) L.L.C; China International Capital Corporation Hong Kong Securities Limited; Credit Suisse (Hong Kong) Limited</t>
        </is>
      </c>
      <c r="BJ62" s="63" t="inlineStr">
        <is>
          <t>China International Capital Corporation Hong Kong Securities Limited; Credit Suisse (Hong Kong) Limited; Futu Securities International (Hong Kong) Limited; Guotai Junan Securities (Hong Kong) Limited; Goldman Sachs (Asia) L.L.C.; VMS Securities Limited</t>
        </is>
      </c>
      <c r="BK62" s="77">
        <f>HYPERLINK("https://www1.hkexnews.hk/listedco/listconews/sehk/2021/0629/2021062900037.pdf","prospectus")</f>
        <v/>
      </c>
      <c r="BL62" s="77">
        <f>HYPERLINK("https://www1.hkexnews.hk/listedco/listconews/sehk/2021/0715/2021071500008.htm","allotment")</f>
        <v/>
      </c>
      <c r="BM62" s="77">
        <f>HYPERLINK("https://www1.hkexnews.hk/listedco/listconews/sehk/2021/0806/2021080601107.pdf","stabilisation")</f>
        <v/>
      </c>
      <c r="BN62" s="75" t="n"/>
      <c r="BO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c r="L63" s="66" t="n">
        <v>4.38</v>
      </c>
      <c r="M63" s="66" t="n">
        <v>3.69</v>
      </c>
      <c r="N63" s="63" t="inlineStr">
        <is>
          <t>N</t>
        </is>
      </c>
      <c r="O63" s="67" t="n">
        <v>84.2</v>
      </c>
      <c r="P63" s="67" t="n"/>
      <c r="Q63" s="68" t="n">
        <v>2117</v>
      </c>
      <c r="R63" s="63" t="inlineStr">
        <is>
          <t>aastocks:上市市值 at the struck price</t>
        </is>
      </c>
      <c r="S63" s="69" t="n">
        <v>4.12</v>
      </c>
      <c r="T63" s="70" t="n">
        <v>1.47</v>
      </c>
      <c r="U63" s="71" t="n">
        <v>0</v>
      </c>
      <c r="V63" s="67" t="n">
        <v>21.79</v>
      </c>
      <c r="W63" s="63" t="n"/>
      <c r="X63" s="63" t="n"/>
      <c r="Y63" s="67" t="n">
        <v>20</v>
      </c>
      <c r="Z63" s="63" t="inlineStr">
        <is>
          <t>partial</t>
        </is>
      </c>
      <c r="AA63" s="72" t="n">
        <v>0</v>
      </c>
      <c r="AB63" s="73" t="n">
        <v>-10.84</v>
      </c>
      <c r="AC63" s="73" t="n">
        <v>12.16</v>
      </c>
      <c r="AD63" s="73" t="n">
        <v>0.8100000000000001</v>
      </c>
      <c r="AE63" s="73" t="n">
        <v>20.6</v>
      </c>
      <c r="AF63" s="73" t="n">
        <v>16.8</v>
      </c>
      <c r="AG63" s="73" t="n">
        <v>0.8100000000000001</v>
      </c>
      <c r="AH63" s="73" t="n">
        <v>20.6</v>
      </c>
      <c r="AI63" s="73" t="n">
        <v>16.8</v>
      </c>
      <c r="AJ63" s="73" t="n">
        <v>4.18</v>
      </c>
      <c r="AK63" s="73" t="n">
        <v>30.6</v>
      </c>
      <c r="AL63" s="73" t="n">
        <v>26.69</v>
      </c>
      <c r="AM63" s="73" t="n">
        <v>30.55</v>
      </c>
      <c r="AN63" s="73" t="n">
        <v>-10</v>
      </c>
      <c r="AO63" s="73" t="n">
        <v>-9.949999999999999</v>
      </c>
      <c r="AP63" s="63" t="inlineStr">
        <is>
          <t>Hang Seng Commerce &amp; Industry sub-index</t>
        </is>
      </c>
      <c r="AQ63" s="73" t="n">
        <v>-34.01</v>
      </c>
      <c r="AR63" s="64" t="inlineStr">
        <is>
          <t>2026-08-20</t>
        </is>
      </c>
      <c r="AS63" s="65" t="n">
        <v>298.2</v>
      </c>
      <c r="AT63" s="68" t="n">
        <v>157</v>
      </c>
      <c r="AU63" s="63" t="inlineStr">
        <is>
          <t>Y</t>
        </is>
      </c>
      <c r="AV63" s="74" t="n">
        <v>13.5</v>
      </c>
      <c r="AW63" s="74" t="n"/>
      <c r="AX63" s="74" t="n">
        <v>13.5</v>
      </c>
      <c r="AY63" s="74" t="n">
        <v>7.1</v>
      </c>
      <c r="AZ63" s="75" t="inlineStr">
        <is>
          <t>N</t>
        </is>
      </c>
      <c r="BA63" s="76">
        <f>IF('BBG Verify'!K63="","not filed — run on terminal",'BBG Verify'!K63)</f>
        <v/>
      </c>
      <c r="BB63" s="63" t="inlineStr">
        <is>
          <t>N/A</t>
        </is>
      </c>
      <c r="BC63" s="63" t="inlineStr">
        <is>
          <t>N/A</t>
        </is>
      </c>
      <c r="BD63" s="63" t="inlineStr">
        <is>
          <t>N/A</t>
        </is>
      </c>
      <c r="BE63" s="63" t="inlineStr">
        <is>
          <t>N/A</t>
        </is>
      </c>
      <c r="BF63" s="63" t="inlineStr">
        <is>
          <t>N/A</t>
        </is>
      </c>
      <c r="BG63" s="75" t="inlineStr">
        <is>
          <t>Guotai Junan Capital Limited</t>
        </is>
      </c>
      <c r="BH63" s="63" t="inlineStr">
        <is>
          <t>Guotai Junan Capital Limited</t>
        </is>
      </c>
      <c r="BI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7">
        <f>HYPERLINK("https://www1.hkexnews.hk/listedco/listconews/sehk/2021/0630/2021063000077.pdf","prospectus")</f>
        <v/>
      </c>
      <c r="BL63" s="77">
        <f>HYPERLINK("https://www1.hkexnews.hk/listedco/listconews/sehk/2021/0715/2021071500034.htm","allotment")</f>
        <v/>
      </c>
      <c r="BM63" s="77">
        <f>HYPERLINK("https://www1.hkexnews.hk/listedco/listconews/sehk/2021/0808/2021080800003.pdf","stabilisation")</f>
        <v/>
      </c>
      <c r="BN63" s="75" t="n"/>
      <c r="BO63" s="63"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93.5</v>
      </c>
      <c r="J64" s="63" t="inlineStr">
        <is>
          <t>net proceeds</t>
        </is>
      </c>
      <c r="K64" s="66" t="n"/>
      <c r="L64" s="66" t="n">
        <v>3.88</v>
      </c>
      <c r="M64" s="66" t="n">
        <v>3.68</v>
      </c>
      <c r="N64" s="63" t="inlineStr">
        <is>
          <t>N</t>
        </is>
      </c>
      <c r="O64" s="67" t="n">
        <v>94.8</v>
      </c>
      <c r="P64" s="67" t="n"/>
      <c r="Q64" s="68" t="n">
        <v>2676.3</v>
      </c>
      <c r="R64" s="63" t="inlineStr">
        <is>
          <t>aastocks:上市市值 at the struck price</t>
        </is>
      </c>
      <c r="S64" s="69" t="n">
        <v>23.72</v>
      </c>
      <c r="T64" s="70" t="n">
        <v>1.55</v>
      </c>
      <c r="U64" s="71" t="n">
        <v>38.55</v>
      </c>
      <c r="V64" s="67" t="n">
        <v>2.15</v>
      </c>
      <c r="W64" s="63" t="inlineStr">
        <is>
          <t>58.com Holdings Inc; Autobio Group Co., Ltd; Country Garden Property Services HK Holdings Company Limited</t>
        </is>
      </c>
      <c r="X64" s="63" t="inlineStr">
        <is>
          <t>58;autobio;country</t>
        </is>
      </c>
      <c r="Y64" s="67" t="n">
        <v>10.2</v>
      </c>
      <c r="Z64" s="63" t="inlineStr">
        <is>
          <t>lapsed</t>
        </is>
      </c>
      <c r="AA64" s="72" t="n">
        <v>-1.09</v>
      </c>
      <c r="AB64" s="73" t="n">
        <v>0</v>
      </c>
      <c r="AC64" s="73" t="n">
        <v>-1.09</v>
      </c>
      <c r="AD64" s="73" t="n">
        <v>-1.09</v>
      </c>
      <c r="AE64" s="73" t="n">
        <v>-2.99</v>
      </c>
      <c r="AF64" s="73" t="n">
        <v>-0.82</v>
      </c>
      <c r="AG64" s="73" t="n">
        <v>0</v>
      </c>
      <c r="AH64" s="73" t="n">
        <v>-1.92</v>
      </c>
      <c r="AI64" s="73" t="n">
        <v>0.27</v>
      </c>
      <c r="AJ64" s="73" t="n">
        <v>0.46</v>
      </c>
      <c r="AK64" s="73" t="n">
        <v>2.73</v>
      </c>
      <c r="AL64" s="73" t="n">
        <v>10.38</v>
      </c>
      <c r="AM64" s="73" t="n">
        <v>3.44</v>
      </c>
      <c r="AN64" s="73" t="n">
        <v>-5.72</v>
      </c>
      <c r="AO64" s="73" t="n">
        <v>-5.36</v>
      </c>
      <c r="AP64" s="63" t="inlineStr">
        <is>
          <t>Hang Seng Properties sub-index</t>
        </is>
      </c>
      <c r="AQ64" s="73" t="n">
        <v>-84.38</v>
      </c>
      <c r="AR64" s="64" t="inlineStr">
        <is>
          <t>2026-08-19</t>
        </is>
      </c>
      <c r="AS64" s="65" t="n">
        <v>633.1</v>
      </c>
      <c r="AT64" s="68" t="n">
        <v>101</v>
      </c>
      <c r="AU64" s="63" t="inlineStr">
        <is>
          <t>Y</t>
        </is>
      </c>
      <c r="AV64" s="74" t="n">
        <v>26.5</v>
      </c>
      <c r="AW64" s="74" t="n">
        <v>16.3</v>
      </c>
      <c r="AX64" s="74" t="n"/>
      <c r="AY64" s="74" t="n">
        <v>4.2</v>
      </c>
      <c r="AZ64" s="75" t="inlineStr">
        <is>
          <t>N</t>
        </is>
      </c>
      <c r="BA64" s="76">
        <f>IF('BBG Verify'!K64="","not filed — run on terminal",'BBG Verify'!K64)</f>
        <v/>
      </c>
      <c r="BB64" s="63" t="inlineStr">
        <is>
          <t>N/A</t>
        </is>
      </c>
      <c r="BC64" s="63" t="inlineStr">
        <is>
          <t>N/A</t>
        </is>
      </c>
      <c r="BD64" s="63" t="inlineStr">
        <is>
          <t>N/A</t>
        </is>
      </c>
      <c r="BE64" s="63" t="inlineStr">
        <is>
          <t>N/A</t>
        </is>
      </c>
      <c r="BF64" s="63" t="inlineStr">
        <is>
          <t>N/A</t>
        </is>
      </c>
      <c r="BG64" s="75" t="inlineStr">
        <is>
          <t>CCB International Capital Limited</t>
        </is>
      </c>
      <c r="BH64" s="63" t="inlineStr">
        <is>
          <t>CCB International Capital Limited</t>
        </is>
      </c>
      <c r="BI64" s="63" t="inlineStr">
        <is>
          <t>CCB International Capital Limited; Haitong International Securities Company Limited; Sheng Yuan Securities Limited; Shenwan Hongyuan Securities (H.K.) Limited; DL SECURITIES (HK) LIMITED</t>
        </is>
      </c>
      <c r="BJ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7">
        <f>HYPERLINK("https://www1.hkexnews.hk/listedco/listconews/sehk/2021/0629/2021062900193.pdf","prospectus")</f>
        <v/>
      </c>
      <c r="BL64" s="77">
        <f>HYPERLINK("https://www1.hkexnews.hk/listedco/listconews/sehk/2021/0715/2021071500080.htm","allotment")</f>
        <v/>
      </c>
      <c r="BM64" s="77">
        <f>HYPERLINK("https://www1.hkexnews.hk/listedco/listconews/sehk/2021/0809/2021080900033.pdf","stabilisation")</f>
        <v/>
      </c>
      <c r="BN64" s="75" t="n"/>
      <c r="BO64"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7" t="n">
        <v>19.51</v>
      </c>
      <c r="W65" s="63" t="inlineStr">
        <is>
          <t>Shanghai Huijin Asset Management Co., Ltd; YBN Investments</t>
        </is>
      </c>
      <c r="X65" s="63" t="inlineStr">
        <is>
          <t>shanghai-huijin;ybn</t>
        </is>
      </c>
      <c r="Y65" s="67" t="n">
        <v>6.6</v>
      </c>
      <c r="Z65" s="63" t="inlineStr">
        <is>
          <t>partial</t>
        </is>
      </c>
      <c r="AA65" s="72" t="n">
        <v>13.85</v>
      </c>
      <c r="AB65" s="73" t="n">
        <v>26.15</v>
      </c>
      <c r="AC65" s="73" t="n">
        <v>-9.75</v>
      </c>
      <c r="AD65" s="73" t="n">
        <v>26.46</v>
      </c>
      <c r="AE65" s="73" t="n">
        <v>93.84999999999999</v>
      </c>
      <c r="AF65" s="73" t="n">
        <v>61.54</v>
      </c>
      <c r="AG65" s="73" t="n">
        <v>11.08</v>
      </c>
      <c r="AH65" s="73" t="n">
        <v>70.27</v>
      </c>
      <c r="AI65" s="73" t="n">
        <v>41.89</v>
      </c>
      <c r="AJ65" s="73" t="n">
        <v>29.83</v>
      </c>
      <c r="AK65" s="73" t="n">
        <v>103.85</v>
      </c>
      <c r="AL65" s="73" t="n">
        <v>71.43000000000001</v>
      </c>
      <c r="AM65" s="73" t="n">
        <v>80.22</v>
      </c>
      <c r="AN65" s="73" t="n">
        <v>-10</v>
      </c>
      <c r="AO65" s="73" t="n">
        <v>-9.949999999999999</v>
      </c>
      <c r="AP65" s="63" t="inlineStr">
        <is>
          <t>Hang Seng Commerce &amp; Industry sub-index</t>
        </is>
      </c>
      <c r="AQ65" s="73" t="n">
        <v>194.92</v>
      </c>
      <c r="AR65" s="64" t="inlineStr">
        <is>
          <t>2026-08-20</t>
        </is>
      </c>
      <c r="AS65" s="65" t="n">
        <v>626</v>
      </c>
      <c r="AT65" s="68" t="n">
        <v>168.1</v>
      </c>
      <c r="AU65" s="63" t="inlineStr">
        <is>
          <t>Y</t>
        </is>
      </c>
      <c r="AV65" s="74" t="n">
        <v>28.2</v>
      </c>
      <c r="AW65" s="74" t="n"/>
      <c r="AX65" s="74" t="n"/>
      <c r="AY65" s="74" t="n">
        <v>7.6</v>
      </c>
      <c r="AZ65" s="75" t="inlineStr">
        <is>
          <t>N</t>
        </is>
      </c>
      <c r="BA65" s="76">
        <f>IF('BBG Verify'!K65="","not filed — run on terminal",'BBG Verify'!K65)</f>
        <v/>
      </c>
      <c r="BB65" s="63" t="inlineStr">
        <is>
          <t>N/A</t>
        </is>
      </c>
      <c r="BC65" s="63" t="inlineStr">
        <is>
          <t>N/A</t>
        </is>
      </c>
      <c r="BD65" s="63" t="inlineStr">
        <is>
          <t>N/A</t>
        </is>
      </c>
      <c r="BE65" s="63" t="inlineStr">
        <is>
          <t>N/A</t>
        </is>
      </c>
      <c r="BF65" s="63" t="inlineStr">
        <is>
          <t>N/A</t>
        </is>
      </c>
      <c r="BG65" s="75" t="inlineStr">
        <is>
          <t>Essence Corporate Finance (Hong Kong) Limited</t>
        </is>
      </c>
      <c r="BH65" s="63" t="inlineStr">
        <is>
          <t>Essence Corporate Finance (Hong Kong) Limited</t>
        </is>
      </c>
      <c r="BI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7">
        <f>HYPERLINK("https://www1.hkexnews.hk/listedco/listconews/sehk/2021/0630/2021063000059.pdf","prospectus")</f>
        <v/>
      </c>
      <c r="BL65" s="77">
        <f>HYPERLINK("https://www1.hkexnews.hk/listedco/listconews/sehk/2021/0715/2021071500120.htm","allotment")</f>
        <v/>
      </c>
      <c r="BM65" s="77">
        <f>HYPERLINK("https://www1.hkexnews.hk/listedco/listconews/sehk/2021/0805/2021080502158.pdf","stabilisation")</f>
        <v/>
      </c>
      <c r="BN65" s="75" t="n"/>
      <c r="BO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c r="L66" s="66" t="n">
        <v>5.2</v>
      </c>
      <c r="M66" s="66" t="n">
        <v>4.75</v>
      </c>
      <c r="N66" s="63" t="inlineStr">
        <is>
          <t>N</t>
        </is>
      </c>
      <c r="O66" s="67" t="n">
        <v>91.3</v>
      </c>
      <c r="P66" s="67" t="n"/>
      <c r="Q66" s="68" t="n">
        <v>2805</v>
      </c>
      <c r="R66" s="63" t="inlineStr">
        <is>
          <t>prospectus:stated market capitalisation</t>
        </is>
      </c>
      <c r="S66" s="69" t="n">
        <v>3.22</v>
      </c>
      <c r="T66" s="70" t="n">
        <v>1.29</v>
      </c>
      <c r="U66" s="71" t="n">
        <v>0</v>
      </c>
      <c r="V66" s="67" t="n">
        <v>27.94</v>
      </c>
      <c r="W66" s="63" t="n"/>
      <c r="X66" s="63" t="n"/>
      <c r="Y66" s="67" t="n">
        <v>15</v>
      </c>
      <c r="Z66" s="63" t="inlineStr">
        <is>
          <t>partial</t>
        </is>
      </c>
      <c r="AA66" s="72" t="n">
        <v>0</v>
      </c>
      <c r="AB66" s="73" t="n">
        <v>0.21</v>
      </c>
      <c r="AC66" s="73" t="n">
        <v>-0.21</v>
      </c>
      <c r="AD66" s="73" t="n">
        <v>0</v>
      </c>
      <c r="AE66" s="73" t="n">
        <v>-7.37</v>
      </c>
      <c r="AF66" s="73" t="n">
        <v>-3.16</v>
      </c>
      <c r="AG66" s="73" t="n">
        <v>0</v>
      </c>
      <c r="AH66" s="73" t="n">
        <v>-7.37</v>
      </c>
      <c r="AI66" s="73" t="n">
        <v>-3.16</v>
      </c>
      <c r="AJ66" s="73" t="n">
        <v>4.15</v>
      </c>
      <c r="AK66" s="73" t="n">
        <v>-1.03</v>
      </c>
      <c r="AL66" s="73" t="n">
        <v>7.04</v>
      </c>
      <c r="AM66" s="73" t="n">
        <v>-2.14</v>
      </c>
      <c r="AN66" s="73" t="n">
        <v>-6.34</v>
      </c>
      <c r="AO66" s="73" t="n">
        <v>-5.23</v>
      </c>
      <c r="AP66" s="63" t="inlineStr">
        <is>
          <t>Hang Seng Properties sub-index</t>
        </is>
      </c>
      <c r="AQ66" s="73" t="n">
        <v>-99.03</v>
      </c>
      <c r="AR66" s="64" t="inlineStr">
        <is>
          <t>2026-08-21</t>
        </is>
      </c>
      <c r="AS66" s="65" t="n">
        <v>4340.7</v>
      </c>
      <c r="AT66" s="68" t="n">
        <v>404.5</v>
      </c>
      <c r="AU66" s="63" t="inlineStr">
        <is>
          <t>Y</t>
        </is>
      </c>
      <c r="AV66" s="74" t="n">
        <v>6.9</v>
      </c>
      <c r="AW66" s="74" t="n"/>
      <c r="AX66" s="74" t="n"/>
      <c r="AY66" s="74" t="n">
        <v>0.6</v>
      </c>
      <c r="AZ66" s="75" t="inlineStr">
        <is>
          <t>N</t>
        </is>
      </c>
      <c r="BA66" s="76">
        <f>IF('BBG Verify'!K66="","not filed — run on terminal",'BBG Verify'!K66)</f>
        <v/>
      </c>
      <c r="BB66" s="63" t="inlineStr">
        <is>
          <t>N/A</t>
        </is>
      </c>
      <c r="BC66" s="63" t="inlineStr">
        <is>
          <t>N/A</t>
        </is>
      </c>
      <c r="BD66" s="63" t="inlineStr">
        <is>
          <t>N/A</t>
        </is>
      </c>
      <c r="BE66" s="63" t="inlineStr">
        <is>
          <t>N/A</t>
        </is>
      </c>
      <c r="BF66" s="63" t="inlineStr">
        <is>
          <t>N/A</t>
        </is>
      </c>
      <c r="BG66" s="75" t="n"/>
      <c r="BH66" s="63" t="inlineStr">
        <is>
          <t>CCB International Capital Limited</t>
        </is>
      </c>
      <c r="BI66" s="63" t="inlineStr">
        <is>
          <t>CCB International Capital Limited; CRIC Securities Company Limited; BOCOM International Securities Limited</t>
        </is>
      </c>
      <c r="BJ66" s="63" t="inlineStr">
        <is>
          <t>Beta International Securities Limited; CCB International Capital Limited; CRIC Securities Company Limited; Futu Securities International (Hong Kong) Limited; I Win Securities Limited; Valuable Capital Limited</t>
        </is>
      </c>
      <c r="BK66" s="77">
        <f>HYPERLINK("https://www1.hkexnews.hk/listedco/listconews/sehk/2021/0630/2021063000037.pdf","prospectus")</f>
        <v/>
      </c>
      <c r="BL66" s="77">
        <f>HYPERLINK("https://www1.hkexnews.hk/listedco/listconews/sehk/2021/0716/2021071600044.htm","allotment")</f>
        <v/>
      </c>
      <c r="BM66" s="77">
        <f>HYPERLINK("https://www1.hkexnews.hk/listedco/listconews/sehk/2021/0811/2021081101494.pdf","stabilisation")</f>
        <v/>
      </c>
      <c r="BN66" s="75" t="n"/>
      <c r="BO66" s="63"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307800</v>
      </c>
      <c r="R67" s="63" t="inlineStr">
        <is>
          <t>prospectus:stated market capitalisation</t>
        </is>
      </c>
      <c r="S67" s="69" t="n">
        <v>5.5</v>
      </c>
      <c r="T67" s="70" t="n">
        <v>7.9</v>
      </c>
      <c r="U67" s="71" t="n"/>
      <c r="V67" s="67" t="n">
        <v>3.83</v>
      </c>
      <c r="W67" s="63" t="n"/>
      <c r="X67" s="63" t="n"/>
      <c r="Y67" s="67" t="n">
        <v>5.56</v>
      </c>
      <c r="Z67" s="63" t="inlineStr">
        <is>
          <t>partial</t>
        </is>
      </c>
      <c r="AA67" s="72" t="n">
        <v>-0.85</v>
      </c>
      <c r="AB67" s="73" t="n">
        <v>0</v>
      </c>
      <c r="AC67" s="73" t="n">
        <v>-0.85</v>
      </c>
      <c r="AD67" s="73" t="n">
        <v>-7.71</v>
      </c>
      <c r="AE67" s="73" t="n">
        <v>0.76</v>
      </c>
      <c r="AF67" s="73" t="n">
        <v>0.85</v>
      </c>
      <c r="AG67" s="73" t="n">
        <v>-6.92</v>
      </c>
      <c r="AH67" s="73" t="n">
        <v>1.62</v>
      </c>
      <c r="AI67" s="73" t="n">
        <v>1.71</v>
      </c>
      <c r="AJ67" s="73" t="n">
        <v>0.27</v>
      </c>
      <c r="AK67" s="73" t="n">
        <v>2.02</v>
      </c>
      <c r="AL67" s="73" t="n">
        <v>5.17</v>
      </c>
      <c r="AM67" s="73" t="n">
        <v>2.71</v>
      </c>
      <c r="AN67" s="73" t="n">
        <v>-1.26</v>
      </c>
      <c r="AO67" s="73" t="n">
        <v>-1.09</v>
      </c>
      <c r="AP67" s="63" t="inlineStr">
        <is>
          <t>Hang Seng Commerce &amp; Industry sub-index</t>
        </is>
      </c>
      <c r="AQ67" s="73" t="n">
        <v>-57.16</v>
      </c>
      <c r="AR67" s="64" t="inlineStr">
        <is>
          <t>2026-08-20</t>
        </is>
      </c>
      <c r="AS67" s="65" t="n">
        <v>10402.3</v>
      </c>
      <c r="AT67" s="68" t="n">
        <v>-166.9</v>
      </c>
      <c r="AU67" s="63" t="inlineStr">
        <is>
          <t>N</t>
        </is>
      </c>
      <c r="AV67" s="63" t="inlineStr">
        <is>
          <t>n/m</t>
        </is>
      </c>
      <c r="AW67" s="74" t="n"/>
      <c r="AX67" s="74" t="n"/>
      <c r="AY67" s="74" t="n">
        <v>29.6</v>
      </c>
      <c r="AZ67" s="75" t="inlineStr">
        <is>
          <t>N</t>
        </is>
      </c>
      <c r="BA67" s="76">
        <f>IF('BBG Verify'!K67="","not filed — run on terminal",'BBG Verify'!K67)</f>
        <v/>
      </c>
      <c r="BB67" s="63" t="inlineStr">
        <is>
          <t>N/A</t>
        </is>
      </c>
      <c r="BC67" s="63" t="inlineStr">
        <is>
          <t>N/A</t>
        </is>
      </c>
      <c r="BD67" s="63" t="inlineStr">
        <is>
          <t>N/A</t>
        </is>
      </c>
      <c r="BE67" s="63" t="inlineStr">
        <is>
          <t>N/A</t>
        </is>
      </c>
      <c r="BF67" s="63" t="inlineStr">
        <is>
          <t>N/A</t>
        </is>
      </c>
      <c r="BG67" s="75" t="inlineStr">
        <is>
          <t>Goldman Sachs (Asia) L.L.C; China International Capital Corporation Hong Kong Securities Limited</t>
        </is>
      </c>
      <c r="BH67" s="63" t="inlineStr">
        <is>
          <t>China International Capital Corporation Hong Kong Securities Limited; Goldman Sachs (Asia) L.L.C.</t>
        </is>
      </c>
      <c r="BI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3" t="inlineStr">
        <is>
          <t>BOCI Asia Limited; China International Capital Corporation Hong Kong Securities Limited; CLSA Limited; CMB International Capital Limited; Futu Securities International (Hong Kong) Limited; Goldman Sachs (Asia) L.L.C.; UBS AG Hong Kong Branch</t>
        </is>
      </c>
      <c r="BK67" s="77">
        <f>HYPERLINK("https://www1.hkexnews.hk/listedco/listconews/sehk/2021/0803/2021080300011.pdf","prospectus")</f>
        <v/>
      </c>
      <c r="BL67" s="77">
        <f>HYPERLINK("https://www1.hkexnews.hk/listedco/listconews/sehk/2021/0811/2021081100020.htm","allotment")</f>
        <v/>
      </c>
      <c r="BM67" s="77">
        <f>HYPERLINK("https://www1.hkexnews.hk/listedco/listconews/sehk/2021/0905/2021090500025.pdf","stabilisation")</f>
        <v/>
      </c>
      <c r="BN67" s="75" t="n"/>
      <c r="BO67"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159.8</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7" t="n">
        <v>2.07</v>
      </c>
      <c r="W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3" t="inlineStr">
        <is>
          <t>3w;aspex;boyu;lake;lyfe;octagon;sage;superstring;valliance</t>
        </is>
      </c>
      <c r="Y68" s="67" t="n">
        <v>9.470000000000001</v>
      </c>
      <c r="Z68" s="63" t="inlineStr">
        <is>
          <t>lapsed</t>
        </is>
      </c>
      <c r="AA68" s="72" t="n">
        <v>-24.56</v>
      </c>
      <c r="AB68" s="73" t="n">
        <v>-17.43</v>
      </c>
      <c r="AC68" s="73" t="n">
        <v>-8.640000000000001</v>
      </c>
      <c r="AD68" s="73" t="n">
        <v>-28.19</v>
      </c>
      <c r="AE68" s="73" t="n">
        <v>-42.4</v>
      </c>
      <c r="AF68" s="73" t="n">
        <v>-56.9</v>
      </c>
      <c r="AG68" s="73" t="n">
        <v>-4.81</v>
      </c>
      <c r="AH68" s="73" t="n">
        <v>-23.65</v>
      </c>
      <c r="AI68" s="73" t="n">
        <v>-42.87</v>
      </c>
      <c r="AJ68" s="73" t="n">
        <v>-24.24</v>
      </c>
      <c r="AK68" s="73" t="n">
        <v>-42.45</v>
      </c>
      <c r="AL68" s="73" t="n">
        <v>-47.55</v>
      </c>
      <c r="AM68" s="73" t="n">
        <v>-28.84</v>
      </c>
      <c r="AN68" s="73" t="n">
        <v>0.05</v>
      </c>
      <c r="AO68" s="73" t="n">
        <v>5.19</v>
      </c>
      <c r="AP68" s="63" t="inlineStr">
        <is>
          <t>China Biotech ETF (HS biotech proxy)</t>
        </is>
      </c>
      <c r="AQ68" s="73" t="n">
        <v>-71.04000000000001</v>
      </c>
      <c r="AR68" s="64" t="inlineStr">
        <is>
          <t>2026-08-20</t>
        </is>
      </c>
      <c r="AS68" s="65" t="n">
        <v>0.1</v>
      </c>
      <c r="AT68" s="68" t="n"/>
      <c r="AU68" s="63" t="n"/>
      <c r="AV68" s="78">
        <f>IF('BBG Verify'!O68="","not filed — run on terminal",'BBG Verify'!O68)</f>
        <v/>
      </c>
      <c r="AW68" s="74" t="n"/>
      <c r="AX68" s="74" t="n">
        <v>20.8</v>
      </c>
      <c r="AY68" s="74" t="n">
        <v>66407</v>
      </c>
      <c r="AZ68" s="75" t="inlineStr">
        <is>
          <t>N</t>
        </is>
      </c>
      <c r="BA68" s="76">
        <f>IF('BBG Verify'!K68="","not filed — run on terminal",'BBG Verify'!K68)</f>
        <v/>
      </c>
      <c r="BB68" s="63" t="inlineStr">
        <is>
          <t>N/A</t>
        </is>
      </c>
      <c r="BC68" s="63" t="inlineStr">
        <is>
          <t>N/A</t>
        </is>
      </c>
      <c r="BD68" s="63" t="inlineStr">
        <is>
          <t>N/A</t>
        </is>
      </c>
      <c r="BE68" s="63" t="inlineStr">
        <is>
          <t>N/A</t>
        </is>
      </c>
      <c r="BF68" s="63" t="inlineStr">
        <is>
          <t>N/A</t>
        </is>
      </c>
      <c r="BG68" s="75" t="inlineStr">
        <is>
          <t>Goldman Sachs (Asia) L.L.C; China International Capital Corporation Hong Kong Securities Limited</t>
        </is>
      </c>
      <c r="BH68" s="63" t="inlineStr">
        <is>
          <t>China International Capital Corporation Hong Kong Securities Limited; Goldman Sachs (Asia) L.L.C.</t>
        </is>
      </c>
      <c r="BI68" s="63" t="inlineStr">
        <is>
          <t>Goldman Sachs (Asia) L.L.C; China International Capital Corporation Hong Kong Securities Limited</t>
        </is>
      </c>
      <c r="BJ68" s="63" t="inlineStr">
        <is>
          <t>China International Capital Corporation Hong Kong Securities Limited; Futu Securities International (Hong Kong) Limited; Goldman Sachs (Asia) L.L.C.</t>
        </is>
      </c>
      <c r="BK68" s="77">
        <f>HYPERLINK("https://www1.hkexnews.hk/listedco/listconews/sehk/2021/0810/2021081000015.pdf","prospectus")</f>
        <v/>
      </c>
      <c r="BL68" s="77">
        <f>HYPERLINK("https://www1.hkexnews.hk/listedco/listconews/sehk/2021/0819/2021081900014.htm","allotment")</f>
        <v/>
      </c>
      <c r="BM68" s="77">
        <f>HYPERLINK("https://www1.hkexnews.hk/listedco/listconews/sehk/2021/0912/2021091200105.pdf","stabilisation")</f>
        <v/>
      </c>
      <c r="BN68" s="75" t="n"/>
      <c r="BO68" s="63"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7" t="n">
        <v>17.45</v>
      </c>
      <c r="W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3" t="inlineStr">
        <is>
          <t>athos;china-international;universal;cpe;daguan;dymon;healthcare;new-journey;panjing;perseverance;pinpoint;primeone;valliance</t>
        </is>
      </c>
      <c r="Y69" s="67" t="n">
        <v>11.72</v>
      </c>
      <c r="Z69" s="63" t="inlineStr">
        <is>
          <t>lapsed</t>
        </is>
      </c>
      <c r="AA69" s="72" t="n">
        <v>-26.05</v>
      </c>
      <c r="AB69" s="73" t="n">
        <v>-23.03</v>
      </c>
      <c r="AC69" s="73" t="n">
        <v>-3.92</v>
      </c>
      <c r="AD69" s="73" t="n">
        <v>-26.89</v>
      </c>
      <c r="AE69" s="73" t="n">
        <v>-37.9</v>
      </c>
      <c r="AF69" s="73" t="n">
        <v>-41.01</v>
      </c>
      <c r="AG69" s="73" t="n">
        <v>-1.14</v>
      </c>
      <c r="AH69" s="73" t="n">
        <v>-16.02</v>
      </c>
      <c r="AI69" s="73" t="n">
        <v>-20.23</v>
      </c>
      <c r="AJ69" s="73" t="n">
        <v>-25.03</v>
      </c>
      <c r="AK69" s="73" t="n">
        <v>-38.55</v>
      </c>
      <c r="AL69" s="73" t="n">
        <v>-36.11</v>
      </c>
      <c r="AM69" s="73" t="n">
        <v>-14.79</v>
      </c>
      <c r="AN69" s="73" t="n">
        <v>0.65</v>
      </c>
      <c r="AO69" s="73" t="n">
        <v>-1.23</v>
      </c>
      <c r="AP69" s="63" t="inlineStr">
        <is>
          <t>China Biotech ETF (HS biotech proxy)</t>
        </is>
      </c>
      <c r="AQ69" s="73" t="n">
        <v>-72.98</v>
      </c>
      <c r="AR69" s="64" t="inlineStr">
        <is>
          <t>2026-08-20</t>
        </is>
      </c>
      <c r="AS69" s="65" t="n">
        <v>21.6</v>
      </c>
      <c r="AT69" s="68" t="n">
        <v>-4.1</v>
      </c>
      <c r="AU69" s="63" t="inlineStr">
        <is>
          <t>N</t>
        </is>
      </c>
      <c r="AV69" s="63" t="inlineStr">
        <is>
          <t>n/m</t>
        </is>
      </c>
      <c r="AW69" s="74" t="n"/>
      <c r="AX69" s="74" t="n">
        <v>14</v>
      </c>
      <c r="AY69" s="74" t="n">
        <v>309.9</v>
      </c>
      <c r="AZ69" s="75" t="inlineStr">
        <is>
          <t>N</t>
        </is>
      </c>
      <c r="BA69" s="76">
        <f>IF('BBG Verify'!K69="","not filed — run on terminal",'BBG Verify'!K69)</f>
        <v/>
      </c>
      <c r="BB69" s="63" t="inlineStr">
        <is>
          <t>N/A</t>
        </is>
      </c>
      <c r="BC69" s="63" t="inlineStr">
        <is>
          <t>N/A</t>
        </is>
      </c>
      <c r="BD69" s="63" t="inlineStr">
        <is>
          <t>N/A</t>
        </is>
      </c>
      <c r="BE69" s="63" t="inlineStr">
        <is>
          <t>N/A</t>
        </is>
      </c>
      <c r="BF69" s="63" t="inlineStr">
        <is>
          <t>N/A</t>
        </is>
      </c>
      <c r="BG69" s="75" t="inlineStr">
        <is>
          <t>Morgan Stanley Asia Limited; China International Capital Corporation Hong Kong Securities Limited</t>
        </is>
      </c>
      <c r="BH69" s="63" t="inlineStr">
        <is>
          <t>China International Capital Corporation Hong Kong Securities Limited; Morgan Stanley Asia Limited</t>
        </is>
      </c>
      <c r="BI69" s="63" t="inlineStr">
        <is>
          <t>Morgan Stanley Asia Limited; Morgan Stanley &amp; Co. International plc; China Merchants Securities (HK) Co., Limited; Valuable Capital Limited</t>
        </is>
      </c>
      <c r="BJ69" s="63" t="inlineStr">
        <is>
          <t>China International Capital Corporation Hong Kong Securities Limited; China Merchants Securities (HK) Company Limited; Morgan Stanley Asia Limited; Valuable Capital Limited</t>
        </is>
      </c>
      <c r="BK69" s="77">
        <f>HYPERLINK("https://www1.hkexnews.hk/listedco/listconews/sehk/2021/0812/2021081200017.pdf","prospectus")</f>
        <v/>
      </c>
      <c r="BL69" s="77">
        <f>HYPERLINK("https://www1.hkexnews.hk/listedco/listconews/sehk/2021/0823/2021082300014.htm","allotment")</f>
        <v/>
      </c>
      <c r="BM69" s="77">
        <f>HYPERLINK("https://www1.hkexnews.hk/listedco/listconews/sehk/2021/0916/2021091601755.pdf","stabilisation")</f>
        <v/>
      </c>
      <c r="BN69" s="75" t="n"/>
      <c r="BO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c r="L70" s="66" t="n">
        <v>20.72</v>
      </c>
      <c r="M70" s="66" t="n">
        <v>19.77</v>
      </c>
      <c r="N70" s="63" t="inlineStr">
        <is>
          <t>N</t>
        </is>
      </c>
      <c r="O70" s="67" t="n">
        <v>95.40000000000001</v>
      </c>
      <c r="P70" s="67" t="n"/>
      <c r="Q70" s="68" t="n">
        <v>25831.7</v>
      </c>
      <c r="R70" s="63" t="inlineStr">
        <is>
          <t>prospectus:stated market capitalisation</t>
        </is>
      </c>
      <c r="S70" s="69" t="n">
        <v>30.8</v>
      </c>
      <c r="T70" s="70" t="n">
        <v>25.58</v>
      </c>
      <c r="U70" s="71" t="n">
        <v>0</v>
      </c>
      <c r="V70" s="67" t="n">
        <v>10.31</v>
      </c>
      <c r="W70" s="63" t="n"/>
      <c r="X70" s="63" t="n"/>
      <c r="Y70" s="67" t="n">
        <v>19.4478</v>
      </c>
      <c r="Z70" s="63" t="inlineStr">
        <is>
          <t>full</t>
        </is>
      </c>
      <c r="AA70" s="72" t="n">
        <v>22.91</v>
      </c>
      <c r="AB70" s="73" t="n">
        <v>16.59</v>
      </c>
      <c r="AC70" s="73" t="n">
        <v>5.42</v>
      </c>
      <c r="AD70" s="73" t="n">
        <v>16.34</v>
      </c>
      <c r="AE70" s="73" t="n">
        <v>2.93</v>
      </c>
      <c r="AF70" s="73" t="n">
        <v>4.96</v>
      </c>
      <c r="AG70" s="73" t="n">
        <v>-5.35</v>
      </c>
      <c r="AH70" s="73" t="n">
        <v>-16.26</v>
      </c>
      <c r="AI70" s="73" t="n">
        <v>-14.6</v>
      </c>
      <c r="AJ70" s="73" t="n">
        <v>19.3</v>
      </c>
      <c r="AK70" s="73" t="n">
        <v>5.11</v>
      </c>
      <c r="AL70" s="73" t="n">
        <v>16.34</v>
      </c>
      <c r="AM70" s="73" t="n">
        <v>-12.02</v>
      </c>
      <c r="AN70" s="73" t="n">
        <v>-2.18</v>
      </c>
      <c r="AO70" s="73" t="n">
        <v>-4.24</v>
      </c>
      <c r="AP70" s="63" t="inlineStr">
        <is>
          <t>Hang Seng Commerce &amp; Industry sub-index</t>
        </is>
      </c>
      <c r="AQ70" s="73" t="n">
        <v>-91.59999999999999</v>
      </c>
      <c r="AR70" s="64" t="inlineStr">
        <is>
          <t>2026-08-20</t>
        </is>
      </c>
      <c r="AS70" s="65" t="n">
        <v>899.7</v>
      </c>
      <c r="AT70" s="68" t="n">
        <v>106.7</v>
      </c>
      <c r="AU70" s="63" t="inlineStr">
        <is>
          <t>Y</t>
        </is>
      </c>
      <c r="AV70" s="74" t="n">
        <v>242.1</v>
      </c>
      <c r="AW70" s="74" t="n"/>
      <c r="AX70" s="74" t="n">
        <v>49.6</v>
      </c>
      <c r="AY70" s="74" t="n">
        <v>28.7</v>
      </c>
      <c r="AZ70" s="75" t="inlineStr">
        <is>
          <t>N</t>
        </is>
      </c>
      <c r="BA70" s="76">
        <f>IF('BBG Verify'!K70="","not filed — run on terminal",'BBG Verify'!K70)</f>
        <v/>
      </c>
      <c r="BB70" s="63" t="inlineStr">
        <is>
          <t>N/A</t>
        </is>
      </c>
      <c r="BC70" s="63" t="inlineStr">
        <is>
          <t>N/A</t>
        </is>
      </c>
      <c r="BD70" s="63" t="inlineStr">
        <is>
          <t>N/A</t>
        </is>
      </c>
      <c r="BE70" s="63" t="inlineStr">
        <is>
          <t>N/A</t>
        </is>
      </c>
      <c r="BF70" s="63" t="inlineStr">
        <is>
          <t>N/A</t>
        </is>
      </c>
      <c r="BG70" s="7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3" t="inlineStr">
        <is>
          <t>China International Capital Corporation Hong Kong Securities Limited</t>
        </is>
      </c>
      <c r="BI70" s="63" t="inlineStr">
        <is>
          <t>China International Capital Corporation Hong Kong Securities Limited</t>
        </is>
      </c>
      <c r="BJ70" s="63" t="inlineStr">
        <is>
          <t>China International Capital Corporation Hong Kong Securities Limited</t>
        </is>
      </c>
      <c r="BK70" s="77">
        <f>HYPERLINK("https://www1.hkexnews.hk/listedco/listconews/sehk/2021/0831/2021083100011.pdf","prospectus")</f>
        <v/>
      </c>
      <c r="BL70" s="77">
        <f>HYPERLINK("https://www1.hkexnews.hk/listedco/listconews/sehk/2021/0909/2021090900010.htm","allotment")</f>
        <v/>
      </c>
      <c r="BM70" s="77">
        <f>HYPERLINK("https://www1.hkexnews.hk/listedco/listconews/sehk/2021/1003/2021100300023.pdf","stabilisation")</f>
        <v/>
      </c>
      <c r="BN70" s="75" t="n"/>
      <c r="BO70" s="63" t="inlineStr">
        <is>
          <t>range low: cap-only pricing — the filing publishes a Maximum Offer Price and no indicative floor · A/H: no A-share listing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7" t="n">
        <v>10.22</v>
      </c>
      <c r="W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3" t="inlineStr">
        <is>
          <t>artisan;cephei;emerging;lake;snow;springhill;summer;valliance;ubs;healthcare</t>
        </is>
      </c>
      <c r="Y71" s="67" t="n">
        <v>7</v>
      </c>
      <c r="Z71" s="63" t="inlineStr">
        <is>
          <t>lapsed</t>
        </is>
      </c>
      <c r="AA71" s="72" t="n">
        <v>-19.79</v>
      </c>
      <c r="AB71" s="73" t="n">
        <v>-3.74</v>
      </c>
      <c r="AC71" s="73" t="n">
        <v>-16.67</v>
      </c>
      <c r="AD71" s="73" t="n">
        <v>-27.81</v>
      </c>
      <c r="AE71" s="73" t="n">
        <v>-39.57</v>
      </c>
      <c r="AF71" s="73" t="n">
        <v>-56.74</v>
      </c>
      <c r="AG71" s="73" t="n">
        <v>-10</v>
      </c>
      <c r="AH71" s="73" t="n">
        <v>-24.66</v>
      </c>
      <c r="AI71" s="73" t="n">
        <v>-46.07</v>
      </c>
      <c r="AJ71" s="73" t="n">
        <v>-25.6</v>
      </c>
      <c r="AK71" s="73" t="n">
        <v>-32.85</v>
      </c>
      <c r="AL71" s="73" t="n">
        <v>-40.49</v>
      </c>
      <c r="AM71" s="73" t="n">
        <v>-18.1</v>
      </c>
      <c r="AN71" s="73" t="n">
        <v>-6.72</v>
      </c>
      <c r="AO71" s="73" t="n">
        <v>-6.56</v>
      </c>
      <c r="AP71" s="63" t="inlineStr">
        <is>
          <t>China Biotech ETF (HS biotech proxy)</t>
        </is>
      </c>
      <c r="AQ71" s="73" t="n">
        <v>-96.59999999999999</v>
      </c>
      <c r="AR71" s="64" t="inlineStr">
        <is>
          <t>2026-08-20</t>
        </is>
      </c>
      <c r="AS71" s="65" t="n">
        <v>4.1</v>
      </c>
      <c r="AT71" s="68" t="n"/>
      <c r="AU71" s="63" t="n"/>
      <c r="AV71" s="78">
        <f>IF('BBG Verify'!O71="","not filed — run on terminal",'BBG Verify'!O71)</f>
        <v/>
      </c>
      <c r="AW71" s="74" t="n"/>
      <c r="AX71" s="74" t="n"/>
      <c r="AY71" s="74" t="n">
        <v>2301.2</v>
      </c>
      <c r="AZ71" s="75" t="inlineStr">
        <is>
          <t>N</t>
        </is>
      </c>
      <c r="BA71" s="76">
        <f>IF('BBG Verify'!K71="","not filed — run on terminal",'BBG Verify'!K71)</f>
        <v/>
      </c>
      <c r="BB71" s="63" t="inlineStr">
        <is>
          <t>N/A</t>
        </is>
      </c>
      <c r="BC71" s="63" t="inlineStr">
        <is>
          <t>N/A</t>
        </is>
      </c>
      <c r="BD71" s="63" t="inlineStr">
        <is>
          <t>N/A</t>
        </is>
      </c>
      <c r="BE71" s="63" t="inlineStr">
        <is>
          <t>N/A</t>
        </is>
      </c>
      <c r="BF71" s="63" t="inlineStr">
        <is>
          <t>N/A</t>
        </is>
      </c>
      <c r="BG71" s="75" t="inlineStr">
        <is>
          <t>Goldman Sachs (Asia) L.L.C; Haitong International Capital Limited</t>
        </is>
      </c>
      <c r="BH71" s="63" t="inlineStr">
        <is>
          <t>Haitong International Capital Limited; Goldman Sachs (Asia) L.L.C.</t>
        </is>
      </c>
      <c r="BI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7">
        <f>HYPERLINK("https://www1.hkexnews.hk/listedco/listconews/sehk/2021/0913/2021091300015.pdf","prospectus")</f>
        <v/>
      </c>
      <c r="BL71" s="77">
        <f>HYPERLINK("https://www1.hkexnews.hk/listedco/listconews/sehk/2021/0923/2021092300020.htm","allotment")</f>
        <v/>
      </c>
      <c r="BM71" s="77">
        <f>HYPERLINK("https://www1.hkexnews.hk/listedco/listconews/sehk/2021/1017/2021101700017.pdf","stabilisation")</f>
        <v/>
      </c>
      <c r="BN71" s="75" t="n"/>
      <c r="BO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v>7.92</v>
      </c>
      <c r="L72" s="66" t="n">
        <v>8.710000000000001</v>
      </c>
      <c r="M72" s="66" t="n">
        <v>7.92</v>
      </c>
      <c r="N72" s="63" t="inlineStr">
        <is>
          <t>N</t>
        </is>
      </c>
      <c r="O72" s="67" t="n">
        <v>90.90000000000001</v>
      </c>
      <c r="P72" s="67" t="n">
        <v>0</v>
      </c>
      <c r="Q72" s="68" t="n">
        <v>53279.5</v>
      </c>
      <c r="R72" s="63" t="inlineStr">
        <is>
          <t>derived:deal size / offer % of enlarged capital</t>
        </is>
      </c>
      <c r="S72" s="69" t="n">
        <v>0.22</v>
      </c>
      <c r="T72" s="70" t="n">
        <v>1.18</v>
      </c>
      <c r="U72" s="71" t="n">
        <v>11.3</v>
      </c>
      <c r="V72" s="67" t="n">
        <v>14.79</v>
      </c>
      <c r="W72" s="63" t="inlineStr">
        <is>
          <t>Fook Man Development Company Limited</t>
        </is>
      </c>
      <c r="X72" s="63" t="inlineStr">
        <is>
          <t>fook</t>
        </is>
      </c>
      <c r="Y72" s="67" t="n">
        <v>16.67</v>
      </c>
      <c r="Z72" s="63" t="inlineStr">
        <is>
          <t>lapsed (no over-allocation)</t>
        </is>
      </c>
      <c r="AA72" s="72" t="n">
        <v>4.17</v>
      </c>
      <c r="AB72" s="73" t="n">
        <v>1.01</v>
      </c>
      <c r="AC72" s="73" t="n">
        <v>3.13</v>
      </c>
      <c r="AD72" s="73" t="n">
        <v>-4.92</v>
      </c>
      <c r="AE72" s="73" t="n">
        <v>-8.59</v>
      </c>
      <c r="AF72" s="73" t="n">
        <v>-4.67</v>
      </c>
      <c r="AG72" s="73" t="n">
        <v>-8.73</v>
      </c>
      <c r="AH72" s="73" t="n">
        <v>-12.25</v>
      </c>
      <c r="AI72" s="73" t="n">
        <v>-8.49</v>
      </c>
      <c r="AJ72" s="73" t="n">
        <v>-8.08</v>
      </c>
      <c r="AK72" s="73" t="n">
        <v>-12.64</v>
      </c>
      <c r="AL72" s="73" t="n">
        <v>-6</v>
      </c>
      <c r="AM72" s="73" t="n">
        <v>-14.52</v>
      </c>
      <c r="AN72" s="73" t="n">
        <v>4.05</v>
      </c>
      <c r="AO72" s="73" t="n">
        <v>2.27</v>
      </c>
      <c r="AP72" s="63" t="inlineStr">
        <is>
          <t>Hang Seng Finance sub-index</t>
        </is>
      </c>
      <c r="AQ72" s="73" t="n">
        <v>-58.84</v>
      </c>
      <c r="AR72" s="64" t="inlineStr">
        <is>
          <t>2026-08-20</t>
        </is>
      </c>
      <c r="AS72" s="65" t="n">
        <v>22759.2</v>
      </c>
      <c r="AT72" s="68" t="n"/>
      <c r="AU72" s="63" t="inlineStr">
        <is>
          <t>Y</t>
        </is>
      </c>
      <c r="AV72" s="78">
        <f>IF('BBG Verify'!O72="","not filed — run on terminal",'BBG Verify'!O72)</f>
        <v/>
      </c>
      <c r="AW72" s="74" t="n"/>
      <c r="AX72" s="74" t="n">
        <v>5</v>
      </c>
      <c r="AY72" s="74" t="n">
        <v>2.3</v>
      </c>
      <c r="AZ72" s="75" t="inlineStr">
        <is>
          <t>N</t>
        </is>
      </c>
      <c r="BA72" s="76">
        <f>IF('BBG Verify'!K72="","not filed — run on terminal",'BBG Verify'!K72)</f>
        <v/>
      </c>
      <c r="BB72" s="63" t="inlineStr">
        <is>
          <t>N/A</t>
        </is>
      </c>
      <c r="BC72" s="63" t="inlineStr">
        <is>
          <t>N/A</t>
        </is>
      </c>
      <c r="BD72" s="63" t="inlineStr">
        <is>
          <t>N/A</t>
        </is>
      </c>
      <c r="BE72" s="63" t="inlineStr">
        <is>
          <t>N/A</t>
        </is>
      </c>
      <c r="BF72" s="63" t="inlineStr">
        <is>
          <t>N/A</t>
        </is>
      </c>
      <c r="BG72" s="75" t="inlineStr">
        <is>
          <t>China Merchants Securities (HK) Co., Limited; Central, Hong Kong CMB International Capital Limited; Central, Hong Kong ABCI Capital Limited; ICBC International Capital Limited</t>
        </is>
      </c>
      <c r="BH72" s="63" t="inlineStr">
        <is>
          <t>CMB International Capital Limited; China Merchants Securities (HK) Company Limited; ICBC International Capital Limited; ABCI Capital Limited</t>
        </is>
      </c>
      <c r="BI72" s="63"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7">
        <f>HYPERLINK("https://www1.hkexnews.hk/listedco/listconews/sehk/2021/0916/2021091600052.htm","prospectus")</f>
        <v/>
      </c>
      <c r="BL72" s="77">
        <f>HYPERLINK("https://www1.hkexnews.hk/listedco/listconews/sehk/2021/0928/2021092800010.htm","allotment")</f>
        <v/>
      </c>
      <c r="BM72" s="77">
        <f>HYPERLINK("https://www1.hkexnews.hk/listedco/listconews/sehk/2021/1021/2021102100557.pdf","stabilisation")</f>
        <v/>
      </c>
      <c r="BN72" s="75" t="n"/>
      <c r="BO72" s="63"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7" t="n">
        <v>1.83</v>
      </c>
      <c r="W73" s="63" t="inlineStr">
        <is>
          <t>China Structural Reform Fund Corporation Limited; LAV Biosciences Fund V, L.P</t>
        </is>
      </c>
      <c r="X73" s="63" t="inlineStr">
        <is>
          <t>structural;lav</t>
        </is>
      </c>
      <c r="Y73" s="67" t="n">
        <v>15.1</v>
      </c>
      <c r="Z73" s="63" t="inlineStr">
        <is>
          <t>lapsed</t>
        </is>
      </c>
      <c r="AA73" s="72" t="n">
        <v>-17.25</v>
      </c>
      <c r="AB73" s="73" t="n">
        <v>-18.75</v>
      </c>
      <c r="AC73" s="73" t="n">
        <v>1.85</v>
      </c>
      <c r="AD73" s="73" t="n">
        <v>-3.12</v>
      </c>
      <c r="AE73" s="73" t="n">
        <v>-43.81</v>
      </c>
      <c r="AF73" s="73" t="n">
        <v>-42.5</v>
      </c>
      <c r="AG73" s="73" t="n">
        <v>17.08</v>
      </c>
      <c r="AH73" s="73" t="n">
        <v>-32.1</v>
      </c>
      <c r="AI73" s="73" t="n">
        <v>-30.51</v>
      </c>
      <c r="AJ73" s="73" t="n">
        <v>-1.95</v>
      </c>
      <c r="AK73" s="73" t="n">
        <v>-34.62</v>
      </c>
      <c r="AL73" s="73" t="n">
        <v>-26.95</v>
      </c>
      <c r="AM73" s="73" t="n">
        <v>-24.03</v>
      </c>
      <c r="AN73" s="73" t="n">
        <v>-9.19</v>
      </c>
      <c r="AO73" s="73" t="n">
        <v>-8.07</v>
      </c>
      <c r="AP73" s="63" t="inlineStr">
        <is>
          <t>China Biotech ETF (HS biotech proxy)</t>
        </is>
      </c>
      <c r="AQ73" s="73" t="n">
        <v>-93</v>
      </c>
      <c r="AR73" s="64" t="inlineStr">
        <is>
          <t>2026-08-20</t>
        </is>
      </c>
      <c r="AS73" s="65" t="n">
        <v>7.5</v>
      </c>
      <c r="AT73" s="68" t="n">
        <v>-27.3</v>
      </c>
      <c r="AU73" s="63" t="inlineStr">
        <is>
          <t>N</t>
        </is>
      </c>
      <c r="AV73" s="63" t="inlineStr">
        <is>
          <t>n/m</t>
        </is>
      </c>
      <c r="AW73" s="74" t="n"/>
      <c r="AX73" s="74" t="n"/>
      <c r="AY73" s="74" t="n">
        <v>835.3</v>
      </c>
      <c r="AZ73" s="75" t="inlineStr">
        <is>
          <t>N</t>
        </is>
      </c>
      <c r="BA73" s="76">
        <f>IF('BBG Verify'!K73="","not filed — run on terminal",'BBG Verify'!K73)</f>
        <v/>
      </c>
      <c r="BB73" s="63" t="inlineStr">
        <is>
          <t>N/A</t>
        </is>
      </c>
      <c r="BC73" s="63" t="inlineStr">
        <is>
          <t>N/A</t>
        </is>
      </c>
      <c r="BD73" s="63" t="inlineStr">
        <is>
          <t>N/A</t>
        </is>
      </c>
      <c r="BE73" s="63" t="inlineStr">
        <is>
          <t>N/A</t>
        </is>
      </c>
      <c r="BF73" s="63" t="inlineStr">
        <is>
          <t>N/A</t>
        </is>
      </c>
      <c r="BG73" s="7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3" t="inlineStr">
        <is>
          <t>China International Capital Corporation Hong Kong Securities Limited; Goldman Sachs (Asia) L.L.C.</t>
        </is>
      </c>
      <c r="BI73" s="63" t="inlineStr">
        <is>
          <t>BOCI Asia Limited; China International Capital Corporation Hong Kong Securities Limited; China Renaissance Securities (Hong Kong) Limited; Goldman Sachs (Asia) L.L.C.</t>
        </is>
      </c>
      <c r="BJ73" s="63" t="inlineStr">
        <is>
          <t>BOCI Asia Limited; China International Capital Corporation Hong Kong Securities Limited; China Renaissance Securities (Hong Kong) Limited; Goldman Sachs (Asia) L.L.C.</t>
        </is>
      </c>
      <c r="BK73" s="77">
        <f>HYPERLINK("https://www1.hkexnews.hk/listedco/listconews/sehk/2021/0914/2021091400015.pdf","prospectus")</f>
        <v/>
      </c>
      <c r="BL73" s="77">
        <f>HYPERLINK("https://www1.hkexnews.hk/listedco/listconews/sehk/2021/0928/2021092800028.htm","allotment")</f>
        <v/>
      </c>
      <c r="BM73" s="77">
        <f>HYPERLINK("https://www1.hkexnews.hk/listedco/listconews/sehk/2021/1017/2021101700005.pdf","stabilisation")</f>
        <v/>
      </c>
      <c r="BN73" s="75" t="n"/>
      <c r="BO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81">
        <f>IF('BBG Verify'!M74="","not filed — run on terminal",'BBG Verify'!M74)</f>
        <v/>
      </c>
      <c r="R74" s="63" t="n"/>
      <c r="S74" s="69" t="n">
        <v>1.43</v>
      </c>
      <c r="T74" s="70" t="n">
        <v>1.43</v>
      </c>
      <c r="U74" s="71" t="n"/>
      <c r="V74" s="67" t="n"/>
      <c r="W74" s="63" t="n"/>
      <c r="X74" s="63" t="n"/>
      <c r="Y74" s="67" t="n"/>
      <c r="Z74" s="63" t="n"/>
      <c r="AA74" s="72" t="n">
        <v>4.73</v>
      </c>
      <c r="AB74" s="73" t="n">
        <v>4.38</v>
      </c>
      <c r="AC74" s="73" t="n">
        <v>0.34</v>
      </c>
      <c r="AD74" s="73" t="n">
        <v>10.64</v>
      </c>
      <c r="AE74" s="73" t="n">
        <v>8.9</v>
      </c>
      <c r="AF74" s="73" t="n">
        <v>-6.05</v>
      </c>
      <c r="AG74" s="73" t="n">
        <v>5.64</v>
      </c>
      <c r="AH74" s="73" t="n">
        <v>3.98</v>
      </c>
      <c r="AI74" s="73" t="n">
        <v>-10.29</v>
      </c>
      <c r="AJ74" s="73" t="n">
        <v>8.119999999999999</v>
      </c>
      <c r="AK74" s="73" t="n">
        <v>7.57</v>
      </c>
      <c r="AL74" s="73" t="n">
        <v>-6.76</v>
      </c>
      <c r="AM74" s="73" t="n">
        <v>0.88</v>
      </c>
      <c r="AN74" s="73" t="n">
        <v>1.33</v>
      </c>
      <c r="AO74" s="73" t="n">
        <v>3.1</v>
      </c>
      <c r="AP74" s="63" t="inlineStr">
        <is>
          <t>Hang Seng Finance sub-index</t>
        </is>
      </c>
      <c r="AQ74" s="73" t="n">
        <v>-23.71</v>
      </c>
      <c r="AR74" s="64" t="inlineStr">
        <is>
          <t>2026-08-21</t>
        </is>
      </c>
      <c r="AS74" s="65" t="n"/>
      <c r="AT74" s="68" t="n"/>
      <c r="AU74" s="63" t="n"/>
      <c r="AV74" s="74" t="n">
        <v>17.4</v>
      </c>
      <c r="AW74" s="74" t="n">
        <v>17.4</v>
      </c>
      <c r="AX74" s="74" t="n">
        <v>8.800000000000001</v>
      </c>
      <c r="AY74" s="74" t="n"/>
      <c r="AZ74" s="75" t="inlineStr">
        <is>
          <t>N</t>
        </is>
      </c>
      <c r="BA74" s="76">
        <f>IF('BBG Verify'!K74="","not filed — run on terminal",'BBG Verify'!K74)</f>
        <v/>
      </c>
      <c r="BB74" s="63" t="inlineStr">
        <is>
          <t>N/A</t>
        </is>
      </c>
      <c r="BC74" s="63" t="inlineStr">
        <is>
          <t>N/A</t>
        </is>
      </c>
      <c r="BD74" s="63" t="inlineStr">
        <is>
          <t>N/A</t>
        </is>
      </c>
      <c r="BE74" s="63" t="inlineStr">
        <is>
          <t>N/A</t>
        </is>
      </c>
      <c r="BF74" s="63" t="inlineStr">
        <is>
          <t>N/A</t>
        </is>
      </c>
      <c r="BG74" s="75" t="n"/>
      <c r="BH74" s="63" t="n"/>
      <c r="BI74" s="63" t="n"/>
      <c r="BJ74" s="63" t="n"/>
      <c r="BK74" s="77">
        <f>HYPERLINK("https://www1.hkexnews.hk/listedco/listconews/sehk/2021/0920/2021092000007.pdf","prospectus")</f>
        <v/>
      </c>
      <c r="BL74" s="77">
        <f>HYPERLINK("https://www1.hkexnews.hk/listedco/listconews/sehk/2021/0930/2021093000120.htm","allotment")</f>
        <v/>
      </c>
      <c r="BM74" s="63" t="n"/>
      <c r="BN74" s="75" t="n"/>
      <c r="BO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7" t="n">
        <v>8.9</v>
      </c>
      <c r="W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3" t="inlineStr">
        <is>
          <t>aihc;aranda;blackrock;epsomite;hudson;janchor;lake;lav;orbimed;ubs;vivo</t>
        </is>
      </c>
      <c r="Y75" s="67" t="n">
        <v>8.5</v>
      </c>
      <c r="Z75" s="63" t="inlineStr">
        <is>
          <t>partial</t>
        </is>
      </c>
      <c r="AA75" s="72" t="n">
        <v>-0.48</v>
      </c>
      <c r="AB75" s="73" t="n">
        <v>-9.31</v>
      </c>
      <c r="AC75" s="73" t="n">
        <v>9.74</v>
      </c>
      <c r="AD75" s="73" t="n">
        <v>-6.9</v>
      </c>
      <c r="AE75" s="73" t="n">
        <v>-13</v>
      </c>
      <c r="AF75" s="73" t="n">
        <v>-31.94</v>
      </c>
      <c r="AG75" s="73" t="n">
        <v>-6.45</v>
      </c>
      <c r="AH75" s="73" t="n">
        <v>-12.58</v>
      </c>
      <c r="AI75" s="73" t="n">
        <v>-31.61</v>
      </c>
      <c r="AJ75" s="73" t="n">
        <v>-7.73</v>
      </c>
      <c r="AK75" s="73" t="n">
        <v>-10.74</v>
      </c>
      <c r="AL75" s="73" t="n">
        <v>-15.87</v>
      </c>
      <c r="AM75" s="73" t="n">
        <v>-10.39</v>
      </c>
      <c r="AN75" s="73" t="n">
        <v>-2.26</v>
      </c>
      <c r="AO75" s="73" t="n">
        <v>-2.19</v>
      </c>
      <c r="AP75" s="63" t="inlineStr">
        <is>
          <t>China Biotech ETF (HS biotech proxy)</t>
        </is>
      </c>
      <c r="AQ75" s="73" t="n">
        <v>-14.93</v>
      </c>
      <c r="AR75" s="64" t="inlineStr">
        <is>
          <t>2026-08-20</t>
        </is>
      </c>
      <c r="AS75" s="65" t="n">
        <v>0.6</v>
      </c>
      <c r="AT75" s="68" t="n">
        <v>-147.3</v>
      </c>
      <c r="AU75" s="63" t="inlineStr">
        <is>
          <t>N</t>
        </is>
      </c>
      <c r="AV75" s="63" t="inlineStr">
        <is>
          <t>n/m</t>
        </is>
      </c>
      <c r="AW75" s="74" t="n"/>
      <c r="AX75" s="74" t="n">
        <v>111.1</v>
      </c>
      <c r="AY75" s="74" t="n">
        <v>14236.7</v>
      </c>
      <c r="AZ75" s="75" t="inlineStr">
        <is>
          <t>N</t>
        </is>
      </c>
      <c r="BA75" s="76">
        <f>IF('BBG Verify'!K75="","not filed — run on terminal",'BBG Verify'!K75)</f>
        <v/>
      </c>
      <c r="BB75" s="63" t="inlineStr">
        <is>
          <t>N/A</t>
        </is>
      </c>
      <c r="BC75" s="63" t="inlineStr">
        <is>
          <t>N/A</t>
        </is>
      </c>
      <c r="BD75" s="63" t="inlineStr">
        <is>
          <t>N/A</t>
        </is>
      </c>
      <c r="BE75" s="63" t="inlineStr">
        <is>
          <t>N/A</t>
        </is>
      </c>
      <c r="BF75" s="63" t="inlineStr">
        <is>
          <t>N/A</t>
        </is>
      </c>
      <c r="BG75" s="75" t="inlineStr">
        <is>
          <t>Morgan Stanley Asia Limited; J.P. Morgan Securities (Far East) Limited</t>
        </is>
      </c>
      <c r="BH75" s="63" t="inlineStr">
        <is>
          <t>Morgan Stanley Asia Limited; J.P. Morgan Securities (Far East) Limited</t>
        </is>
      </c>
      <c r="BI75" s="63" t="inlineStr">
        <is>
          <t>Morgan Stanley Asia Limited; J.P. Morgan Securities (Asia Pacific) Limited; China International Capital Corporation Hong Kong Securities Limited</t>
        </is>
      </c>
      <c r="BJ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7">
        <f>HYPERLINK("https://www1.hkexnews.hk/listedco/listconews/sehk/2021/0930/2021093000017.pdf","prospectus")</f>
        <v/>
      </c>
      <c r="BL75" s="77">
        <f>HYPERLINK("https://www1.hkexnews.hk/listedco/listconews/sehk/2021/1012/2021101200008.htm","allotment")</f>
        <v/>
      </c>
      <c r="BM75" s="77">
        <f>HYPERLINK("https://www1.hkexnews.hk/listedco/listconews/sehk/2021/1105/2021110501527.pdf","stabilisation")</f>
        <v/>
      </c>
      <c r="BN75" s="75" t="n"/>
      <c r="BO75" s="63" t="inlineStr">
        <is>
          <t>P/E: n/m — loss-making at IPO (use P/S)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7" t="n">
        <v>6.46</v>
      </c>
      <c r="W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3" t="inlineStr">
        <is>
          <t>boyu;hudson;invesco;lake;lav;octagon;orbimed;sage;springhill;tencent;ubs</t>
        </is>
      </c>
      <c r="Y76" s="67" t="n">
        <v>17.36</v>
      </c>
      <c r="Z76" s="63" t="inlineStr">
        <is>
          <t>partial</t>
        </is>
      </c>
      <c r="AA76" s="72" t="n">
        <v>0</v>
      </c>
      <c r="AB76" s="73" t="n">
        <v>1.64</v>
      </c>
      <c r="AC76" s="73" t="n">
        <v>-1.61</v>
      </c>
      <c r="AD76" s="73" t="n">
        <v>0.16</v>
      </c>
      <c r="AE76" s="73" t="n">
        <v>-6.56</v>
      </c>
      <c r="AF76" s="73" t="n">
        <v>-35.74</v>
      </c>
      <c r="AG76" s="73" t="n">
        <v>0.16</v>
      </c>
      <c r="AH76" s="73" t="n">
        <v>-6.56</v>
      </c>
      <c r="AI76" s="73" t="n">
        <v>-35.74</v>
      </c>
      <c r="AJ76" s="73" t="n">
        <v>-1.15</v>
      </c>
      <c r="AK76" s="73" t="n">
        <v>-7.91</v>
      </c>
      <c r="AL76" s="73" t="n">
        <v>-20.8</v>
      </c>
      <c r="AM76" s="73" t="n">
        <v>-6.09</v>
      </c>
      <c r="AN76" s="73" t="n">
        <v>1.35</v>
      </c>
      <c r="AO76" s="73" t="n">
        <v>-0.47</v>
      </c>
      <c r="AP76" s="63" t="inlineStr">
        <is>
          <t>China Biotech ETF (HS biotech proxy)</t>
        </is>
      </c>
      <c r="AQ76" s="73" t="n">
        <v>-76.56</v>
      </c>
      <c r="AR76" s="64" t="inlineStr">
        <is>
          <t>2026-08-20</t>
        </is>
      </c>
      <c r="AS76" s="65" t="n">
        <v>19.5</v>
      </c>
      <c r="AT76" s="68" t="n">
        <v>-4.5</v>
      </c>
      <c r="AU76" s="63" t="inlineStr">
        <is>
          <t>N</t>
        </is>
      </c>
      <c r="AV76" s="63" t="inlineStr">
        <is>
          <t>n/m</t>
        </is>
      </c>
      <c r="AW76" s="74" t="n"/>
      <c r="AX76" s="74" t="n">
        <v>62.2</v>
      </c>
      <c r="AY76" s="74" t="n">
        <v>589</v>
      </c>
      <c r="AZ76" s="75" t="inlineStr">
        <is>
          <t>N</t>
        </is>
      </c>
      <c r="BA76" s="76">
        <f>IF('BBG Verify'!K76="","not filed — run on terminal",'BBG Verify'!K76)</f>
        <v/>
      </c>
      <c r="BB76" s="63" t="inlineStr">
        <is>
          <t>N/A</t>
        </is>
      </c>
      <c r="BC76" s="63" t="inlineStr">
        <is>
          <t>N/A</t>
        </is>
      </c>
      <c r="BD76" s="63" t="inlineStr">
        <is>
          <t>N/A</t>
        </is>
      </c>
      <c r="BE76" s="63" t="inlineStr">
        <is>
          <t>N/A</t>
        </is>
      </c>
      <c r="BF76" s="63" t="inlineStr">
        <is>
          <t>N/A</t>
        </is>
      </c>
      <c r="BG76" s="75" t="inlineStr">
        <is>
          <t>Goldman Sachs (Asia) L.L.C; China International Capital Corporation Hong Kong Securities Limited</t>
        </is>
      </c>
      <c r="BH76" s="63" t="inlineStr">
        <is>
          <t>China International Capital Corporation Hong Kong Securities Limited; Goldman Sachs (Asia) L.L.C.</t>
        </is>
      </c>
      <c r="BI76" s="63" t="inlineStr">
        <is>
          <t>Goldman Sachs (Asia) L.L.C; China International Capital Corporation Hong Kong Securities Limited; CLSA Limited</t>
        </is>
      </c>
      <c r="BJ76" s="63" t="inlineStr">
        <is>
          <t>China International Capital Corporation Hong Kong Securities Limited; CLSA Limited; Goldman Sachs (Asia) L.L.C.</t>
        </is>
      </c>
      <c r="BK76" s="77">
        <f>HYPERLINK("https://www1.hkexnews.hk/listedco/listconews/sehk/2021/1006/2021100600007.pdf","prospectus")</f>
        <v/>
      </c>
      <c r="BL76" s="77">
        <f>HYPERLINK("https://www1.hkexnews.hk/listedco/listconews/sehk/2021/1018/2021101800008.htm","allotment")</f>
        <v/>
      </c>
      <c r="BM76" s="77">
        <f>HYPERLINK("https://www1.hkexnews.hk/listedco/listconews/sehk/2021/1111/2021111100027.pdf","stabilisation")</f>
        <v/>
      </c>
      <c r="BN76" s="75" t="n"/>
      <c r="BO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7" t="n">
        <v>2.08</v>
      </c>
      <c r="W77" s="63" t="inlineStr">
        <is>
          <t>Artisan China Post-Venture Master Fund LP; Aspex Master Fund; CloudAlpha Master Fund; Hillhouse Funds; LAV Fund VI, L.P; Snow Lake Funds and Accounts; Yorkool International Limited</t>
        </is>
      </c>
      <c r="X77" s="63" t="inlineStr">
        <is>
          <t>artisan;aspex;cloudalpha;hillhouse;lav;snow;yorkool</t>
        </is>
      </c>
      <c r="Y77" s="67" t="n">
        <v>15</v>
      </c>
      <c r="Z77" s="63" t="inlineStr">
        <is>
          <t>full</t>
        </is>
      </c>
      <c r="AA77" s="72" t="n">
        <v>6.02</v>
      </c>
      <c r="AB77" s="73" t="n">
        <v>-7.87</v>
      </c>
      <c r="AC77" s="73" t="n">
        <v>15.08</v>
      </c>
      <c r="AD77" s="73" t="n">
        <v>34.03</v>
      </c>
      <c r="AE77" s="73" t="n">
        <v>24.19</v>
      </c>
      <c r="AF77" s="73" t="n">
        <v>9.949999999999999</v>
      </c>
      <c r="AG77" s="73" t="n">
        <v>26.42</v>
      </c>
      <c r="AH77" s="73" t="n">
        <v>17.14</v>
      </c>
      <c r="AI77" s="73" t="n">
        <v>3.71</v>
      </c>
      <c r="AJ77" s="73" t="n">
        <v>36.38</v>
      </c>
      <c r="AK77" s="73" t="n">
        <v>22.54</v>
      </c>
      <c r="AL77" s="73" t="n">
        <v>32.97</v>
      </c>
      <c r="AM77" s="73" t="n">
        <v>13.85</v>
      </c>
      <c r="AN77" s="73" t="n">
        <v>1.65</v>
      </c>
      <c r="AO77" s="73" t="n">
        <v>3.29</v>
      </c>
      <c r="AP77" s="63" t="inlineStr">
        <is>
          <t>China Biotech ETF (HS biotech proxy)</t>
        </is>
      </c>
      <c r="AQ77" s="73" t="n">
        <v>-45</v>
      </c>
      <c r="AR77" s="64" t="inlineStr">
        <is>
          <t>2026-08-21</t>
        </is>
      </c>
      <c r="AS77" s="65" t="n">
        <v>8.800000000000001</v>
      </c>
      <c r="AT77" s="68" t="n">
        <v>-53.9</v>
      </c>
      <c r="AU77" s="63" t="inlineStr">
        <is>
          <t>N</t>
        </is>
      </c>
      <c r="AV77" s="63" t="inlineStr">
        <is>
          <t>n/m</t>
        </is>
      </c>
      <c r="AW77" s="74" t="n"/>
      <c r="AX77" s="74" t="n"/>
      <c r="AY77" s="74" t="n">
        <v>4705.8</v>
      </c>
      <c r="AZ77" s="75" t="inlineStr">
        <is>
          <t>N</t>
        </is>
      </c>
      <c r="BA77" s="76">
        <f>IF('BBG Verify'!K77="","not filed — run on terminal",'BBG Verify'!K77)</f>
        <v/>
      </c>
      <c r="BB77" s="63" t="inlineStr">
        <is>
          <t>N/A</t>
        </is>
      </c>
      <c r="BC77" s="63" t="inlineStr">
        <is>
          <t>N/A</t>
        </is>
      </c>
      <c r="BD77" s="63" t="inlineStr">
        <is>
          <t>N/A</t>
        </is>
      </c>
      <c r="BE77" s="63" t="inlineStr">
        <is>
          <t>N/A</t>
        </is>
      </c>
      <c r="BF77" s="63" t="inlineStr">
        <is>
          <t>N/A</t>
        </is>
      </c>
      <c r="BG77" s="75" t="inlineStr">
        <is>
          <t>J.P. Morgan Securities (Far East) Limited; China International Capital Corporation Hong Kong Securities Limited</t>
        </is>
      </c>
      <c r="BH77" s="63" t="inlineStr">
        <is>
          <t>China International Capital Corporation Hong Kong Securities Limited; J.P. Morgan Securities (Far East) Limited</t>
        </is>
      </c>
      <c r="BI77" s="63" t="inlineStr">
        <is>
          <t>J.P. Morgan Securities (Asia Pacific) Limited; China International Capital Corporation Hong Kong Securities Limited</t>
        </is>
      </c>
      <c r="BJ77" s="63" t="inlineStr">
        <is>
          <t>China International Capital Corporation Hong Kong Securities Limited; Futu Securities International (Hong Kong) Limited; J.P. Morgan Securities (Asia Pacific) Limited; Livermore Holdings Limited</t>
        </is>
      </c>
      <c r="BK77" s="77">
        <f>HYPERLINK("https://www1.hkexnews.hk/listedco/listconews/sehk/2021/1021/2021102100011.pdf","prospectus")</f>
        <v/>
      </c>
      <c r="BL77" s="77">
        <f>HYPERLINK("https://www1.hkexnews.hk/listedco/listconews/sehk/2021/1101/2021110100012.htm","allotment")</f>
        <v/>
      </c>
      <c r="BM77" s="77">
        <f>HYPERLINK("https://www1.hkexnews.hk/listedco/listconews/sehk/2021/1125/2021112501059.pdf","stabilisation")</f>
        <v/>
      </c>
      <c r="BN77" s="75" t="n"/>
      <c r="BO77" s="63" t="inlineStr">
        <is>
          <t>P/E: n/m — loss-making at IPO (use P/S) · A/H: no A-share listing · P/S: 4,706x on HK$8.8m revenue — effectively pre-revenue; the multiple is shown for completeness, not comparability</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v>75.09999999999999</v>
      </c>
      <c r="L78" s="66" t="n">
        <v>81.3</v>
      </c>
      <c r="M78" s="66" t="n">
        <v>75.09999999999999</v>
      </c>
      <c r="N78" s="63" t="inlineStr">
        <is>
          <t>N</t>
        </is>
      </c>
      <c r="O78" s="67" t="n">
        <v>92.40000000000001</v>
      </c>
      <c r="P78" s="67" t="n">
        <v>0</v>
      </c>
      <c r="Q78" s="68" t="n">
        <v>8099.1</v>
      </c>
      <c r="R78" s="63" t="inlineStr">
        <is>
          <t>aastocks:上市市值 at the struck price</t>
        </is>
      </c>
      <c r="S78" s="69" t="n">
        <v>6.18</v>
      </c>
      <c r="T78" s="70" t="n">
        <v>2.9</v>
      </c>
      <c r="U78" s="71" t="n">
        <v>32.3</v>
      </c>
      <c r="V78" s="67" t="n">
        <v>13.09</v>
      </c>
      <c r="W78" s="63" t="inlineStr">
        <is>
          <t>CloudAlpha Master Fund; GF Fund Management Co., Ltd; IvyRock Asset Management (HK) Limited; Lake Bleu Prime Healthcare Master Fund Limited; LAV Star Opportunities Limited; LMR Master Fund Limited; WT Asset Management Limited</t>
        </is>
      </c>
      <c r="X78" s="63" t="inlineStr">
        <is>
          <t>cloudalpha;gf;ivyrock;lake;lav;lmr;wt</t>
        </is>
      </c>
      <c r="Y78" s="67" t="n">
        <v>10</v>
      </c>
      <c r="Z78" s="63" t="inlineStr">
        <is>
          <t>lapsed</t>
        </is>
      </c>
      <c r="AA78" s="72" t="n">
        <v>-9.449999999999999</v>
      </c>
      <c r="AB78" s="73" t="n">
        <v>-9.99</v>
      </c>
      <c r="AC78" s="73" t="n">
        <v>0.6</v>
      </c>
      <c r="AD78" s="73" t="n">
        <v>-12.98</v>
      </c>
      <c r="AE78" s="73" t="n">
        <v>-24.37</v>
      </c>
      <c r="AF78" s="73" t="n">
        <v>-56.06</v>
      </c>
      <c r="AG78" s="73" t="n">
        <v>-3.9</v>
      </c>
      <c r="AH78" s="73" t="n">
        <v>-16.48</v>
      </c>
      <c r="AI78" s="73" t="n">
        <v>-51.47</v>
      </c>
      <c r="AJ78" s="73" t="n">
        <v>-13.64</v>
      </c>
      <c r="AK78" s="73" t="n">
        <v>-20.53</v>
      </c>
      <c r="AL78" s="73" t="n">
        <v>-31.59</v>
      </c>
      <c r="AM78" s="73" t="n">
        <v>-13.93</v>
      </c>
      <c r="AN78" s="73" t="n">
        <v>-3.84</v>
      </c>
      <c r="AO78" s="73" t="n">
        <v>-2.55</v>
      </c>
      <c r="AP78" s="63" t="inlineStr">
        <is>
          <t>China Biotech ETF (HS biotech proxy)</t>
        </is>
      </c>
      <c r="AQ78" s="73" t="n">
        <v>-86.28</v>
      </c>
      <c r="AR78" s="64" t="inlineStr">
        <is>
          <t>2026-08-20</t>
        </is>
      </c>
      <c r="AS78" s="65" t="n">
        <v>7.2</v>
      </c>
      <c r="AT78" s="68" t="n">
        <v>-53.7</v>
      </c>
      <c r="AU78" s="63" t="inlineStr">
        <is>
          <t>N</t>
        </is>
      </c>
      <c r="AV78" s="63" t="inlineStr">
        <is>
          <t>n/m</t>
        </is>
      </c>
      <c r="AW78" s="74" t="n"/>
      <c r="AX78" s="74" t="n"/>
      <c r="AY78" s="74" t="n">
        <v>1124.9</v>
      </c>
      <c r="AZ78" s="75" t="inlineStr">
        <is>
          <t>N</t>
        </is>
      </c>
      <c r="BA78" s="76">
        <f>IF('BBG Verify'!K78="","not filed — run on terminal",'BBG Verify'!K78)</f>
        <v/>
      </c>
      <c r="BB78" s="63" t="inlineStr">
        <is>
          <t>N/A</t>
        </is>
      </c>
      <c r="BC78" s="63" t="inlineStr">
        <is>
          <t>N/A</t>
        </is>
      </c>
      <c r="BD78" s="63" t="inlineStr">
        <is>
          <t>N/A</t>
        </is>
      </c>
      <c r="BE78" s="63" t="inlineStr">
        <is>
          <t>N/A</t>
        </is>
      </c>
      <c r="BF78" s="63" t="inlineStr">
        <is>
          <t>N/A</t>
        </is>
      </c>
      <c r="BG78" s="75" t="inlineStr">
        <is>
          <t>UBS Securities Hong Kong Limited; CLSA Capital Markets Limited; UBS AG Hong Kong Branch; CLSA Limited</t>
        </is>
      </c>
      <c r="BH78" s="63" t="inlineStr">
        <is>
          <t>UBS Securities Hong Kong Limited; CLSA Capital Markets Limited</t>
        </is>
      </c>
      <c r="BI78" s="63"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7">
        <f>HYPERLINK("https://www1.hkexnews.hk/listedco/listconews/sehk/2021/1026/2021102600012.htm","prospectus")</f>
        <v/>
      </c>
      <c r="BL78" s="77">
        <f>HYPERLINK("https://www1.hkexnews.hk/listedco/listconews/sehk/2021/1104/2021110400022.htm","allotment")</f>
        <v/>
      </c>
      <c r="BM78" s="77">
        <f>HYPERLINK("https://www1.hkexnews.hk/listedco/listconews/sehk/2021/1128/2021112800017.pdf","stabilisation")</f>
        <v/>
      </c>
      <c r="BN78" s="75" t="n"/>
      <c r="BO78" s="63" t="inlineStr">
        <is>
          <t>P/E: n/m — loss-making at IPO (use P/S) · A/H: no A-share listing · P/S: 1,125x on HK$7.2m revenue — effectively pre-revenue; the multiple is shown for completeness, not comparability</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7" t="n">
        <v>12.08</v>
      </c>
      <c r="W79" s="63" t="inlineStr">
        <is>
          <t>Athos Capital Limited; HHLR Fund, L.P.; YHG Investment, L.P; Oceanpine Capital Management Limited; OrbiMed Funds; Rock Springs Capital Master Fund LP; Springhill Master Fund Limited; Superstring Capital Master Fund LP; Toroa Master Fund</t>
        </is>
      </c>
      <c r="X79" s="63" t="inlineStr">
        <is>
          <t>athos;hhlr;yhg;oceanpine;orbimed;rock;springhill;superstring;toroa</t>
        </is>
      </c>
      <c r="Y79" s="67" t="n">
        <v>6.9</v>
      </c>
      <c r="Z79" s="63" t="inlineStr">
        <is>
          <t>lapsed</t>
        </is>
      </c>
      <c r="AA79" s="72" t="n">
        <v>-2.99</v>
      </c>
      <c r="AB79" s="73" t="n">
        <v>0</v>
      </c>
      <c r="AC79" s="73" t="n">
        <v>-2.99</v>
      </c>
      <c r="AD79" s="73" t="n">
        <v>-22.57</v>
      </c>
      <c r="AE79" s="73" t="n">
        <v>-16.89</v>
      </c>
      <c r="AF79" s="73" t="n">
        <v>-17.79</v>
      </c>
      <c r="AG79" s="73" t="n">
        <v>-20.18</v>
      </c>
      <c r="AH79" s="73" t="n">
        <v>-14.33</v>
      </c>
      <c r="AI79" s="73" t="n">
        <v>-15.26</v>
      </c>
      <c r="AJ79" s="73" t="n">
        <v>-23.23</v>
      </c>
      <c r="AK79" s="73" t="n">
        <v>-13.05</v>
      </c>
      <c r="AL79" s="73" t="n">
        <v>6.68</v>
      </c>
      <c r="AM79" s="73" t="n">
        <v>-11.78</v>
      </c>
      <c r="AN79" s="73" t="n">
        <v>-3.84</v>
      </c>
      <c r="AO79" s="73" t="n">
        <v>-2.55</v>
      </c>
      <c r="AP79" s="63" t="inlineStr">
        <is>
          <t>China Biotech ETF (HS biotech proxy)</t>
        </is>
      </c>
      <c r="AQ79" s="73" t="n">
        <v>-83.59</v>
      </c>
      <c r="AR79" s="64" t="inlineStr">
        <is>
          <t>2026-08-20</t>
        </is>
      </c>
      <c r="AS79" s="65" t="n">
        <v>1119.8</v>
      </c>
      <c r="AT79" s="68" t="n">
        <v>-163</v>
      </c>
      <c r="AU79" s="63" t="inlineStr">
        <is>
          <t>N</t>
        </is>
      </c>
      <c r="AV79" s="63" t="inlineStr">
        <is>
          <t>n/m</t>
        </is>
      </c>
      <c r="AW79" s="74" t="n"/>
      <c r="AX79" s="74" t="n"/>
      <c r="AY79" s="74" t="n">
        <v>13.2</v>
      </c>
      <c r="AZ79" s="75" t="inlineStr">
        <is>
          <t>N</t>
        </is>
      </c>
      <c r="BA79" s="76">
        <f>IF('BBG Verify'!K79="","not filed — run on terminal",'BBG Verify'!K79)</f>
        <v/>
      </c>
      <c r="BB79" s="63" t="inlineStr">
        <is>
          <t>N/A</t>
        </is>
      </c>
      <c r="BC79" s="63" t="inlineStr">
        <is>
          <t>N/A</t>
        </is>
      </c>
      <c r="BD79" s="63" t="inlineStr">
        <is>
          <t>N/A</t>
        </is>
      </c>
      <c r="BE79" s="63" t="inlineStr">
        <is>
          <t>N/A</t>
        </is>
      </c>
      <c r="BF79" s="63" t="inlineStr">
        <is>
          <t>N/A</t>
        </is>
      </c>
      <c r="BG79" s="75" t="inlineStr">
        <is>
          <t>Goldman Sachs (Asia) L.L.C; China International Capital Corporation Hong Kong Securities Limited</t>
        </is>
      </c>
      <c r="BH79" s="63" t="inlineStr">
        <is>
          <t>China International Capital Corporation Hong Kong Securities Limited; Goldman Sachs (Asia) L.L.C.</t>
        </is>
      </c>
      <c r="BI79" s="63" t="inlineStr">
        <is>
          <t>China International Capital Corporation Hong Kong Securities Limited; Credit Suisse (Hong Kong) Limited; Goldman Sachs (Asia) L.L.C.</t>
        </is>
      </c>
      <c r="BJ79" s="63" t="inlineStr">
        <is>
          <t>China International Capital Corporation Hong Kong Securities Limited; Credit Suisse (Hong Kong) Limited; Goldman Sachs (Asia) L.L.C.</t>
        </is>
      </c>
      <c r="BK79" s="77">
        <f>HYPERLINK("https://www1.hkexnews.hk/listedco/listconews/sehk/2021/1025/2021102500007.pdf","prospectus")</f>
        <v/>
      </c>
      <c r="BL79" s="77">
        <f>HYPERLINK("https://www1.hkexnews.hk/listedco/listconews/sehk/2021/1104/2021110400036.htm","allotment")</f>
        <v/>
      </c>
      <c r="BM79" s="77">
        <f>HYPERLINK("https://www1.hkexnews.hk/listedco/listconews/sehk/2021/1129/2021112900089.pdf","stabilisation")</f>
        <v/>
      </c>
      <c r="BN79" s="75" t="n"/>
      <c r="BO79" s="63" t="inlineStr">
        <is>
          <t>P/E: n/m — loss-making at IPO (use P/S) · A/H: no A-share listing · cornerstone: AAStocks institutional table includes non-cornerstone orders (superset) — cornerstone % is from the prospectus</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7" t="n">
        <v>13.48</v>
      </c>
      <c r="W80" s="63" t="inlineStr">
        <is>
          <t>BYTEDANCE (HK) LIMITED; Green Better</t>
        </is>
      </c>
      <c r="X80" s="63" t="inlineStr">
        <is>
          <t>bytedance;green</t>
        </is>
      </c>
      <c r="Y80" s="67" t="n">
        <v>18</v>
      </c>
      <c r="Z80" s="63" t="inlineStr">
        <is>
          <t>lapsed</t>
        </is>
      </c>
      <c r="AA80" s="72" t="n">
        <v>-4.48</v>
      </c>
      <c r="AB80" s="73" t="n">
        <v>0</v>
      </c>
      <c r="AC80" s="73" t="n">
        <v>-4.48</v>
      </c>
      <c r="AD80" s="73" t="n">
        <v>-1.94</v>
      </c>
      <c r="AE80" s="73" t="n">
        <v>-19.4</v>
      </c>
      <c r="AF80" s="73" t="n">
        <v>-13.58</v>
      </c>
      <c r="AG80" s="73" t="n">
        <v>2.66</v>
      </c>
      <c r="AH80" s="73" t="n">
        <v>-15.62</v>
      </c>
      <c r="AI80" s="73" t="n">
        <v>-9.529999999999999</v>
      </c>
      <c r="AJ80" s="73" t="n">
        <v>-4.03</v>
      </c>
      <c r="AK80" s="73" t="n">
        <v>-15.83</v>
      </c>
      <c r="AL80" s="73" t="n">
        <v>-13.42</v>
      </c>
      <c r="AM80" s="73" t="n">
        <v>-12.47</v>
      </c>
      <c r="AN80" s="73" t="n">
        <v>-3.57</v>
      </c>
      <c r="AO80" s="73" t="n">
        <v>-3.15</v>
      </c>
      <c r="AP80" s="63" t="inlineStr">
        <is>
          <t>Hang Seng Index</t>
        </is>
      </c>
      <c r="AQ80" s="73" t="n">
        <v>-39.7</v>
      </c>
      <c r="AR80" s="64" t="inlineStr">
        <is>
          <t>2026-08-21</t>
        </is>
      </c>
      <c r="AS80" s="65" t="n">
        <v>6996.8</v>
      </c>
      <c r="AT80" s="68" t="n">
        <v>146.5</v>
      </c>
      <c r="AU80" s="63" t="inlineStr">
        <is>
          <t>Y</t>
        </is>
      </c>
      <c r="AV80" s="74" t="n">
        <v>34.8</v>
      </c>
      <c r="AW80" s="74" t="n"/>
      <c r="AX80" s="74" t="n">
        <v>12.9</v>
      </c>
      <c r="AY80" s="74" t="n">
        <v>0.7</v>
      </c>
      <c r="AZ80" s="75" t="inlineStr">
        <is>
          <t>N</t>
        </is>
      </c>
      <c r="BA80" s="76">
        <f>IF('BBG Verify'!K80="","not filed — run on terminal",'BBG Verify'!K80)</f>
        <v/>
      </c>
      <c r="BB80" s="63" t="inlineStr">
        <is>
          <t>N/A</t>
        </is>
      </c>
      <c r="BC80" s="63" t="inlineStr">
        <is>
          <t>N/A</t>
        </is>
      </c>
      <c r="BD80" s="63" t="inlineStr">
        <is>
          <t>N/A</t>
        </is>
      </c>
      <c r="BE80" s="63" t="inlineStr">
        <is>
          <t>N/A</t>
        </is>
      </c>
      <c r="BF80" s="63" t="inlineStr">
        <is>
          <t>N/A</t>
        </is>
      </c>
      <c r="BG80" s="75" t="inlineStr">
        <is>
          <t>CMBC International Capital Limited; Financial Adviser SBI China Capital Hong Kong Securities Limited</t>
        </is>
      </c>
      <c r="BH80" s="63" t="inlineStr">
        <is>
          <t>CMBC International Capital Limited</t>
        </is>
      </c>
      <c r="BI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7">
        <f>HYPERLINK("https://www1.hkexnews.hk/listedco/listconews/sehk/2021/1026/2021102600091.pdf","prospectus")</f>
        <v/>
      </c>
      <c r="BL80" s="77">
        <f>HYPERLINK("https://www1.hkexnews.hk/listedco/listconews/sehk/2021/1105/2021110500012.htm","allotment")</f>
        <v/>
      </c>
      <c r="BM80" s="77">
        <f>HYPERLINK("https://www1.hkexnews.hk/listedco/listconews/sehk/2021/1128/2021112800021.pdf","stabilisation")</f>
        <v/>
      </c>
      <c r="BN80" s="75" t="n"/>
      <c r="BO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7" t="n">
        <v>12.78</v>
      </c>
      <c r="W81" s="63" t="inlineStr">
        <is>
          <t>Glodon (Hongkong) Software Limited; Keltic Investment (HK) Limited</t>
        </is>
      </c>
      <c r="X81" s="63" t="inlineStr">
        <is>
          <t>glodon;keltic</t>
        </is>
      </c>
      <c r="Y81" s="67" t="n">
        <v>15</v>
      </c>
      <c r="Z81" s="63" t="inlineStr">
        <is>
          <t>lapsed</t>
        </is>
      </c>
      <c r="AA81" s="72" t="n">
        <v>-0.24</v>
      </c>
      <c r="AB81" s="73" t="n">
        <v>0</v>
      </c>
      <c r="AC81" s="73" t="n">
        <v>-0.24</v>
      </c>
      <c r="AD81" s="73" t="n">
        <v>-9.300000000000001</v>
      </c>
      <c r="AE81" s="73" t="n">
        <v>-31.28</v>
      </c>
      <c r="AF81" s="73" t="n">
        <v>-42.63</v>
      </c>
      <c r="AG81" s="73" t="n">
        <v>-9.08</v>
      </c>
      <c r="AH81" s="73" t="n">
        <v>-31.11</v>
      </c>
      <c r="AI81" s="73" t="n">
        <v>-42.49</v>
      </c>
      <c r="AJ81" s="73" t="n">
        <v>-13.82</v>
      </c>
      <c r="AK81" s="73" t="n">
        <v>-34.16</v>
      </c>
      <c r="AL81" s="73" t="n">
        <v>-51.1</v>
      </c>
      <c r="AM81" s="73" t="n">
        <v>-30.94</v>
      </c>
      <c r="AN81" s="73" t="n">
        <v>2.88</v>
      </c>
      <c r="AO81" s="73" t="n">
        <v>-0.17</v>
      </c>
      <c r="AP81" s="63" t="inlineStr">
        <is>
          <t>Hang Seng Properties sub-index</t>
        </is>
      </c>
      <c r="AQ81" s="73" t="n">
        <v>-77.42</v>
      </c>
      <c r="AR81" s="64" t="inlineStr">
        <is>
          <t>2026-08-20</t>
        </is>
      </c>
      <c r="AS81" s="65" t="n">
        <v>1199.6</v>
      </c>
      <c r="AT81" s="68" t="n">
        <v>75.59999999999999</v>
      </c>
      <c r="AU81" s="63" t="inlineStr">
        <is>
          <t>Y</t>
        </is>
      </c>
      <c r="AV81" s="74" t="n">
        <v>16.1</v>
      </c>
      <c r="AW81" s="74" t="n"/>
      <c r="AX81" s="74" t="n">
        <v>4.6</v>
      </c>
      <c r="AY81" s="74" t="n">
        <v>1</v>
      </c>
      <c r="AZ81" s="75" t="inlineStr">
        <is>
          <t>N</t>
        </is>
      </c>
      <c r="BA81" s="76">
        <f>IF('BBG Verify'!K81="","not filed — run on terminal",'BBG Verify'!K81)</f>
        <v/>
      </c>
      <c r="BB81" s="63" t="inlineStr">
        <is>
          <t>N/A</t>
        </is>
      </c>
      <c r="BC81" s="63" t="inlineStr">
        <is>
          <t>N/A</t>
        </is>
      </c>
      <c r="BD81" s="63" t="inlineStr">
        <is>
          <t>N/A</t>
        </is>
      </c>
      <c r="BE81" s="63" t="inlineStr">
        <is>
          <t>N/A</t>
        </is>
      </c>
      <c r="BF81" s="63" t="inlineStr">
        <is>
          <t>N/A</t>
        </is>
      </c>
      <c r="BG81" s="75" t="inlineStr">
        <is>
          <t>China International Capital Corporation Hong Kong Securities Limited</t>
        </is>
      </c>
      <c r="BH81" s="63" t="inlineStr">
        <is>
          <t>China International Capital Corporation Hong Kong Securities Limited</t>
        </is>
      </c>
      <c r="BI81" s="63" t="inlineStr">
        <is>
          <t>China International Capital Corporation Hong Kong Securities Limited; Zhongtai International Securities Limited; BOCOM International Securities Limited; CMBC Securities Company Limited; CCB International Capital Limited</t>
        </is>
      </c>
      <c r="BJ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7">
        <f>HYPERLINK("https://www1.hkexnews.hk/listedco/listconews/sehk/2021/1029/2021102900097.pdf","prospectus")</f>
        <v/>
      </c>
      <c r="BL81" s="77">
        <f>HYPERLINK("https://www1.hkexnews.hk/listedco/listconews/sehk/2021/1109/2021110900030.htm","allotment")</f>
        <v/>
      </c>
      <c r="BM81" s="77">
        <f>HYPERLINK("https://www1.hkexnews.hk/listedco/listconews/sehk/2021/1203/2021120301558.pdf","stabilisation")</f>
        <v/>
      </c>
      <c r="BN81" s="75" t="n"/>
      <c r="BO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36.8</v>
      </c>
      <c r="J82" s="63" t="inlineStr">
        <is>
          <t>net proceeds</t>
        </is>
      </c>
      <c r="K82" s="66" t="n"/>
      <c r="L82" s="66" t="n">
        <v>1.48</v>
      </c>
      <c r="M82" s="66" t="n">
        <v>1.02</v>
      </c>
      <c r="N82" s="63" t="inlineStr">
        <is>
          <t>N</t>
        </is>
      </c>
      <c r="O82" s="67" t="n">
        <v>68.90000000000001</v>
      </c>
      <c r="P82" s="67" t="n"/>
      <c r="Q82" s="68" t="n">
        <v>1337</v>
      </c>
      <c r="R82" s="63" t="inlineStr">
        <is>
          <t>aastocks:上市市值 at the struck price</t>
        </is>
      </c>
      <c r="S82" s="69" t="n">
        <v>24.26</v>
      </c>
      <c r="T82" s="70" t="n">
        <v>1.02</v>
      </c>
      <c r="U82" s="71" t="n">
        <v>0</v>
      </c>
      <c r="V82" s="67" t="n">
        <v>2.75</v>
      </c>
      <c r="W82" s="63" t="n"/>
      <c r="X82" s="63" t="n"/>
      <c r="Y82" s="67" t="n">
        <v>20</v>
      </c>
      <c r="Z82" s="63" t="inlineStr">
        <is>
          <t>lapsed (no over-allocation)</t>
        </is>
      </c>
      <c r="AA82" s="72" t="n">
        <v>-10.78</v>
      </c>
      <c r="AB82" s="73" t="n">
        <v>1.96</v>
      </c>
      <c r="AC82" s="73" t="n">
        <v>-12.5</v>
      </c>
      <c r="AD82" s="73" t="n">
        <v>-3.92</v>
      </c>
      <c r="AE82" s="73" t="n">
        <v>-10.78</v>
      </c>
      <c r="AF82" s="73" t="n">
        <v>-17.65</v>
      </c>
      <c r="AG82" s="73" t="n">
        <v>7.69</v>
      </c>
      <c r="AH82" s="73" t="n">
        <v>0</v>
      </c>
      <c r="AI82" s="73" t="n">
        <v>-7.7</v>
      </c>
      <c r="AJ82" s="73" t="n">
        <v>-2.51</v>
      </c>
      <c r="AK82" s="73" t="n">
        <v>-2.37</v>
      </c>
      <c r="AL82" s="73" t="n">
        <v>-4.62</v>
      </c>
      <c r="AM82" s="73" t="n">
        <v>9.01</v>
      </c>
      <c r="AN82" s="73" t="n">
        <v>-8.41</v>
      </c>
      <c r="AO82" s="73" t="n">
        <v>-9.01</v>
      </c>
      <c r="AP82" s="63" t="inlineStr">
        <is>
          <t>Hang Seng Commerce &amp; Industry sub-index</t>
        </is>
      </c>
      <c r="AQ82" s="73" t="n">
        <v>9.800000000000001</v>
      </c>
      <c r="AR82" s="64" t="inlineStr">
        <is>
          <t>2026-08-20</t>
        </is>
      </c>
      <c r="AS82" s="65" t="n">
        <v>225.9</v>
      </c>
      <c r="AT82" s="68" t="n">
        <v>80.2</v>
      </c>
      <c r="AU82" s="63" t="inlineStr">
        <is>
          <t>Y</t>
        </is>
      </c>
      <c r="AV82" s="74" t="n">
        <v>16.7</v>
      </c>
      <c r="AW82" s="74" t="n"/>
      <c r="AX82" s="74" t="n">
        <v>12.2</v>
      </c>
      <c r="AY82" s="74" t="n">
        <v>5.9</v>
      </c>
      <c r="AZ82" s="75" t="inlineStr">
        <is>
          <t>N</t>
        </is>
      </c>
      <c r="BA82" s="76">
        <f>IF('BBG Verify'!K82="","not filed — run on terminal",'BBG Verify'!K82)</f>
        <v/>
      </c>
      <c r="BB82" s="63" t="inlineStr">
        <is>
          <t>N/A</t>
        </is>
      </c>
      <c r="BC82" s="63" t="inlineStr">
        <is>
          <t>N/A</t>
        </is>
      </c>
      <c r="BD82" s="63" t="inlineStr">
        <is>
          <t>N/A</t>
        </is>
      </c>
      <c r="BE82" s="63" t="inlineStr">
        <is>
          <t>N/A</t>
        </is>
      </c>
      <c r="BF82" s="63" t="inlineStr">
        <is>
          <t>N/A</t>
        </is>
      </c>
      <c r="BG82" s="75" t="inlineStr">
        <is>
          <t>First Shanghai Capital Limited</t>
        </is>
      </c>
      <c r="BH82" s="63" t="inlineStr">
        <is>
          <t>First Shanghai Capital Limited</t>
        </is>
      </c>
      <c r="BI82" s="63" t="inlineStr">
        <is>
          <t>First Shanghai Securities Limited; Zhongtai International Securities Limited; Valuable Capital Limited; ICBC International Capital Limited; Blackwell Global Securities Limited</t>
        </is>
      </c>
      <c r="BJ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7">
        <f>HYPERLINK("https://www1.hkexnews.hk/listedco/listconews/sehk/2021/1029/2021102900113.pdf","prospectus")</f>
        <v/>
      </c>
      <c r="BL82" s="77">
        <f>HYPERLINK("https://www1.hkexnews.hk/listedco/listconews/sehk/2021/1111/2021111100010.htm","allotment")</f>
        <v/>
      </c>
      <c r="BM82" s="77">
        <f>HYPERLINK("https://www1.hkexnews.hk/listedco/listconews/sehk/2021/1203/2021120301544.pdf","stabilisation")</f>
        <v/>
      </c>
      <c r="BN82" s="75" t="n"/>
      <c r="BO8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39474</v>
      </c>
      <c r="R83" s="63" t="inlineStr">
        <is>
          <t>prospectus:stated market capitalisation</t>
        </is>
      </c>
      <c r="S83" s="69" t="n">
        <v>8.92</v>
      </c>
      <c r="T83" s="70" t="n">
        <v>1.7</v>
      </c>
      <c r="U83" s="71" t="n">
        <v>83.15000000000001</v>
      </c>
      <c r="V83" s="67" t="n">
        <v>1.4</v>
      </c>
      <c r="W83" s="63" t="inlineStr">
        <is>
          <t>NetEase, Inc; Orbis Investment Management Limited; Sony Music Entertainment</t>
        </is>
      </c>
      <c r="X83" s="63" t="inlineStr">
        <is>
          <t>netease;orbis;sony</t>
        </is>
      </c>
      <c r="Y83" s="67" t="n">
        <v>7.7</v>
      </c>
      <c r="Z83" s="63" t="inlineStr">
        <is>
          <t>lapsed</t>
        </is>
      </c>
      <c r="AA83" s="72" t="n">
        <v>-2.49</v>
      </c>
      <c r="AB83" s="73" t="n">
        <v>0</v>
      </c>
      <c r="AC83" s="73" t="n">
        <v>-2.49</v>
      </c>
      <c r="AD83" s="73" t="n">
        <v>-2.73</v>
      </c>
      <c r="AE83" s="73" t="n">
        <v>-27.02</v>
      </c>
      <c r="AF83" s="73" t="n">
        <v>-55.12</v>
      </c>
      <c r="AG83" s="73" t="n">
        <v>-0.25</v>
      </c>
      <c r="AH83" s="73" t="n">
        <v>-25.16</v>
      </c>
      <c r="AI83" s="73" t="n">
        <v>-53.97</v>
      </c>
      <c r="AJ83" s="73" t="n">
        <v>-3.15</v>
      </c>
      <c r="AK83" s="73" t="n">
        <v>-20.01</v>
      </c>
      <c r="AL83" s="73" t="n">
        <v>-29.15</v>
      </c>
      <c r="AM83" s="73" t="n">
        <v>-19.01</v>
      </c>
      <c r="AN83" s="73" t="n">
        <v>-7.01</v>
      </c>
      <c r="AO83" s="73" t="n">
        <v>-6.15</v>
      </c>
      <c r="AP83" s="63" t="inlineStr">
        <is>
          <t>HSTECH (Hang Seng TECH ETF)</t>
        </is>
      </c>
      <c r="AQ83" s="73" t="n">
        <v>-45.07</v>
      </c>
      <c r="AR83" s="64" t="inlineStr">
        <is>
          <t>2026-08-20</t>
        </is>
      </c>
      <c r="AS83" s="65" t="n">
        <v>5385.3</v>
      </c>
      <c r="AT83" s="68" t="n"/>
      <c r="AU83" s="63" t="n"/>
      <c r="AV83" s="78">
        <f>IF('BBG Verify'!O83="","not filed — run on terminal",'BBG Verify'!O83)</f>
        <v/>
      </c>
      <c r="AW83" s="74" t="n"/>
      <c r="AX83" s="74" t="n">
        <v>7.7</v>
      </c>
      <c r="AY83" s="74" t="n">
        <v>7.3</v>
      </c>
      <c r="AZ83" s="75" t="inlineStr">
        <is>
          <t>N</t>
        </is>
      </c>
      <c r="BA83" s="76">
        <f>IF('BBG Verify'!K83="","not filed — run on terminal",'BBG Verify'!K83)</f>
        <v/>
      </c>
      <c r="BB83" s="63" t="inlineStr">
        <is>
          <t>N/A</t>
        </is>
      </c>
      <c r="BC83" s="63" t="inlineStr">
        <is>
          <t>N/A</t>
        </is>
      </c>
      <c r="BD83" s="63" t="inlineStr">
        <is>
          <t>N/A</t>
        </is>
      </c>
      <c r="BE83" s="63" t="inlineStr">
        <is>
          <t>N/A</t>
        </is>
      </c>
      <c r="BF83" s="63" t="inlineStr">
        <is>
          <t>N/A</t>
        </is>
      </c>
      <c r="BG83" s="75" t="inlineStr">
        <is>
          <t>BofA Securities; CICC; Credit Suisse</t>
        </is>
      </c>
      <c r="BH83" s="63" t="inlineStr">
        <is>
          <t>China International Capital Corporation Hong Kong Securities Limited; Merrill Lynch (Asia Pacific) Limited; Credit Suisse (Hong Kong) Limited</t>
        </is>
      </c>
      <c r="BI83" s="63" t="inlineStr">
        <is>
          <t>ABCI Securities Company Limited; BOCI Asia Limited; CCB International Capital Limited; Citigroup Global Markets Asia Limited; China International Capital Corporation Hong Kong Securities Limited; CMB International Capital Corporation Limited</t>
        </is>
      </c>
      <c r="BJ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7">
        <f>HYPERLINK("https://www1.hkexnews.hk/listedco/listconews/sehk/2021/1123/2021112300032.pdf","prospectus")</f>
        <v/>
      </c>
      <c r="BL83" s="77">
        <f>HYPERLINK("https://www1.hkexnews.hk/listedco/listconews/sehk/2021/1201/2021120100040.htm","allotment")</f>
        <v/>
      </c>
      <c r="BM83" s="77">
        <f>HYPERLINK("https://www1.hkexnews.hk/listedco/listconews/sehk/2021/1227/2021122700001.pdf","stabilisation")</f>
        <v/>
      </c>
      <c r="BN83" s="75" t="n"/>
      <c r="BO83" s="63"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1383.4</v>
      </c>
      <c r="J84" s="63" t="inlineStr">
        <is>
          <t>net proceeds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7" t="n">
        <v>1.52</v>
      </c>
      <c r="W84" s="63" t="n"/>
      <c r="X84" s="63" t="n"/>
      <c r="Y84" s="67" t="n">
        <v>5.4</v>
      </c>
      <c r="Z84" s="63" t="inlineStr">
        <is>
          <t>partial</t>
        </is>
      </c>
      <c r="AA84" s="72" t="n">
        <v>-7.18</v>
      </c>
      <c r="AB84" s="73" t="n">
        <v>-6.09</v>
      </c>
      <c r="AC84" s="73" t="n">
        <v>-1.16</v>
      </c>
      <c r="AD84" s="73" t="n">
        <v>-19.65</v>
      </c>
      <c r="AE84" s="73" t="n">
        <v>-4.4</v>
      </c>
      <c r="AF84" s="73" t="n">
        <v>-28.52</v>
      </c>
      <c r="AG84" s="73" t="n">
        <v>-13.43</v>
      </c>
      <c r="AH84" s="73" t="n">
        <v>3</v>
      </c>
      <c r="AI84" s="73" t="n">
        <v>-22.99</v>
      </c>
      <c r="AJ84" s="73" t="n">
        <v>-16.44</v>
      </c>
      <c r="AK84" s="73" t="n">
        <v>3.72</v>
      </c>
      <c r="AL84" s="73" t="n">
        <v>0.45</v>
      </c>
      <c r="AM84" s="73" t="n">
        <v>10.89</v>
      </c>
      <c r="AN84" s="73" t="n">
        <v>-8.119999999999999</v>
      </c>
      <c r="AO84" s="73" t="n">
        <v>-7.89</v>
      </c>
      <c r="AP84" s="63" t="inlineStr">
        <is>
          <t>HSTECH (Hang Seng TECH ETF)</t>
        </is>
      </c>
      <c r="AQ84" s="73" t="n">
        <v>-79.11</v>
      </c>
      <c r="AR84" s="64" t="inlineStr">
        <is>
          <t>2026-08-20</t>
        </is>
      </c>
      <c r="AS84" s="65" t="n"/>
      <c r="AT84" s="68" t="n"/>
      <c r="AU84" s="63" t="n"/>
      <c r="AV84" s="74" t="n">
        <v>11.2</v>
      </c>
      <c r="AW84" s="74" t="n">
        <v>11.2</v>
      </c>
      <c r="AX84" s="74" t="n">
        <v>4.9</v>
      </c>
      <c r="AY84" s="74" t="n"/>
      <c r="AZ84" s="75" t="inlineStr">
        <is>
          <t>N</t>
        </is>
      </c>
      <c r="BA84" s="76">
        <f>IF('BBG Verify'!K84="","not filed — run on terminal",'BBG Verify'!K84)</f>
        <v/>
      </c>
      <c r="BB84" s="63" t="inlineStr">
        <is>
          <t>N/A</t>
        </is>
      </c>
      <c r="BC84" s="63" t="inlineStr">
        <is>
          <t>N/A</t>
        </is>
      </c>
      <c r="BD84" s="63" t="inlineStr">
        <is>
          <t>N/A</t>
        </is>
      </c>
      <c r="BE84" s="63" t="inlineStr">
        <is>
          <t>N/A</t>
        </is>
      </c>
      <c r="BF84" s="63" t="inlineStr">
        <is>
          <t>N/A</t>
        </is>
      </c>
      <c r="BG84" s="75" t="inlineStr">
        <is>
          <t>Goldman Sachs (Asia) L.L.C; Credit Suisse (Hong Kong) Limited; CLSA Capital Markets Limited; China International Capital Corporation Hong Kong Securities Limited; Central, Hong Kong Joint Representatives Goldman Sachs (Asia) L.L.C; CLSA Limited</t>
        </is>
      </c>
      <c r="BH84" s="63" t="inlineStr">
        <is>
          <t>China International Capital Corporation Hong Kong Securities Limited; Goldman Sachs (Asia) L.L.C.; CLSA Capital Markets Limited; Credit Suisse (Hong Kong) Limited</t>
        </is>
      </c>
      <c r="BI84" s="63"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7">
        <f>HYPERLINK("https://www1.hkexnews.hk/listedco/listconews/sehk/2021/1129/2021112900007.pdf","prospectus")</f>
        <v/>
      </c>
      <c r="BL84" s="77">
        <f>HYPERLINK("https://www1.hkexnews.hk/listedco/listconews/sehk/2021/1207/2021120700020.htm","allotment")</f>
        <v/>
      </c>
      <c r="BM84" s="77">
        <f>HYPERLINK("https://www1.hkexnews.hk/listedco/listconews/sehk/2022/0102/2022010200019.pdf","stabilisation")</f>
        <v/>
      </c>
      <c r="BN84" s="75" t="n"/>
      <c r="BO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5166.7</v>
      </c>
      <c r="R85" s="63" t="inlineStr">
        <is>
          <t>prospectus:stated market capitalisation</t>
        </is>
      </c>
      <c r="S85" s="69" t="n">
        <v>1.97</v>
      </c>
      <c r="T85" s="70" t="n">
        <v>2.8</v>
      </c>
      <c r="U85" s="71" t="n">
        <v>75.8</v>
      </c>
      <c r="V85" s="67" t="n">
        <v>3.21</v>
      </c>
      <c r="W85" s="63" t="inlineStr">
        <is>
          <t>Belinda A. Termeer; General Atlantic Singapore CP Pte. Ltd; Hongkong Ruihua Investment Management Limited; Hudson Bay Master Fund Ltd; Janus Investors; RA Capital Healthcare Fund, L.P; WuXi Biologics HealthCare Venture</t>
        </is>
      </c>
      <c r="X85" s="63" t="inlineStr">
        <is>
          <t>belinda;general;hongkong;hudson;janus;ra;wuxi</t>
        </is>
      </c>
      <c r="Y85" s="67" t="n">
        <v>11.8</v>
      </c>
      <c r="Z85" s="63" t="n"/>
      <c r="AA85" s="72" t="n">
        <v>-26.93</v>
      </c>
      <c r="AB85" s="73" t="n">
        <v>-19.54</v>
      </c>
      <c r="AC85" s="73" t="n">
        <v>-9.18</v>
      </c>
      <c r="AD85" s="73" t="n">
        <v>-30.13</v>
      </c>
      <c r="AE85" s="73" t="n">
        <v>-32.84</v>
      </c>
      <c r="AF85" s="73" t="n">
        <v>-64.37</v>
      </c>
      <c r="AG85" s="73" t="n">
        <v>-4.38</v>
      </c>
      <c r="AH85" s="73" t="n">
        <v>-8.09</v>
      </c>
      <c r="AI85" s="73" t="n">
        <v>-51.24</v>
      </c>
      <c r="AJ85" s="73" t="n">
        <v>-23.79</v>
      </c>
      <c r="AK85" s="73" t="n">
        <v>-22.11</v>
      </c>
      <c r="AL85" s="73" t="n">
        <v>-26.66</v>
      </c>
      <c r="AM85" s="73" t="n">
        <v>1.24</v>
      </c>
      <c r="AN85" s="73" t="n">
        <v>-10.73</v>
      </c>
      <c r="AO85" s="73" t="n">
        <v>-9.33</v>
      </c>
      <c r="AP85" s="63" t="inlineStr">
        <is>
          <t>China Biotech ETF (HS biotech proxy)</t>
        </is>
      </c>
      <c r="AQ85" s="73" t="n">
        <v>-82.84</v>
      </c>
      <c r="AR85" s="64" t="inlineStr">
        <is>
          <t>2026-08-20</t>
        </is>
      </c>
      <c r="AS85" s="65" t="n">
        <v>2.1</v>
      </c>
      <c r="AT85" s="68" t="n">
        <v>-172.4</v>
      </c>
      <c r="AU85" s="63" t="inlineStr">
        <is>
          <t>N</t>
        </is>
      </c>
      <c r="AV85" s="63" t="inlineStr">
        <is>
          <t>n/m</t>
        </is>
      </c>
      <c r="AW85" s="74" t="n"/>
      <c r="AX85" s="74" t="n">
        <v>37.8</v>
      </c>
      <c r="AY85" s="74" t="n">
        <v>2460.3</v>
      </c>
      <c r="AZ85" s="75" t="inlineStr">
        <is>
          <t>N</t>
        </is>
      </c>
      <c r="BA85" s="76">
        <f>IF('BBG Verify'!K85="","not filed — run on terminal",'BBG Verify'!K85)</f>
        <v/>
      </c>
      <c r="BB85" s="63" t="inlineStr">
        <is>
          <t>N/A</t>
        </is>
      </c>
      <c r="BC85" s="63" t="inlineStr">
        <is>
          <t>N/A</t>
        </is>
      </c>
      <c r="BD85" s="63" t="inlineStr">
        <is>
          <t>N/A</t>
        </is>
      </c>
      <c r="BE85" s="63" t="inlineStr">
        <is>
          <t>N/A</t>
        </is>
      </c>
      <c r="BF85" s="63" t="inlineStr">
        <is>
          <t>N/A</t>
        </is>
      </c>
      <c r="BG85" s="75" t="inlineStr">
        <is>
          <t>Morgan Stanley Asia Limited; Jefferies Hong Kong Limited</t>
        </is>
      </c>
      <c r="BH85" s="63" t="inlineStr">
        <is>
          <t>Jefferies Hong Kong Limited; Morgan Stanley Asia Limited</t>
        </is>
      </c>
      <c r="BI85" s="63" t="inlineStr">
        <is>
          <t>Morgan Stanley Asia Limited; Jefferies Hong Kong Limited; Haitong International Securities Company Limited; Morgan Stanley &amp; Co. International plc; China Merchants Securities (HK) Co., Limited; BOCI Asia Limited</t>
        </is>
      </c>
      <c r="BJ85" s="63" t="inlineStr">
        <is>
          <t>BOCI Asia Limited; China Merchants Securities (HK) Company Limited; Futu Securities International (Hong Kong) Limited; Haitong International Securities Company Limited; Jefferies Hong Kong Limited; Morgan Stanley Asia Limited</t>
        </is>
      </c>
      <c r="BK85" s="77">
        <f>HYPERLINK("https://www1.hkexnews.hk/listedco/listconews/sehk/2021/1130/2021113000013.pdf","prospectus")</f>
        <v/>
      </c>
      <c r="BL85" s="77">
        <f>HYPERLINK("https://www1.hkexnews.hk/listedco/listconews/sehk/2021/1209/2021120900010.htm","allotment")</f>
        <v/>
      </c>
      <c r="BM85" s="63" t="n"/>
      <c r="BN85" s="75" t="n"/>
      <c r="BO85" s="63" t="inlineStr">
        <is>
          <t>P/E: n/m — loss-making at IPO (use P/S) · greenshoe: end-of-stabilisation notice not located · range low: cap-only pricing — the filing publishes a Maximum Offer Price and no indicative floor · A/H: no A-share listing · P/S: 2,460x on HK$2.1m revenue — effectively pre-revenue; the multiple is shown for completeness, not comparability</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7" t="n">
        <v>8.16</v>
      </c>
      <c r="W86" s="63" t="inlineStr">
        <is>
          <t>Boyu Capital Opportunities Master Fund; Foresight Funds; Sage Partners Master Fund; UBS Asset Management (Singapore) Ltd</t>
        </is>
      </c>
      <c r="X86" s="63" t="inlineStr">
        <is>
          <t>boyu;foresight;sage;ubs</t>
        </is>
      </c>
      <c r="Y86" s="67" t="n">
        <v>15.14</v>
      </c>
      <c r="Z86" s="63" t="inlineStr">
        <is>
          <t>lapsed</t>
        </is>
      </c>
      <c r="AA86" s="72" t="n">
        <v>0</v>
      </c>
      <c r="AB86" s="73" t="n">
        <v>15.17</v>
      </c>
      <c r="AC86" s="73" t="n">
        <v>-13.17</v>
      </c>
      <c r="AD86" s="73" t="n">
        <v>-17.24</v>
      </c>
      <c r="AE86" s="73" t="n">
        <v>45.86</v>
      </c>
      <c r="AF86" s="73" t="n">
        <v>-28.45</v>
      </c>
      <c r="AG86" s="73" t="n">
        <v>-17.24</v>
      </c>
      <c r="AH86" s="73" t="n">
        <v>45.86</v>
      </c>
      <c r="AI86" s="73" t="n">
        <v>-28.45</v>
      </c>
      <c r="AJ86" s="73" t="n">
        <v>-10.9</v>
      </c>
      <c r="AK86" s="73" t="n">
        <v>56.59</v>
      </c>
      <c r="AL86" s="73" t="n">
        <v>9.26</v>
      </c>
      <c r="AM86" s="73" t="n">
        <v>55.19</v>
      </c>
      <c r="AN86" s="73" t="n">
        <v>-10.73</v>
      </c>
      <c r="AO86" s="73" t="n">
        <v>-9.33</v>
      </c>
      <c r="AP86" s="63" t="inlineStr">
        <is>
          <t>China Biotech ETF (HS biotech proxy)</t>
        </is>
      </c>
      <c r="AQ86" s="73" t="n">
        <v>-6.21</v>
      </c>
      <c r="AR86" s="64" t="inlineStr">
        <is>
          <t>2026-08-20</t>
        </is>
      </c>
      <c r="AS86" s="65" t="n">
        <v>1017.9</v>
      </c>
      <c r="AT86" s="68" t="n">
        <v>-280.9</v>
      </c>
      <c r="AU86" s="63" t="inlineStr">
        <is>
          <t>N</t>
        </is>
      </c>
      <c r="AV86" s="63" t="inlineStr">
        <is>
          <t>n/m</t>
        </is>
      </c>
      <c r="AW86" s="74" t="n"/>
      <c r="AX86" s="74" t="n">
        <v>15.7</v>
      </c>
      <c r="AY86" s="74" t="n">
        <v>5.8</v>
      </c>
      <c r="AZ86" s="75" t="inlineStr">
        <is>
          <t>N</t>
        </is>
      </c>
      <c r="BA86" s="76">
        <f>IF('BBG Verify'!K86="","not filed — run on terminal",'BBG Verify'!K86)</f>
        <v/>
      </c>
      <c r="BB86" s="63" t="inlineStr">
        <is>
          <t>N/A</t>
        </is>
      </c>
      <c r="BC86" s="63" t="inlineStr">
        <is>
          <t>N/A</t>
        </is>
      </c>
      <c r="BD86" s="63" t="inlineStr">
        <is>
          <t>N/A</t>
        </is>
      </c>
      <c r="BE86" s="63" t="inlineStr">
        <is>
          <t>N/A</t>
        </is>
      </c>
      <c r="BF86" s="63" t="inlineStr">
        <is>
          <t>N/A</t>
        </is>
      </c>
      <c r="BG86" s="75" t="inlineStr">
        <is>
          <t>Merrill Lynch (Asia Pacific) Limited; Haitong International Capital Limited; Central, Hong Kong Joint Representatives Merrill Lynch (Asia Pacific) Limited; Haitong International Securities Company Limited</t>
        </is>
      </c>
      <c r="BH86" s="63" t="inlineStr">
        <is>
          <t>Haitong International Capital Limited; Merrill Lynch (Asia Pacific) Limited</t>
        </is>
      </c>
      <c r="BI86" s="63" t="inlineStr">
        <is>
          <t>Merrill Lynch (Asia Pacific) Limited; Haitong International Securities Company Limited; China International Capital Corporation Hong Kong Securities Limited; GF Securities (Hong Kong) Brokerage Limited; ICBC International Capital Limited</t>
        </is>
      </c>
      <c r="BJ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7">
        <f>HYPERLINK("https://www1.hkexnews.hk/listedco/listconews/sehk/2021/1130/2021113000025.pdf","prospectus")</f>
        <v/>
      </c>
      <c r="BL86" s="77">
        <f>HYPERLINK("https://www1.hkexnews.hk/listedco/listconews/sehk/2021/1209/2021120900040.htm","allotment")</f>
        <v/>
      </c>
      <c r="BM86" s="77">
        <f>HYPERLINK("https://www1.hkexnews.hk/listedco/listconews/sehk/2022/0103/2022010302918.pdf","stabilisation")</f>
        <v/>
      </c>
      <c r="BN86" s="75" t="n"/>
      <c r="BO86" s="63" t="inlineStr">
        <is>
          <t>P/E: n/m — loss-making at IPO (use P/S) · greenshoe: CONFLICT: our notice-parse read 'lapsed' but Bloomberg records 4,181,700 over-allotment shares exercised — verify the stabilisation notice by hand · A/H: no A-share listing</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c r="L87" s="66" t="n">
        <v>410</v>
      </c>
      <c r="M87" s="66" t="n">
        <v>388</v>
      </c>
      <c r="N87" s="63" t="inlineStr">
        <is>
          <t>N</t>
        </is>
      </c>
      <c r="O87" s="67" t="n">
        <v>94.59999999999999</v>
      </c>
      <c r="P87" s="67" t="n"/>
      <c r="Q87" s="68" t="n">
        <v>141820</v>
      </c>
      <c r="R87" s="63" t="inlineStr">
        <is>
          <t>prospectus:stated market capitalisation</t>
        </is>
      </c>
      <c r="S87" s="69" t="n">
        <v>4.5</v>
      </c>
      <c r="T87" s="70" t="n">
        <v>4.5</v>
      </c>
      <c r="U87" s="71" t="n">
        <v>0</v>
      </c>
      <c r="V87" s="67" t="n">
        <v>5.04</v>
      </c>
      <c r="W87" s="63" t="n"/>
      <c r="X87" s="63" t="n"/>
      <c r="Y87" s="67" t="n">
        <v>7.97</v>
      </c>
      <c r="Z87" s="63" t="inlineStr">
        <is>
          <t>partial</t>
        </is>
      </c>
      <c r="AA87" s="72" t="n">
        <v>-4.64</v>
      </c>
      <c r="AB87" s="73" t="n">
        <v>0</v>
      </c>
      <c r="AC87" s="73" t="n">
        <v>-4.64</v>
      </c>
      <c r="AD87" s="73" t="n">
        <v>-16.55</v>
      </c>
      <c r="AE87" s="73" t="n">
        <v>-32.27</v>
      </c>
      <c r="AF87" s="73" t="n">
        <v>-44.85</v>
      </c>
      <c r="AG87" s="73" t="n">
        <v>-12.49</v>
      </c>
      <c r="AH87" s="73" t="n">
        <v>-28.97</v>
      </c>
      <c r="AI87" s="73" t="n">
        <v>-42.17</v>
      </c>
      <c r="AJ87" s="73" t="n">
        <v>-10.21</v>
      </c>
      <c r="AK87" s="73" t="n">
        <v>-21.54</v>
      </c>
      <c r="AL87" s="73" t="n">
        <v>-7.14</v>
      </c>
      <c r="AM87" s="73" t="n">
        <v>-19.64</v>
      </c>
      <c r="AN87" s="73" t="n">
        <v>-10.73</v>
      </c>
      <c r="AO87" s="73" t="n">
        <v>-9.33</v>
      </c>
      <c r="AP87" s="63" t="inlineStr">
        <is>
          <t>China Biotech ETF (HS biotech proxy)</t>
        </is>
      </c>
      <c r="AQ87" s="73" t="n">
        <v>-59.91</v>
      </c>
      <c r="AR87" s="64" t="inlineStr">
        <is>
          <t>2026-08-24</t>
        </is>
      </c>
      <c r="AS87" s="65" t="n">
        <v>3450.4</v>
      </c>
      <c r="AT87" s="68" t="n">
        <v>791.7</v>
      </c>
      <c r="AU87" s="63" t="inlineStr">
        <is>
          <t>Y</t>
        </is>
      </c>
      <c r="AV87" s="74" t="n">
        <v>179.1</v>
      </c>
      <c r="AW87" s="74" t="n"/>
      <c r="AX87" s="74" t="n"/>
      <c r="AY87" s="74" t="n">
        <v>41.1</v>
      </c>
      <c r="AZ87" s="75" t="inlineStr">
        <is>
          <t>Y</t>
        </is>
      </c>
      <c r="BA87" s="63" t="inlineStr">
        <is>
          <t>002821.SZ</t>
        </is>
      </c>
      <c r="BB87" s="73" t="n">
        <v>50.64</v>
      </c>
      <c r="BC87" s="66" t="n">
        <v>584.465</v>
      </c>
      <c r="BD87" s="80" t="n">
        <v>0.6439</v>
      </c>
      <c r="BE87" s="78">
        <f>IF('BBG Verify'!Q87="","run on terminal",'BBG Verify'!Q87)</f>
        <v/>
      </c>
      <c r="BF87" s="78">
        <f>IF('BBG Verify'!R87="","run on terminal",'BBG Verify'!R87)</f>
        <v/>
      </c>
      <c r="BG87" s="75" t="inlineStr">
        <is>
          <t>Goldman Sachs (Asia) L.L.C; CLSA Capital Markets Limited</t>
        </is>
      </c>
      <c r="BH87" s="63" t="inlineStr">
        <is>
          <t>Goldman Sachs (Asia) L.L.C.; CLSA Capital Markets Limited</t>
        </is>
      </c>
      <c r="BI87" s="63" t="inlineStr">
        <is>
          <t>Goldman Sachs (Asia) L.L.C; CLSA Limited; Credit Suisse (Hong Kong) Limited; Citigroup Global Markets Asia Limited; BOCOM International Securities Limited</t>
        </is>
      </c>
      <c r="BJ87" s="63" t="inlineStr">
        <is>
          <t>Beta International Securities Limited; Citigroup Global Markets Asia Limited; CLSA Limited; Credit Suisse (Hong Kong) Limited; Guotai Junan Securities (Hong Kong) Limited; Goldman Sachs (Asia) L.L.C.</t>
        </is>
      </c>
      <c r="BK87" s="77">
        <f>HYPERLINK("https://www1.hkexnews.hk/listedco/listconews/sehk/2021/1130/2021113000029.pdf","prospectus")</f>
        <v/>
      </c>
      <c r="BL87" s="77">
        <f>HYPERLINK("https://www1.hkexnews.hk/listedco/listconews/sehk/2021/1209/2021120900056.htm","allotment")</f>
        <v/>
      </c>
      <c r="BM87" s="77">
        <f>HYPERLINK("https://www1.hkexnews.hk/listedco/listconews/sehk/2022/0102/2022010200055.pdf","stabilisation")</f>
        <v/>
      </c>
      <c r="BN87" s="75" t="n"/>
      <c r="BO87" s="63" t="inlineStr">
        <is>
          <t>range low: cap-only pricing — the filing publishes a Maximum Offer Price and no indicative floor · 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213.7</v>
      </c>
      <c r="J88" s="63" t="inlineStr">
        <is>
          <t>net proceeds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7" t="n">
        <v>1.3</v>
      </c>
      <c r="W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3" t="inlineStr">
        <is>
          <t>athos;enreal;hudson;ivyrock;lake;lav;ncc;wt;yi;york</t>
        </is>
      </c>
      <c r="Y88" s="67" t="n">
        <v>9.199999999999999</v>
      </c>
      <c r="Z88" s="63" t="inlineStr">
        <is>
          <t>partial</t>
        </is>
      </c>
      <c r="AA88" s="72" t="n">
        <v>5.06</v>
      </c>
      <c r="AB88" s="73" t="n">
        <v>-0.25</v>
      </c>
      <c r="AC88" s="73" t="n">
        <v>5.32</v>
      </c>
      <c r="AD88" s="73" t="n">
        <v>1.14</v>
      </c>
      <c r="AE88" s="73" t="n">
        <v>-17.34</v>
      </c>
      <c r="AF88" s="73" t="n">
        <v>-38.1</v>
      </c>
      <c r="AG88" s="73" t="n">
        <v>-3.73</v>
      </c>
      <c r="AH88" s="73" t="n">
        <v>-21.32</v>
      </c>
      <c r="AI88" s="73" t="n">
        <v>-41.08</v>
      </c>
      <c r="AJ88" s="73" t="n">
        <v>8.140000000000001</v>
      </c>
      <c r="AK88" s="73" t="n">
        <v>-9.119999999999999</v>
      </c>
      <c r="AL88" s="73" t="n">
        <v>-6.64</v>
      </c>
      <c r="AM88" s="73" t="n">
        <v>-14.88</v>
      </c>
      <c r="AN88" s="73" t="n">
        <v>-8.220000000000001</v>
      </c>
      <c r="AO88" s="73" t="n">
        <v>-6.44</v>
      </c>
      <c r="AP88" s="63" t="inlineStr">
        <is>
          <t>China Biotech ETF (HS biotech proxy)</t>
        </is>
      </c>
      <c r="AQ88" s="73" t="n">
        <v>-84.23999999999999</v>
      </c>
      <c r="AR88" s="64" t="inlineStr">
        <is>
          <t>2026-08-21</t>
        </is>
      </c>
      <c r="AS88" s="65" t="n">
        <v>1801.8</v>
      </c>
      <c r="AT88" s="68" t="n">
        <v>179.3</v>
      </c>
      <c r="AU88" s="63" t="inlineStr">
        <is>
          <t>Y</t>
        </is>
      </c>
      <c r="AV88" s="74" t="n">
        <v>45.8</v>
      </c>
      <c r="AW88" s="74" t="n"/>
      <c r="AX88" s="74" t="n">
        <v>14.9</v>
      </c>
      <c r="AY88" s="74" t="n">
        <v>4.6</v>
      </c>
      <c r="AZ88" s="75" t="inlineStr">
        <is>
          <t>N</t>
        </is>
      </c>
      <c r="BA88" s="76">
        <f>IF('BBG Verify'!K88="","not filed — run on terminal",'BBG Verify'!K88)</f>
        <v/>
      </c>
      <c r="BB88" s="63" t="inlineStr">
        <is>
          <t>N/A</t>
        </is>
      </c>
      <c r="BC88" s="63" t="inlineStr">
        <is>
          <t>N/A</t>
        </is>
      </c>
      <c r="BD88" s="63" t="inlineStr">
        <is>
          <t>N/A</t>
        </is>
      </c>
      <c r="BE88" s="63" t="inlineStr">
        <is>
          <t>N/A</t>
        </is>
      </c>
      <c r="BF88" s="63" t="inlineStr">
        <is>
          <t>N/A</t>
        </is>
      </c>
      <c r="BG88" s="75" t="inlineStr">
        <is>
          <t>Morgan Stanley Asia Limited; China International Capital Corporation Hong Kong Securities Limited</t>
        </is>
      </c>
      <c r="BH88" s="63" t="inlineStr">
        <is>
          <t>China International Capital Corporation Hong Kong Securities Limited; Morgan Stanley Asia Limited</t>
        </is>
      </c>
      <c r="BI88" s="63" t="inlineStr">
        <is>
          <t>Morgan Stanley Asia Limited; China International Capital Corporation Hong Kong Securities Limited; Morgan Stanley &amp; Co. International plc</t>
        </is>
      </c>
      <c r="BJ88" s="63" t="inlineStr">
        <is>
          <t>China International Capital Corporation Hong Kong Securities Limited; Morgan Stanley Asia Limited</t>
        </is>
      </c>
      <c r="BK88" s="77">
        <f>HYPERLINK("https://www1.hkexnews.hk/listedco/listconews/sehk/2021/1201/2021120100031.pdf","prospectus")</f>
        <v/>
      </c>
      <c r="BL88" s="77">
        <f>HYPERLINK("https://www1.hkexnews.hk/listedco/listconews/sehk/2021/1210/2021121000062.htm","allotment")</f>
        <v/>
      </c>
      <c r="BM88" s="77">
        <f>HYPERLINK("https://www1.hkexnews.hk/listedco/listconews/sehk/2022/0105/2022010502109.pdf","stabilisation")</f>
        <v/>
      </c>
      <c r="BN88" s="75" t="n"/>
      <c r="BO88" s="63" t="inlineStr">
        <is>
          <t>range low: cap-only pricing — the filing publishes a Maximum Offer Price and no indicative floor · A/H: no A-share listing · cornerstone: AAStocks institutional table includes non-cornerstone orders (superset) — cornerstone % is from the prospectus</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15327.4</v>
      </c>
      <c r="R89" s="63" t="inlineStr">
        <is>
          <t>prospectus:stated market capitalisation</t>
        </is>
      </c>
      <c r="S89" s="69" t="n">
        <v>2.93</v>
      </c>
      <c r="T89" s="70" t="n">
        <v>2.41</v>
      </c>
      <c r="U89" s="71" t="n">
        <v>43.9</v>
      </c>
      <c r="V89" s="67" t="n">
        <v>7.88</v>
      </c>
      <c r="W89" s="63" t="inlineStr">
        <is>
          <t>Hello Inc; Taobao China Holding Limited</t>
        </is>
      </c>
      <c r="X89" s="63" t="inlineStr">
        <is>
          <t>hello;taobao</t>
        </is>
      </c>
      <c r="Y89" s="67" t="n">
        <v>5.6</v>
      </c>
      <c r="Z89" s="63" t="inlineStr">
        <is>
          <t>lapsed</t>
        </is>
      </c>
      <c r="AA89" s="72" t="n">
        <v>-9.26</v>
      </c>
      <c r="AB89" s="73" t="n">
        <v>-7.43</v>
      </c>
      <c r="AC89" s="73" t="n">
        <v>-1.98</v>
      </c>
      <c r="AD89" s="73" t="n">
        <v>-6.94</v>
      </c>
      <c r="AE89" s="73" t="n">
        <v>-19.85</v>
      </c>
      <c r="AF89" s="73" t="n">
        <v>-52.01</v>
      </c>
      <c r="AG89" s="73" t="n">
        <v>2.56</v>
      </c>
      <c r="AH89" s="73" t="n">
        <v>-11.67</v>
      </c>
      <c r="AI89" s="73" t="n">
        <v>-47.11</v>
      </c>
      <c r="AJ89" s="73" t="n">
        <v>-0.86</v>
      </c>
      <c r="AK89" s="73" t="n">
        <v>-18.45</v>
      </c>
      <c r="AL89" s="73" t="n">
        <v>-32.97</v>
      </c>
      <c r="AM89" s="73" t="n">
        <v>-11.55</v>
      </c>
      <c r="AN89" s="73" t="n">
        <v>-1.4</v>
      </c>
      <c r="AO89" s="73" t="n">
        <v>-0.12</v>
      </c>
      <c r="AP89" s="63" t="inlineStr">
        <is>
          <t>Hang Seng Commerce &amp; Industry sub-index</t>
        </is>
      </c>
      <c r="AQ89" s="73" t="n">
        <v>-51.43</v>
      </c>
      <c r="AR89" s="64" t="inlineStr">
        <is>
          <t>2026-08-20</t>
        </is>
      </c>
      <c r="AS89" s="65" t="n">
        <v>5327.7</v>
      </c>
      <c r="AT89" s="68" t="n">
        <v>-833.4</v>
      </c>
      <c r="AU89" s="63" t="inlineStr">
        <is>
          <t>N</t>
        </is>
      </c>
      <c r="AV89" s="63" t="inlineStr">
        <is>
          <t>n/m</t>
        </is>
      </c>
      <c r="AW89" s="74" t="n"/>
      <c r="AX89" s="74" t="n">
        <v>22.6</v>
      </c>
      <c r="AY89" s="74" t="n">
        <v>2.9</v>
      </c>
      <c r="AZ89" s="75" t="inlineStr">
        <is>
          <t>N</t>
        </is>
      </c>
      <c r="BA89" s="76">
        <f>IF('BBG Verify'!K89="","not filed — run on terminal",'BBG Verify'!K89)</f>
        <v/>
      </c>
      <c r="BB89" s="63" t="inlineStr">
        <is>
          <t>N/A</t>
        </is>
      </c>
      <c r="BC89" s="63" t="inlineStr">
        <is>
          <t>N/A</t>
        </is>
      </c>
      <c r="BD89" s="63" t="inlineStr">
        <is>
          <t>N/A</t>
        </is>
      </c>
      <c r="BE89" s="63" t="inlineStr">
        <is>
          <t>N/A</t>
        </is>
      </c>
      <c r="BF89" s="63" t="inlineStr">
        <is>
          <t>N/A</t>
        </is>
      </c>
      <c r="BG89" s="75" t="inlineStr">
        <is>
          <t>China International Capital Corporation Hong Kong Securities Limited; Merrill Lynch (Asia Pacific) Limited</t>
        </is>
      </c>
      <c r="BH89" s="63" t="inlineStr">
        <is>
          <t>China International Capital Corporation Hong Kong Securities Limited; Merrill Lynch (Asia Pacific) Limited</t>
        </is>
      </c>
      <c r="BI89" s="63"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7">
        <f>HYPERLINK("https://www1.hkexnews.hk/listedco/listconews/sehk/2021/1130/2021113000021.pdf","prospectus")</f>
        <v/>
      </c>
      <c r="BL89" s="77">
        <f>HYPERLINK("https://www1.hkexnews.hk/listedco/listconews/sehk/2021/1213/2021121300010.htm","allotment")</f>
        <v/>
      </c>
      <c r="BM89" s="77">
        <f>HYPERLINK("https://www1.hkexnews.hk/listedco/listconews/sehk/2022/0106/2022010601365.pdf","stabilisation")</f>
        <v/>
      </c>
      <c r="BN89" s="75" t="n"/>
      <c r="BO89" s="63" t="inlineStr">
        <is>
          <t>P/E: n/m — loss-making at IPO (use P/S) · A/H: no A-share listing</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c r="L90" s="66" t="n">
        <v>6.1</v>
      </c>
      <c r="M90" s="66" t="n">
        <v>4.46</v>
      </c>
      <c r="N90" s="63" t="inlineStr">
        <is>
          <t>N</t>
        </is>
      </c>
      <c r="O90" s="67" t="n">
        <v>73.09999999999999</v>
      </c>
      <c r="P90" s="67" t="n"/>
      <c r="Q90" s="68" t="n">
        <v>1902.6</v>
      </c>
      <c r="R90" s="63" t="inlineStr">
        <is>
          <t>prospectus:stated market capitalisation</t>
        </is>
      </c>
      <c r="S90" s="69" t="n">
        <v>1.78</v>
      </c>
      <c r="T90" s="70" t="n">
        <v>1.12</v>
      </c>
      <c r="U90" s="71" t="n"/>
      <c r="V90" s="67" t="n">
        <v>28.5</v>
      </c>
      <c r="W90" s="63" t="n"/>
      <c r="X90" s="63" t="n"/>
      <c r="Y90" s="67" t="n">
        <v>15</v>
      </c>
      <c r="Z90" s="63" t="inlineStr">
        <is>
          <t>lapsed (no over-allocation)</t>
        </is>
      </c>
      <c r="AA90" s="72" t="n">
        <v>2.02</v>
      </c>
      <c r="AB90" s="73" t="n">
        <v>-0.67</v>
      </c>
      <c r="AC90" s="73" t="n">
        <v>2.71</v>
      </c>
      <c r="AD90" s="73" t="n">
        <v>0.45</v>
      </c>
      <c r="AE90" s="73" t="n">
        <v>-2.69</v>
      </c>
      <c r="AF90" s="73" t="n">
        <v>4.48</v>
      </c>
      <c r="AG90" s="73" t="n">
        <v>-1.54</v>
      </c>
      <c r="AH90" s="73" t="n">
        <v>-4.62</v>
      </c>
      <c r="AI90" s="73" t="n">
        <v>2.41</v>
      </c>
      <c r="AJ90" s="73" t="n">
        <v>1.2</v>
      </c>
      <c r="AK90" s="73" t="n">
        <v>0.59</v>
      </c>
      <c r="AL90" s="73" t="n">
        <v>24.37</v>
      </c>
      <c r="AM90" s="73" t="n">
        <v>1.52</v>
      </c>
      <c r="AN90" s="73" t="n">
        <v>-3.28</v>
      </c>
      <c r="AO90" s="73" t="n">
        <v>-6.14</v>
      </c>
      <c r="AP90" s="63" t="inlineStr">
        <is>
          <t>China Biotech ETF (HS biotech proxy)</t>
        </is>
      </c>
      <c r="AQ90" s="73" t="n">
        <v>785.2</v>
      </c>
      <c r="AR90" s="64" t="inlineStr">
        <is>
          <t>2026-08-20</t>
        </is>
      </c>
      <c r="AS90" s="65" t="n">
        <v>13.5</v>
      </c>
      <c r="AT90" s="68" t="n">
        <v>-1.6</v>
      </c>
      <c r="AU90" s="63" t="inlineStr">
        <is>
          <t>N</t>
        </is>
      </c>
      <c r="AV90" s="63" t="inlineStr">
        <is>
          <t>n/m</t>
        </is>
      </c>
      <c r="AW90" s="74" t="n"/>
      <c r="AX90" s="74" t="n">
        <v>28.3</v>
      </c>
      <c r="AY90" s="74" t="n">
        <v>140.9</v>
      </c>
      <c r="AZ90" s="75" t="inlineStr">
        <is>
          <t>N</t>
        </is>
      </c>
      <c r="BA90" s="76">
        <f>IF('BBG Verify'!K90="","not filed — run on terminal",'BBG Verify'!K90)</f>
        <v/>
      </c>
      <c r="BB90" s="63" t="inlineStr">
        <is>
          <t>N/A</t>
        </is>
      </c>
      <c r="BC90" s="63" t="inlineStr">
        <is>
          <t>N/A</t>
        </is>
      </c>
      <c r="BD90" s="63" t="inlineStr">
        <is>
          <t>N/A</t>
        </is>
      </c>
      <c r="BE90" s="63" t="inlineStr">
        <is>
          <t>N/A</t>
        </is>
      </c>
      <c r="BF90" s="63" t="inlineStr">
        <is>
          <t>N/A</t>
        </is>
      </c>
      <c r="BG90" s="75" t="inlineStr">
        <is>
          <t>Guotai Junan Capital Limited</t>
        </is>
      </c>
      <c r="BH90" s="63" t="inlineStr">
        <is>
          <t>Guotai Junan Capital Limited</t>
        </is>
      </c>
      <c r="BI90" s="63" t="inlineStr">
        <is>
          <t>Guotai Junan Securities (Hong Kong) Limited</t>
        </is>
      </c>
      <c r="BJ90" s="63" t="inlineStr">
        <is>
          <t>Ever-Long Securities Company Limited; Guotai Junan Securities (Hong Kong) Limited; HTF Securities Limited; Merdeka Securities Limited</t>
        </is>
      </c>
      <c r="BK90" s="77">
        <f>HYPERLINK("https://www1.hkexnews.hk/listedco/listconews/sehk/2021/1130/2021113000017.pdf","prospectus")</f>
        <v/>
      </c>
      <c r="BL90" s="77">
        <f>HYPERLINK("https://www1.hkexnews.hk/listedco/listconews/sehk/2021/1215/2021121500014.htm","allotment")</f>
        <v/>
      </c>
      <c r="BM90" s="77">
        <f>HYPERLINK("https://www1.hkexnews.hk/listedco/listconews/sehk/2022/0109/2022010900013.pdf","stabilisation")</f>
        <v/>
      </c>
      <c r="BN90" s="75" t="n"/>
      <c r="BO90"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7" t="n">
        <v>5.3</v>
      </c>
      <c r="W91" s="63" t="inlineStr">
        <is>
          <t>ABCI China Dynamic Growth SP; Boyu Capital Opportunities Master Fund; GF Global Capital Limited; Harvest Alternative Investment Opportunities Fund SP3; I-China Holdings Limited; Qookka Entertainment Limited</t>
        </is>
      </c>
      <c r="X91" s="63" t="inlineStr">
        <is>
          <t>agricultural;boyu;gf;harvest;china-holdings;qookka</t>
        </is>
      </c>
      <c r="Y91" s="67" t="n">
        <v>7.11</v>
      </c>
      <c r="Z91" s="63" t="inlineStr">
        <is>
          <t>partial</t>
        </is>
      </c>
      <c r="AA91" s="72" t="n">
        <v>-4.64</v>
      </c>
      <c r="AB91" s="73" t="n">
        <v>-8.93</v>
      </c>
      <c r="AC91" s="73" t="n">
        <v>4.71</v>
      </c>
      <c r="AD91" s="73" t="n">
        <v>-4.46</v>
      </c>
      <c r="AE91" s="73" t="n">
        <v>-21.34</v>
      </c>
      <c r="AF91" s="73" t="n">
        <v>-61.88</v>
      </c>
      <c r="AG91" s="73" t="n">
        <v>0.19</v>
      </c>
      <c r="AH91" s="73" t="n">
        <v>-17.51</v>
      </c>
      <c r="AI91" s="73" t="n">
        <v>-60.03</v>
      </c>
      <c r="AJ91" s="73" t="n">
        <v>-1.84</v>
      </c>
      <c r="AK91" s="73" t="n">
        <v>-20.2</v>
      </c>
      <c r="AL91" s="73" t="n">
        <v>-37.93</v>
      </c>
      <c r="AM91" s="73" t="n">
        <v>-15.68</v>
      </c>
      <c r="AN91" s="73" t="n">
        <v>-1.14</v>
      </c>
      <c r="AO91" s="73" t="n">
        <v>-1.83</v>
      </c>
      <c r="AP91" s="63" t="inlineStr">
        <is>
          <t>HSTECH (Hang Seng TECH ETF)</t>
        </is>
      </c>
      <c r="AQ91" s="73" t="n">
        <v>-73.20999999999999</v>
      </c>
      <c r="AR91" s="64" t="inlineStr">
        <is>
          <t>2026-08-19</t>
        </is>
      </c>
      <c r="AS91" s="65" t="n">
        <v>1349.6</v>
      </c>
      <c r="AT91" s="68" t="n">
        <v>124.6</v>
      </c>
      <c r="AU91" s="63" t="inlineStr">
        <is>
          <t>Y</t>
        </is>
      </c>
      <c r="AV91" s="74" t="n">
        <v>61.6</v>
      </c>
      <c r="AW91" s="74" t="n"/>
      <c r="AX91" s="74" t="n">
        <v>14.8</v>
      </c>
      <c r="AY91" s="74" t="n">
        <v>5.7</v>
      </c>
      <c r="AZ91" s="75" t="inlineStr">
        <is>
          <t>N</t>
        </is>
      </c>
      <c r="BA91" s="76">
        <f>IF('BBG Verify'!K91="","not filed — run on terminal",'BBG Verify'!K91)</f>
        <v/>
      </c>
      <c r="BB91" s="63" t="inlineStr">
        <is>
          <t>N/A</t>
        </is>
      </c>
      <c r="BC91" s="63" t="inlineStr">
        <is>
          <t>N/A</t>
        </is>
      </c>
      <c r="BD91" s="63" t="inlineStr">
        <is>
          <t>N/A</t>
        </is>
      </c>
      <c r="BE91" s="63" t="inlineStr">
        <is>
          <t>N/A</t>
        </is>
      </c>
      <c r="BF91" s="63" t="inlineStr">
        <is>
          <t>N/A</t>
        </is>
      </c>
      <c r="BG91" s="75" t="inlineStr">
        <is>
          <t>China International Capital Corporation Hong Kong Securities Limited; CLSA Capital Markets Limited; CLSA Limited</t>
        </is>
      </c>
      <c r="BH91" s="63" t="inlineStr">
        <is>
          <t>China International Capital Corporation Hong Kong Securities Limited; CLSA Capital Markets Limited</t>
        </is>
      </c>
      <c r="BI91" s="63" t="inlineStr">
        <is>
          <t>China International Capital Corporation Hong Kong Securities Limited; CLSA Limited; China Merchants Securities (HK) Co., Limited; (Below in alphabetical order) ABCI Capital Limited; Guotai Junan Securities (Hong Kong) Limited; Valuable Capital Limited</t>
        </is>
      </c>
      <c r="BJ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7">
        <f>HYPERLINK("https://www1.hkexnews.hk/listedco/listconews/sehk/2021/1206/2021120600013.pdf","prospectus")</f>
        <v/>
      </c>
      <c r="BL91" s="77">
        <f>HYPERLINK("https://www1.hkexnews.hk/listedco/listconews/sehk/2021/1215/2021121500032.htm","allotment")</f>
        <v/>
      </c>
      <c r="BM91" s="77">
        <f>HYPERLINK("https://www1.hkexnews.hk/listedco/listconews/sehk/2022/0110/2022011000737.pdf","stabilisation")</f>
        <v/>
      </c>
      <c r="BN91" s="75" t="n"/>
      <c r="BO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7" t="n">
        <v>25.23</v>
      </c>
      <c r="W92" s="63" t="n"/>
      <c r="X92" s="63" t="n"/>
      <c r="Y92" s="67" t="n">
        <v>15</v>
      </c>
      <c r="Z92" s="63" t="inlineStr">
        <is>
          <t>partial</t>
        </is>
      </c>
      <c r="AA92" s="72" t="n">
        <v>-5.41</v>
      </c>
      <c r="AB92" s="73" t="n">
        <v>4.5</v>
      </c>
      <c r="AC92" s="73" t="n">
        <v>-9.48</v>
      </c>
      <c r="AD92" s="73" t="n">
        <v>0</v>
      </c>
      <c r="AE92" s="73" t="n">
        <v>-1.8</v>
      </c>
      <c r="AF92" s="73" t="n">
        <v>-0.9</v>
      </c>
      <c r="AG92" s="73" t="n">
        <v>5.72</v>
      </c>
      <c r="AH92" s="73" t="n">
        <v>3.82</v>
      </c>
      <c r="AI92" s="73" t="n">
        <v>4.77</v>
      </c>
      <c r="AJ92" s="73" t="n">
        <v>0.83</v>
      </c>
      <c r="AK92" s="73" t="n">
        <v>-3.13</v>
      </c>
      <c r="AL92" s="73" t="n">
        <v>-2.05</v>
      </c>
      <c r="AM92" s="73" t="n">
        <v>2.14</v>
      </c>
      <c r="AN92" s="73" t="n">
        <v>1.33</v>
      </c>
      <c r="AO92" s="73" t="n">
        <v>1.68</v>
      </c>
      <c r="AP92" s="63" t="inlineStr">
        <is>
          <t>Hang Seng Properties sub-index</t>
        </is>
      </c>
      <c r="AQ92" s="73" t="n">
        <v>556.76</v>
      </c>
      <c r="AR92" s="64" t="inlineStr">
        <is>
          <t>2026-08-19</t>
        </is>
      </c>
      <c r="AS92" s="65" t="n">
        <v>61.3</v>
      </c>
      <c r="AT92" s="68" t="n">
        <v>47.2</v>
      </c>
      <c r="AU92" s="63" t="inlineStr">
        <is>
          <t>Y</t>
        </is>
      </c>
      <c r="AV92" s="74" t="n">
        <v>14</v>
      </c>
      <c r="AW92" s="74" t="n"/>
      <c r="AX92" s="74" t="n">
        <v>104.3</v>
      </c>
      <c r="AY92" s="74" t="n">
        <v>10.8</v>
      </c>
      <c r="AZ92" s="75" t="inlineStr">
        <is>
          <t>N</t>
        </is>
      </c>
      <c r="BA92" s="76">
        <f>IF('BBG Verify'!K92="","not filed — run on terminal",'BBG Verify'!K92)</f>
        <v/>
      </c>
      <c r="BB92" s="63" t="inlineStr">
        <is>
          <t>N/A</t>
        </is>
      </c>
      <c r="BC92" s="63" t="inlineStr">
        <is>
          <t>N/A</t>
        </is>
      </c>
      <c r="BD92" s="63" t="inlineStr">
        <is>
          <t>N/A</t>
        </is>
      </c>
      <c r="BE92" s="63" t="inlineStr">
        <is>
          <t>N/A</t>
        </is>
      </c>
      <c r="BF92" s="63" t="inlineStr">
        <is>
          <t>N/A</t>
        </is>
      </c>
      <c r="BG92" s="75" t="inlineStr">
        <is>
          <t>Shenwan Hongyuan Capital (H.K.) Limited</t>
        </is>
      </c>
      <c r="BH92" s="63" t="inlineStr">
        <is>
          <t>Shenwan Hongyuan Capital (H.K.) Limited</t>
        </is>
      </c>
      <c r="BI92" s="63"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3" t="inlineStr">
        <is>
          <t>China Everbright Securities (HK) Limited; CMBC Securities Company Limited; Guosen Securities (HK) Capital Company Limited; Livermore Holdings Limited; Shenwan Hongyuan Securities (H.K.) Limited; SPDB International Capital Limited; ZMF Asset Management Limited</t>
        </is>
      </c>
      <c r="BK92" s="77">
        <f>HYPERLINK("https://www1.hkexnews.hk/listedco/listconews/sehk/2021/1130/2021113000045.pdf","prospectus")</f>
        <v/>
      </c>
      <c r="BL92" s="77">
        <f>HYPERLINK("https://www1.hkexnews.hk/listedco/listconews/sehk/2021/1216/2021121600022.htm","allotment")</f>
        <v/>
      </c>
      <c r="BM92" s="77">
        <f>HYPERLINK("https://www1.hkexnews.hk/listedco/listconews/sehk/2022/0106/2022010601685.pdf","stabilisation")</f>
        <v/>
      </c>
      <c r="BN92" s="75" t="n"/>
      <c r="BO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7" t="n">
        <v>11.12</v>
      </c>
      <c r="W93" s="63" t="n"/>
      <c r="X93" s="63" t="n"/>
      <c r="Y93" s="67" t="n">
        <v>15.44</v>
      </c>
      <c r="Z93" s="63" t="inlineStr">
        <is>
          <t>lapsed</t>
        </is>
      </c>
      <c r="AA93" s="72" t="n">
        <v>-5.41</v>
      </c>
      <c r="AB93" s="73" t="n">
        <v>-11.15</v>
      </c>
      <c r="AC93" s="73" t="n">
        <v>6.46</v>
      </c>
      <c r="AD93" s="73" t="n">
        <v>27.29</v>
      </c>
      <c r="AE93" s="73" t="n">
        <v>37.18</v>
      </c>
      <c r="AF93" s="73" t="n">
        <v>110.82</v>
      </c>
      <c r="AG93" s="73" t="n">
        <v>34.57</v>
      </c>
      <c r="AH93" s="73" t="n">
        <v>45.03</v>
      </c>
      <c r="AI93" s="73" t="n">
        <v>122.88</v>
      </c>
      <c r="AJ93" s="73" t="n">
        <v>27.61</v>
      </c>
      <c r="AK93" s="73" t="n">
        <v>45.84</v>
      </c>
      <c r="AL93" s="73" t="n">
        <v>131.04</v>
      </c>
      <c r="AM93" s="73" t="n">
        <v>52.54</v>
      </c>
      <c r="AN93" s="73" t="n">
        <v>-8.66</v>
      </c>
      <c r="AO93" s="73" t="n">
        <v>-7.51</v>
      </c>
      <c r="AP93" s="63" t="inlineStr">
        <is>
          <t>China Biotech ETF (HS biotech proxy)</t>
        </is>
      </c>
      <c r="AQ93" s="73" t="n">
        <v>-90</v>
      </c>
      <c r="AR93" s="64" t="inlineStr">
        <is>
          <t>2026-08-20</t>
        </is>
      </c>
      <c r="AS93" s="65" t="n">
        <v>67.90000000000001</v>
      </c>
      <c r="AT93" s="68" t="n">
        <v>-15</v>
      </c>
      <c r="AU93" s="63" t="inlineStr">
        <is>
          <t>N</t>
        </is>
      </c>
      <c r="AV93" s="63" t="inlineStr">
        <is>
          <t>n/m</t>
        </is>
      </c>
      <c r="AW93" s="74" t="n"/>
      <c r="AX93" s="74" t="n"/>
      <c r="AY93" s="74" t="n">
        <v>67.40000000000001</v>
      </c>
      <c r="AZ93" s="75" t="inlineStr">
        <is>
          <t>N</t>
        </is>
      </c>
      <c r="BA93" s="76">
        <f>IF('BBG Verify'!K93="","not filed — run on terminal",'BBG Verify'!K93)</f>
        <v/>
      </c>
      <c r="BB93" s="63" t="inlineStr">
        <is>
          <t>N/A</t>
        </is>
      </c>
      <c r="BC93" s="63" t="inlineStr">
        <is>
          <t>N/A</t>
        </is>
      </c>
      <c r="BD93" s="63" t="inlineStr">
        <is>
          <t>N/A</t>
        </is>
      </c>
      <c r="BE93" s="63" t="inlineStr">
        <is>
          <t>N/A</t>
        </is>
      </c>
      <c r="BF93" s="63" t="inlineStr">
        <is>
          <t>N/A</t>
        </is>
      </c>
      <c r="BG93" s="75" t="inlineStr">
        <is>
          <t>Huatai Financial Holdings (Hong Kong) Limited</t>
        </is>
      </c>
      <c r="BH93" s="63" t="inlineStr">
        <is>
          <t>Huatai Financial Holdings (Hong Kong) Limited</t>
        </is>
      </c>
      <c r="BI93" s="63" t="inlineStr">
        <is>
          <t>Huatai Financial Holdings (Hong Kong) Limited</t>
        </is>
      </c>
      <c r="BJ93" s="63" t="inlineStr">
        <is>
          <t>Huatai Financial Holdings (Hong Kong) Limited</t>
        </is>
      </c>
      <c r="BK93" s="77">
        <f>HYPERLINK("https://www1.hkexnews.hk/listedco/listconews/sehk/2021/1213/2021121300025.pdf","prospectus")</f>
        <v/>
      </c>
      <c r="BL93" s="77">
        <f>HYPERLINK("https://www1.hkexnews.hk/listedco/listconews/sehk/2021/1222/2021122200010.htm","allotment")</f>
        <v/>
      </c>
      <c r="BM93" s="77">
        <f>HYPERLINK("https://www1.hkexnews.hk/listedco/listconews/sehk/2022/0117/2022011700011.pdf","stabilisation")</f>
        <v/>
      </c>
      <c r="BN93" s="75" t="n"/>
      <c r="BO93" s="63"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7" t="n">
        <v>14.99</v>
      </c>
      <c r="W94" s="63" t="inlineStr">
        <is>
          <t>3W Fund Management Limited; Dragon Billion China Master Fund; Greenwoods Asset Management Hong Kong Limited; IvyRock Asset Management (HK) Limited; Luo Jinhong; Value Partners Hong Kong Limited</t>
        </is>
      </c>
      <c r="X94" s="63" t="inlineStr">
        <is>
          <t>3w;dragon;greenwoods;ivyrock;luo-jinhong;value</t>
        </is>
      </c>
      <c r="Y94" s="67" t="n">
        <v>10</v>
      </c>
      <c r="Z94" s="63" t="inlineStr">
        <is>
          <t>full</t>
        </is>
      </c>
      <c r="AA94" s="72" t="n">
        <v>28.44</v>
      </c>
      <c r="AB94" s="73" t="n">
        <v>18.81</v>
      </c>
      <c r="AC94" s="73" t="n">
        <v>8.109999999999999</v>
      </c>
      <c r="AD94" s="73" t="n">
        <v>27.98</v>
      </c>
      <c r="AE94" s="73" t="n">
        <v>28.9</v>
      </c>
      <c r="AF94" s="73" t="n">
        <v>27.06</v>
      </c>
      <c r="AG94" s="73" t="n">
        <v>-0.36</v>
      </c>
      <c r="AH94" s="73" t="n">
        <v>0.36</v>
      </c>
      <c r="AI94" s="73" t="n">
        <v>-1.07</v>
      </c>
      <c r="AJ94" s="73" t="n">
        <v>28.96</v>
      </c>
      <c r="AK94" s="73" t="n">
        <v>30.61</v>
      </c>
      <c r="AL94" s="73" t="n">
        <v>38.55</v>
      </c>
      <c r="AM94" s="73" t="n">
        <v>2.31</v>
      </c>
      <c r="AN94" s="73" t="n">
        <v>-1.71</v>
      </c>
      <c r="AO94" s="73" t="n">
        <v>-1.95</v>
      </c>
      <c r="AP94" s="63" t="inlineStr">
        <is>
          <t>Hang Seng Commerce &amp; Industry sub-index</t>
        </is>
      </c>
      <c r="AQ94" s="73" t="n">
        <v>-54.13</v>
      </c>
      <c r="AR94" s="64" t="inlineStr">
        <is>
          <t>2026-08-20</t>
        </is>
      </c>
      <c r="AS94" s="65" t="n">
        <v>9367</v>
      </c>
      <c r="AT94" s="68" t="n">
        <v>377.4</v>
      </c>
      <c r="AU94" s="63" t="inlineStr">
        <is>
          <t>Y</t>
        </is>
      </c>
      <c r="AV94" s="74" t="n">
        <v>47.8</v>
      </c>
      <c r="AW94" s="74" t="n">
        <v>26</v>
      </c>
      <c r="AX94" s="74" t="n">
        <v>12.5</v>
      </c>
      <c r="AY94" s="74" t="n">
        <v>1.9</v>
      </c>
      <c r="AZ94" s="75" t="inlineStr">
        <is>
          <t>N</t>
        </is>
      </c>
      <c r="BA94" s="76">
        <f>IF('BBG Verify'!K94="","not filed — run on terminal",'BBG Verify'!K94)</f>
        <v/>
      </c>
      <c r="BB94" s="63" t="inlineStr">
        <is>
          <t>N/A</t>
        </is>
      </c>
      <c r="BC94" s="63" t="inlineStr">
        <is>
          <t>N/A</t>
        </is>
      </c>
      <c r="BD94" s="63" t="inlineStr">
        <is>
          <t>N/A</t>
        </is>
      </c>
      <c r="BE94" s="63" t="inlineStr">
        <is>
          <t>N/A</t>
        </is>
      </c>
      <c r="BF94" s="63" t="inlineStr">
        <is>
          <t>N/A</t>
        </is>
      </c>
      <c r="BG94" s="75" t="inlineStr">
        <is>
          <t>China International Capital Corporation Hong Kong Securities Limited; Citigroup Global Markets Asia Limited</t>
        </is>
      </c>
      <c r="BH94" s="63" t="inlineStr">
        <is>
          <t>China International Capital Corporation Hong Kong Securities Limited; Citigroup Global Markets Asia Limited</t>
        </is>
      </c>
      <c r="BI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3" t="inlineStr">
        <is>
          <t>Beta International Securities Limited; Citigroup Global Markets Asia Limited; China International Capital Corporation Hong Kong Securities Limited; CMB International Capital Limited; The Hongkong and Shanghai Banking Corporation Limited</t>
        </is>
      </c>
      <c r="BK94" s="77">
        <f>HYPERLINK("https://www1.hkexnews.hk/listedco/listconews/sehk/2021/1217/2021121700005.pdf","prospectus")</f>
        <v/>
      </c>
      <c r="BL94" s="77">
        <f>HYPERLINK("https://www1.hkexnews.hk/listedco/listconews/sehk/2021/1229/2021122900020.htm","allotment")</f>
        <v/>
      </c>
      <c r="BM94" s="77">
        <f>HYPERLINK("https://www1.hkexnews.hk/listedco/listconews/sehk/2022/0121/2022012101124.pdf","stabilisation")</f>
        <v/>
      </c>
      <c r="BN94" s="75" t="n"/>
      <c r="BO94" s="63" t="inlineStr">
        <is>
          <t>A/H: no A-share listing · cornerstone: AAStocks institutional table includes non-cornerstone orders (superset) — cornerstone % is from the prospectus</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v>65.90000000000001</v>
      </c>
      <c r="L95" s="66" t="n">
        <v>72.7</v>
      </c>
      <c r="M95" s="66" t="n">
        <v>65.90000000000001</v>
      </c>
      <c r="N95" s="63" t="inlineStr">
        <is>
          <t>N</t>
        </is>
      </c>
      <c r="O95" s="67" t="n">
        <v>90.59999999999999</v>
      </c>
      <c r="P95" s="67" t="n">
        <v>0</v>
      </c>
      <c r="Q95" s="68" t="n">
        <v>5804</v>
      </c>
      <c r="R95" s="63" t="inlineStr">
        <is>
          <t>prospectus:stated market capitalisation</t>
        </is>
      </c>
      <c r="S95" s="69" t="n">
        <v>5.68</v>
      </c>
      <c r="T95" s="70" t="n">
        <v>1.22</v>
      </c>
      <c r="U95" s="71" t="n">
        <v>41.1</v>
      </c>
      <c r="V95" s="67" t="n">
        <v>5.04</v>
      </c>
      <c r="W95" s="63" t="inlineStr">
        <is>
          <t>Kunming Jiashiqing Investment Partnership (Limited Partnership); Zhejiang Innoforce Pharmaceuticals Co., Ltd</t>
        </is>
      </c>
      <c r="X95" s="63" t="inlineStr">
        <is>
          <t>kunming;zhejiang</t>
        </is>
      </c>
      <c r="Y95" s="67" t="n">
        <v>14.5</v>
      </c>
      <c r="Z95" s="63" t="inlineStr">
        <is>
          <t>partial</t>
        </is>
      </c>
      <c r="AA95" s="72" t="n">
        <v>18.21</v>
      </c>
      <c r="AB95" s="73" t="n">
        <v>0</v>
      </c>
      <c r="AC95" s="73" t="n">
        <v>18.21</v>
      </c>
      <c r="AD95" s="73" t="n">
        <v>20.03</v>
      </c>
      <c r="AE95" s="73" t="n">
        <v>11.53</v>
      </c>
      <c r="AF95" s="73" t="n">
        <v>22.31</v>
      </c>
      <c r="AG95" s="73" t="n">
        <v>1.54</v>
      </c>
      <c r="AH95" s="73" t="n">
        <v>-5.65</v>
      </c>
      <c r="AI95" s="73" t="n">
        <v>3.47</v>
      </c>
      <c r="AJ95" s="73" t="n">
        <v>25.37</v>
      </c>
      <c r="AK95" s="73" t="n">
        <v>28.3</v>
      </c>
      <c r="AL95" s="73" t="n">
        <v>41.81</v>
      </c>
      <c r="AM95" s="73" t="n">
        <v>12.03</v>
      </c>
      <c r="AN95" s="73" t="n">
        <v>-16.77</v>
      </c>
      <c r="AO95" s="73" t="n">
        <v>-17.68</v>
      </c>
      <c r="AP95" s="63" t="inlineStr">
        <is>
          <t>China Biotech ETF (HS biotech proxy)</t>
        </is>
      </c>
      <c r="AQ95" s="73" t="n">
        <v>-94.08</v>
      </c>
      <c r="AR95" s="64" t="inlineStr">
        <is>
          <t>2026-08-20</t>
        </is>
      </c>
      <c r="AS95" s="65" t="n">
        <v>0</v>
      </c>
      <c r="AT95" s="68" t="n">
        <v>-361.9</v>
      </c>
      <c r="AU95" s="63" t="inlineStr">
        <is>
          <t>N</t>
        </is>
      </c>
      <c r="AV95" s="63" t="inlineStr">
        <is>
          <t>n/m</t>
        </is>
      </c>
      <c r="AW95" s="74" t="n"/>
      <c r="AX95" s="74" t="n"/>
      <c r="AY95" s="63" t="inlineStr">
        <is>
          <t>pre-rev</t>
        </is>
      </c>
      <c r="AZ95" s="75" t="inlineStr">
        <is>
          <t>N</t>
        </is>
      </c>
      <c r="BA95" s="76">
        <f>IF('BBG Verify'!K95="","not filed — run on terminal",'BBG Verify'!K95)</f>
        <v/>
      </c>
      <c r="BB95" s="63" t="inlineStr">
        <is>
          <t>N/A</t>
        </is>
      </c>
      <c r="BC95" s="63" t="inlineStr">
        <is>
          <t>N/A</t>
        </is>
      </c>
      <c r="BD95" s="63" t="inlineStr">
        <is>
          <t>N/A</t>
        </is>
      </c>
      <c r="BE95" s="63" t="inlineStr">
        <is>
          <t>N/A</t>
        </is>
      </c>
      <c r="BF95" s="63" t="inlineStr">
        <is>
          <t>N/A</t>
        </is>
      </c>
      <c r="BG95" s="75" t="inlineStr">
        <is>
          <t>China International Capital Corporation Hong Kong Securities Limited; Nomura International (Hong Kong) Limited</t>
        </is>
      </c>
      <c r="BH95" s="63" t="inlineStr">
        <is>
          <t>China International Capital Corporation Hong Kong Securities Limited</t>
        </is>
      </c>
      <c r="BI95" s="63"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7">
        <f>HYPERLINK("https://www1.hkexnews.hk/listedco/listconews/sehk/2021/1220/2021122000014.htm","prospectus")</f>
        <v/>
      </c>
      <c r="BL95" s="77">
        <f>HYPERLINK("https://www1.hkexnews.hk/listedco/listconews/sehk/2021/1229/2021122900046.htm","allotment")</f>
        <v/>
      </c>
      <c r="BM95" s="77">
        <f>HYPERLINK("https://www1.hkexnews.hk/listedco/listconews/sehk/2022/0123/2022012300079.pdf","stabilisation")</f>
        <v/>
      </c>
      <c r="BN95" s="75" t="n"/>
      <c r="BO95" s="63" t="inlineStr">
        <is>
          <t>P/E: n/m — loss-making at IPO (use P/S) · A/H: no A-share listing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v>3.85</v>
      </c>
      <c r="L96" s="66" t="n">
        <v>3.99</v>
      </c>
      <c r="M96" s="66" t="n">
        <v>3.85</v>
      </c>
      <c r="N96" s="63" t="inlineStr">
        <is>
          <t>N</t>
        </is>
      </c>
      <c r="O96" s="67" t="n">
        <v>96.5</v>
      </c>
      <c r="P96" s="67" t="n">
        <v>0</v>
      </c>
      <c r="Q96" s="68" t="n">
        <v>131349</v>
      </c>
      <c r="R96" s="63" t="inlineStr">
        <is>
          <t>aastocks:上市市值 at the struck price</t>
        </is>
      </c>
      <c r="S96" s="69" t="n">
        <v>5.18</v>
      </c>
      <c r="T96" s="70" t="n">
        <v>1.5</v>
      </c>
      <c r="U96" s="71" t="n">
        <v>68.89</v>
      </c>
      <c r="V96" s="67" t="n">
        <v>1.37</v>
      </c>
      <c r="W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3" t="inlineStr">
        <is>
          <t>mer;guosheng;guotai;hkstp;saic;shanghai-xuhui;taizhou;state-owned</t>
        </is>
      </c>
      <c r="Y96" s="67" t="n"/>
      <c r="Z96" s="63" t="n"/>
      <c r="AA96" s="72" t="n">
        <v>7.27</v>
      </c>
      <c r="AB96" s="73" t="n">
        <v>1.56</v>
      </c>
      <c r="AC96" s="73" t="n">
        <v>5.62</v>
      </c>
      <c r="AD96" s="73" t="n">
        <v>106.49</v>
      </c>
      <c r="AE96" s="73" t="n">
        <v>64.16</v>
      </c>
      <c r="AF96" s="73" t="n">
        <v>58.96</v>
      </c>
      <c r="AG96" s="73" t="n">
        <v>92.5</v>
      </c>
      <c r="AH96" s="73" t="n">
        <v>53.03</v>
      </c>
      <c r="AI96" s="73" t="n">
        <v>48.19</v>
      </c>
      <c r="AJ96" s="73" t="n">
        <v>107.69</v>
      </c>
      <c r="AK96" s="73" t="n">
        <v>67.31</v>
      </c>
      <c r="AL96" s="73" t="n">
        <v>75.63</v>
      </c>
      <c r="AM96" s="73" t="n">
        <v>56.45</v>
      </c>
      <c r="AN96" s="73" t="n">
        <v>-3.15</v>
      </c>
      <c r="AO96" s="73" t="n">
        <v>-3.42</v>
      </c>
      <c r="AP96" s="63" t="inlineStr">
        <is>
          <t>HSTECH (Hang Seng TECH ETF)</t>
        </is>
      </c>
      <c r="AQ96" s="73" t="n">
        <v>-61.43</v>
      </c>
      <c r="AR96" s="64" t="inlineStr">
        <is>
          <t>2026-08-20</t>
        </is>
      </c>
      <c r="AS96" s="65" t="n">
        <v>5170.3</v>
      </c>
      <c r="AT96" s="68" t="n">
        <v>-18854.1</v>
      </c>
      <c r="AU96" s="63" t="inlineStr">
        <is>
          <t>N</t>
        </is>
      </c>
      <c r="AV96" s="63" t="inlineStr">
        <is>
          <t>n/m</t>
        </is>
      </c>
      <c r="AW96" s="74" t="n"/>
      <c r="AX96" s="74" t="n"/>
      <c r="AY96" s="74" t="n">
        <v>25.4</v>
      </c>
      <c r="AZ96" s="75" t="inlineStr">
        <is>
          <t>N</t>
        </is>
      </c>
      <c r="BA96" s="76">
        <f>IF('BBG Verify'!K96="","not filed — run on terminal",'BBG Verify'!K96)</f>
        <v/>
      </c>
      <c r="BB96" s="63" t="inlineStr">
        <is>
          <t>N/A</t>
        </is>
      </c>
      <c r="BC96" s="63" t="inlineStr">
        <is>
          <t>N/A</t>
        </is>
      </c>
      <c r="BD96" s="63" t="inlineStr">
        <is>
          <t>N/A</t>
        </is>
      </c>
      <c r="BE96" s="63" t="inlineStr">
        <is>
          <t>N/A</t>
        </is>
      </c>
      <c r="BF96" s="63" t="inlineStr">
        <is>
          <t>N/A</t>
        </is>
      </c>
      <c r="BG96" s="75" t="inlineStr">
        <is>
          <t>CICC; Haitong International; HSBC</t>
        </is>
      </c>
      <c r="BH96" s="63" t="inlineStr">
        <is>
          <t>China International Capital Corporation Hong Kong Securities Limited; Haitong International Capital Limited; The Hongkong and Shanghai Banking Corporation Limited; HSBC Corporate Finance (Hong Kong) Limited</t>
        </is>
      </c>
      <c r="BI96" s="63"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7">
        <f>HYPERLINK("https://www1.hkexnews.hk/listedco/listconews/sehk/2021/1220/2021122000084.htm","prospectus")</f>
        <v/>
      </c>
      <c r="BL96" s="77">
        <f>HYPERLINK("https://www1.hkexnews.hk/listedco/listconews/sehk/2021/1229/2021122900058.htm","allotment")</f>
        <v/>
      </c>
      <c r="BM96" s="63" t="n"/>
      <c r="BN96" s="75" t="n"/>
      <c r="BO96" s="63"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20.9</v>
      </c>
      <c r="J97" s="63" t="inlineStr">
        <is>
          <t>net proceeds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7" t="n">
        <v>2.73</v>
      </c>
      <c r="W97" s="63" t="inlineStr">
        <is>
          <t>Chen Xiong; Gong Chaohui</t>
        </is>
      </c>
      <c r="X97" s="63" t="inlineStr">
        <is>
          <t>chen-xiong;gong</t>
        </is>
      </c>
      <c r="Y97" s="67" t="n">
        <v>7.58</v>
      </c>
      <c r="Z97" s="63" t="inlineStr">
        <is>
          <t>partial</t>
        </is>
      </c>
      <c r="AA97" s="72" t="n">
        <v>0.82</v>
      </c>
      <c r="AB97" s="73" t="n">
        <v>4.1</v>
      </c>
      <c r="AC97" s="73" t="n">
        <v>-3.15</v>
      </c>
      <c r="AD97" s="73" t="n">
        <v>0.82</v>
      </c>
      <c r="AE97" s="73" t="n">
        <v>0</v>
      </c>
      <c r="AF97" s="73" t="n">
        <v>0</v>
      </c>
      <c r="AG97" s="73" t="n">
        <v>0</v>
      </c>
      <c r="AH97" s="73" t="n">
        <v>-0.8100000000000001</v>
      </c>
      <c r="AI97" s="73" t="n">
        <v>-0.8100000000000001</v>
      </c>
      <c r="AJ97" s="73" t="n">
        <v>-1.01</v>
      </c>
      <c r="AK97" s="73" t="n">
        <v>-0.55</v>
      </c>
      <c r="AL97" s="73" t="n">
        <v>15.79</v>
      </c>
      <c r="AM97" s="73" t="n">
        <v>-1.34</v>
      </c>
      <c r="AN97" s="73" t="n">
        <v>0.55</v>
      </c>
      <c r="AO97" s="73" t="n">
        <v>0.53</v>
      </c>
      <c r="AP97" s="63" t="inlineStr">
        <is>
          <t>Hang Seng Commerce &amp; Industry sub-index</t>
        </is>
      </c>
      <c r="AQ97" s="73" t="n">
        <v>3.69</v>
      </c>
      <c r="AR97" s="64" t="inlineStr">
        <is>
          <t>2026-08-19</t>
        </is>
      </c>
      <c r="AS97" s="65" t="n">
        <v>201</v>
      </c>
      <c r="AT97" s="68" t="n">
        <v>45.1</v>
      </c>
      <c r="AU97" s="63" t="inlineStr">
        <is>
          <t>Y</t>
        </is>
      </c>
      <c r="AV97" s="74" t="n">
        <v>14.3</v>
      </c>
      <c r="AW97" s="74" t="n">
        <v>7.4</v>
      </c>
      <c r="AX97" s="74" t="n">
        <v>14.8</v>
      </c>
      <c r="AY97" s="74" t="n">
        <v>3.2</v>
      </c>
      <c r="AZ97" s="75" t="inlineStr">
        <is>
          <t>N</t>
        </is>
      </c>
      <c r="BA97" s="76">
        <f>IF('BBG Verify'!K97="","not filed — run on terminal",'BBG Verify'!K97)</f>
        <v/>
      </c>
      <c r="BB97" s="63" t="inlineStr">
        <is>
          <t>N/A</t>
        </is>
      </c>
      <c r="BC97" s="63" t="inlineStr">
        <is>
          <t>N/A</t>
        </is>
      </c>
      <c r="BD97" s="63" t="inlineStr">
        <is>
          <t>N/A</t>
        </is>
      </c>
      <c r="BE97" s="63" t="inlineStr">
        <is>
          <t>N/A</t>
        </is>
      </c>
      <c r="BF97" s="63" t="inlineStr">
        <is>
          <t>N/A</t>
        </is>
      </c>
      <c r="BG97" s="75" t="inlineStr">
        <is>
          <t>CMBC International Capital Limited</t>
        </is>
      </c>
      <c r="BH97" s="63" t="inlineStr">
        <is>
          <t>CMBC International Capital Limited</t>
        </is>
      </c>
      <c r="BI97" s="63"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7">
        <f>HYPERLINK("https://www1.hkexnews.hk/listedco/listconews/sehk/2021/1229/2021122900078.htm","prospectus")</f>
        <v/>
      </c>
      <c r="BL97" s="77">
        <f>HYPERLINK("https://www1.hkexnews.hk/listedco/listconews/sehk/2022/0110/2022011000034.htm","allotment")</f>
        <v/>
      </c>
      <c r="BM97" s="77">
        <f>HYPERLINK("https://www1.hkexnews.hk/listedco/listconews/sehk/2022/0204/2022020400047.pdf","stabilisation")</f>
        <v/>
      </c>
      <c r="BN97" s="75" t="n"/>
      <c r="BO9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7" t="n">
        <v>6.39</v>
      </c>
      <c r="W98" s="63" t="inlineStr">
        <is>
          <t>CITIC-Prudential Life Insurance Company Limited; CR Alpha Investment II Limited; SINO-BLR Industrial Investment Fund, L.P; The China State-owned Enterprise Mixed Ownership Reform Fund Co., Ltd</t>
        </is>
      </c>
      <c r="X98" s="63" t="inlineStr">
        <is>
          <t>citic;cr;sino-blr;state-owned</t>
        </is>
      </c>
      <c r="Y98" s="67" t="n">
        <v>15</v>
      </c>
      <c r="Z98" s="63" t="inlineStr">
        <is>
          <t>lapsed</t>
        </is>
      </c>
      <c r="AA98" s="72" t="n">
        <v>-16.57</v>
      </c>
      <c r="AB98" s="73" t="n">
        <v>-8.880000000000001</v>
      </c>
      <c r="AC98" s="73" t="n">
        <v>-8.44</v>
      </c>
      <c r="AD98" s="73" t="n">
        <v>-19.23</v>
      </c>
      <c r="AE98" s="73" t="n">
        <v>-11.54</v>
      </c>
      <c r="AF98" s="73" t="n">
        <v>-35.06</v>
      </c>
      <c r="AG98" s="73" t="n">
        <v>-3.19</v>
      </c>
      <c r="AH98" s="73" t="n">
        <v>6.03</v>
      </c>
      <c r="AI98" s="73" t="n">
        <v>-22.16</v>
      </c>
      <c r="AJ98" s="73" t="n">
        <v>-20.73</v>
      </c>
      <c r="AK98" s="73" t="n">
        <v>-10.29</v>
      </c>
      <c r="AL98" s="73" t="n">
        <v>-11.36</v>
      </c>
      <c r="AM98" s="73" t="n">
        <v>6.56</v>
      </c>
      <c r="AN98" s="73" t="n">
        <v>-1.25</v>
      </c>
      <c r="AO98" s="73" t="n">
        <v>-0.53</v>
      </c>
      <c r="AP98" s="63" t="inlineStr">
        <is>
          <t>Hang Seng Commerce &amp; Industry sub-index</t>
        </is>
      </c>
      <c r="AQ98" s="73" t="n">
        <v>-16.31</v>
      </c>
      <c r="AR98" s="64" t="inlineStr">
        <is>
          <t>2026-08-24</t>
        </is>
      </c>
      <c r="AS98" s="65" t="n">
        <v>2517.5</v>
      </c>
      <c r="AT98" s="68" t="n">
        <v>-0.7</v>
      </c>
      <c r="AU98" s="63" t="inlineStr">
        <is>
          <t>N</t>
        </is>
      </c>
      <c r="AV98" s="63" t="inlineStr">
        <is>
          <t>n/m</t>
        </is>
      </c>
      <c r="AW98" s="74" t="n">
        <v>30.9</v>
      </c>
      <c r="AX98" s="74" t="n">
        <v>27.9</v>
      </c>
      <c r="AY98" s="74" t="n">
        <v>13</v>
      </c>
      <c r="AZ98" s="75" t="inlineStr">
        <is>
          <t>Y</t>
        </is>
      </c>
      <c r="BA98" s="63" t="inlineStr">
        <is>
          <t>300748.SZ</t>
        </is>
      </c>
      <c r="BB98" s="73" t="n">
        <v>38.51</v>
      </c>
      <c r="BC98" s="66" t="n">
        <v>46.8177</v>
      </c>
      <c r="BD98" s="80" t="n">
        <v>0.8282</v>
      </c>
      <c r="BE98" s="78">
        <f>IF('BBG Verify'!Q98="","run on terminal",'BBG Verify'!Q98)</f>
        <v/>
      </c>
      <c r="BF98" s="78">
        <f>IF('BBG Verify'!R98="","run on terminal",'BBG Verify'!R98)</f>
        <v/>
      </c>
      <c r="BG98" s="75" t="inlineStr">
        <is>
          <t>CLSA Capital Markets Limited; BNP Paribas Securities (Asia) Limited</t>
        </is>
      </c>
      <c r="BH98" s="63" t="inlineStr">
        <is>
          <t>BNP Paribas Securities (Asia) Limited; CLSA Capital Markets Limited</t>
        </is>
      </c>
      <c r="BI98" s="63" t="inlineStr">
        <is>
          <t>CLSA Limited; BNP Paribas Securities (Asia) Limited; DBS Asia Capital Limited</t>
        </is>
      </c>
      <c r="BJ98" s="63" t="inlineStr">
        <is>
          <t>BNP Paribas Securities (Asia) Limited; CLSA Limited; DBS Asia Capital Limited; Futu Securities International (Hong Kong) Limited; Livermore Holdings Limited</t>
        </is>
      </c>
      <c r="BK98" s="77">
        <f>HYPERLINK("https://www1.hkexnews.hk/listedco/listconews/sehk/2021/1231/2021123100023.pdf","prospectus")</f>
        <v/>
      </c>
      <c r="BL98" s="77">
        <f>HYPERLINK("https://www1.hkexnews.hk/listedco/listconews/sehk/2022/0113/2022011300010.htm","allotment")</f>
        <v/>
      </c>
      <c r="BM98" s="77">
        <f>HYPERLINK("https://www1.hkexnews.hk/listedco/listconews/sehk/2022/0206/2022020600019.pdf","stabilisation")</f>
        <v/>
      </c>
      <c r="BN98" s="75" t="n"/>
      <c r="BO98" s="63" t="inlineStr">
        <is>
          <t>P/E: n/m — loss-making at IPO (use P/S) · A/H: H listed Jan 2022 (NdFeB magnets)</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7" t="n">
        <v>8.539999999999999</v>
      </c>
      <c r="W99" s="63" t="n"/>
      <c r="X99" s="63" t="n"/>
      <c r="Y99" s="67" t="n">
        <v>10</v>
      </c>
      <c r="Z99" s="63" t="inlineStr">
        <is>
          <t>lapsed (no over-allocation)</t>
        </is>
      </c>
      <c r="AA99" s="72" t="n">
        <v>16.59</v>
      </c>
      <c r="AB99" s="73" t="n">
        <v>26.83</v>
      </c>
      <c r="AC99" s="73" t="n">
        <v>-8.07</v>
      </c>
      <c r="AD99" s="73" t="n">
        <v>2.44</v>
      </c>
      <c r="AE99" s="73" t="n">
        <v>2.44</v>
      </c>
      <c r="AF99" s="73" t="n">
        <v>-13.17</v>
      </c>
      <c r="AG99" s="73" t="n">
        <v>-12.14</v>
      </c>
      <c r="AH99" s="73" t="n">
        <v>-12.14</v>
      </c>
      <c r="AI99" s="73" t="n">
        <v>-25.53</v>
      </c>
      <c r="AJ99" s="73" t="n">
        <v>1.32</v>
      </c>
      <c r="AK99" s="73" t="n">
        <v>2.67</v>
      </c>
      <c r="AL99" s="73" t="n">
        <v>2.19</v>
      </c>
      <c r="AM99" s="73" t="n">
        <v>-12.59</v>
      </c>
      <c r="AN99" s="73" t="n">
        <v>-0.23</v>
      </c>
      <c r="AO99" s="73" t="n">
        <v>0.45</v>
      </c>
      <c r="AP99" s="63" t="inlineStr">
        <is>
          <t>Hang Seng Index</t>
        </is>
      </c>
      <c r="AQ99" s="73" t="n">
        <v>-84.88</v>
      </c>
      <c r="AR99" s="64" t="inlineStr">
        <is>
          <t>2026-08-21</t>
        </is>
      </c>
      <c r="AS99" s="65" t="n">
        <v>233.5</v>
      </c>
      <c r="AT99" s="68" t="n">
        <v>54.5</v>
      </c>
      <c r="AU99" s="63" t="inlineStr">
        <is>
          <t>Y</t>
        </is>
      </c>
      <c r="AV99" s="74" t="n">
        <v>52.9</v>
      </c>
      <c r="AW99" s="74" t="n"/>
      <c r="AX99" s="74" t="n"/>
      <c r="AY99" s="74" t="n">
        <v>12.3</v>
      </c>
      <c r="AZ99" s="75" t="inlineStr">
        <is>
          <t>N</t>
        </is>
      </c>
      <c r="BA99" s="76">
        <f>IF('BBG Verify'!K99="","not filed — run on terminal",'BBG Verify'!K99)</f>
        <v/>
      </c>
      <c r="BB99" s="63" t="inlineStr">
        <is>
          <t>N/A</t>
        </is>
      </c>
      <c r="BC99" s="63" t="inlineStr">
        <is>
          <t>N/A</t>
        </is>
      </c>
      <c r="BD99" s="63" t="inlineStr">
        <is>
          <t>N/A</t>
        </is>
      </c>
      <c r="BE99" s="63" t="inlineStr">
        <is>
          <t>N/A</t>
        </is>
      </c>
      <c r="BF99" s="63" t="inlineStr">
        <is>
          <t>N/A</t>
        </is>
      </c>
      <c r="BG99" s="75" t="inlineStr">
        <is>
          <t>China Everbright Capital Limited; China Everbright Securities (HK) Limited</t>
        </is>
      </c>
      <c r="BH99" s="63" t="inlineStr">
        <is>
          <t>China Everbright Capital Limited</t>
        </is>
      </c>
      <c r="BI99" s="63" t="inlineStr">
        <is>
          <t>China Everbright Securities (HK) Limited; UOB Kay Hian (Hong Kong) Limited; BOCOM International Securities Limited; CMBC Securities Company Limited; Fosun Hani Securities Limited; Grand China Securities Limited; Zhongtai International Securities Limited</t>
        </is>
      </c>
      <c r="BJ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7">
        <f>HYPERLINK("https://www1.hkexnews.hk/listedco/listconews/sehk/2021/1230/2021123000005.pdf","prospectus")</f>
        <v/>
      </c>
      <c r="BL99" s="77">
        <f>HYPERLINK("https://www1.hkexnews.hk/listedco/listconews/sehk/2022/0114/2022011400002.htm","allotment")</f>
        <v/>
      </c>
      <c r="BM99" s="77">
        <f>HYPERLINK("https://www1.hkexnews.hk/listedco/listconews/sehk/2022/0206/2022020600003.pdf","stabilisation")</f>
        <v/>
      </c>
      <c r="BN99" s="75" t="n"/>
      <c r="BO99" s="63" t="inlineStr">
        <is>
          <t>A/H: no A-share listing · market cap: estimate from deal size / offer % of enlarged capital disagreed with the published listing cap — published figure adopted · cornerstone list: no cornerstone tranche in this deal</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v>26.3</v>
      </c>
      <c r="L100" s="66" t="n">
        <v>27.3</v>
      </c>
      <c r="M100" s="66" t="n">
        <v>26.3</v>
      </c>
      <c r="N100" s="63" t="inlineStr">
        <is>
          <t>N</t>
        </is>
      </c>
      <c r="O100" s="67" t="n">
        <v>96.3</v>
      </c>
      <c r="P100" s="67" t="n">
        <v>0</v>
      </c>
      <c r="Q100" s="68" t="n">
        <v>15248.5</v>
      </c>
      <c r="R100" s="63" t="inlineStr">
        <is>
          <t>aastocks:上市市值 at the struck price</t>
        </is>
      </c>
      <c r="S100" s="69" t="n">
        <v>13.89</v>
      </c>
      <c r="T100" s="70" t="n">
        <v>2.62</v>
      </c>
      <c r="U100" s="71" t="n">
        <v>17.06</v>
      </c>
      <c r="V100" s="67" t="n">
        <v>6.4</v>
      </c>
      <c r="W100" s="63" t="inlineStr">
        <is>
          <t>Laurion Capital Master Fund Ltd; SVF II Zeal</t>
        </is>
      </c>
      <c r="X100" s="63" t="inlineStr">
        <is>
          <t>laurion;svf</t>
        </is>
      </c>
      <c r="Y100" s="67" t="n">
        <v>7.12</v>
      </c>
      <c r="Z100" s="63" t="n"/>
      <c r="AA100" s="72" t="n">
        <v>-25.48</v>
      </c>
      <c r="AB100" s="73" t="n">
        <v>0</v>
      </c>
      <c r="AC100" s="73" t="n">
        <v>-25.48</v>
      </c>
      <c r="AD100" s="73" t="n">
        <v>-34.37</v>
      </c>
      <c r="AE100" s="73" t="n">
        <v>-46.77</v>
      </c>
      <c r="AF100" s="73" t="n">
        <v>-24.11</v>
      </c>
      <c r="AG100" s="73" t="n">
        <v>-11.93</v>
      </c>
      <c r="AH100" s="73" t="n">
        <v>-28.57</v>
      </c>
      <c r="AI100" s="73" t="n">
        <v>1.84</v>
      </c>
      <c r="AJ100" s="73" t="n">
        <v>-31.3</v>
      </c>
      <c r="AK100" s="73" t="n">
        <v>-36.17</v>
      </c>
      <c r="AL100" s="73" t="n">
        <v>-0.93</v>
      </c>
      <c r="AM100" s="73" t="n">
        <v>-21.59</v>
      </c>
      <c r="AN100" s="73" t="n">
        <v>-10.6</v>
      </c>
      <c r="AO100" s="73" t="n">
        <v>-6.98</v>
      </c>
      <c r="AP100" s="63" t="inlineStr">
        <is>
          <t>HSTECH (Hang Seng TECH ETF)</t>
        </is>
      </c>
      <c r="AQ100" s="73" t="n">
        <v>-85.67</v>
      </c>
      <c r="AR100" s="64" t="inlineStr">
        <is>
          <t>2026-08-20</t>
        </is>
      </c>
      <c r="AS100" s="65" t="n">
        <v>508.6</v>
      </c>
      <c r="AT100" s="68" t="n">
        <v>-0.6</v>
      </c>
      <c r="AU100" s="63" t="inlineStr">
        <is>
          <t>N</t>
        </is>
      </c>
      <c r="AV100" s="63" t="inlineStr">
        <is>
          <t>n/m</t>
        </is>
      </c>
      <c r="AW100" s="74" t="n"/>
      <c r="AX100" s="74" t="n"/>
      <c r="AY100" s="74" t="n">
        <v>30</v>
      </c>
      <c r="AZ100" s="75" t="inlineStr">
        <is>
          <t>N</t>
        </is>
      </c>
      <c r="BA100" s="76">
        <f>IF('BBG Verify'!K100="","not filed — run on terminal",'BBG Verify'!K100)</f>
        <v/>
      </c>
      <c r="BB100" s="63" t="inlineStr">
        <is>
          <t>N/A</t>
        </is>
      </c>
      <c r="BC100" s="63" t="inlineStr">
        <is>
          <t>N/A</t>
        </is>
      </c>
      <c r="BD100" s="63" t="inlineStr">
        <is>
          <t>N/A</t>
        </is>
      </c>
      <c r="BE100" s="63" t="inlineStr">
        <is>
          <t>N/A</t>
        </is>
      </c>
      <c r="BF100" s="63" t="inlineStr">
        <is>
          <t>N/A</t>
        </is>
      </c>
      <c r="BG100" s="75" t="inlineStr">
        <is>
          <t>UBS Securities Hong Kong Limited; China International Capital Corporation Hong Kong Securities Limited; China Renaissance Securities (Hong Kong) Limited</t>
        </is>
      </c>
      <c r="BH100" s="63" t="inlineStr">
        <is>
          <t>China International Capital Corporation Hong Kong Securities Limited; UBS Securities Hong Kong Limited; China Renaissance Securities (Hong Kong) Limited</t>
        </is>
      </c>
      <c r="BI100" s="63" t="inlineStr">
        <is>
          <t>UBS AG Hong Kong Branch; China International Capital Corporation Hong Kong Securities Limited; China Renaissance Securities (Hong Kong) Limited; ICBC International Capital Limited; ICBC International Securities Limited</t>
        </is>
      </c>
      <c r="BJ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7">
        <f>HYPERLINK("https://www1.hkexnews.hk/listedco/listconews/sehk/2022/0117/2022011700007.pdf","prospectus")</f>
        <v/>
      </c>
      <c r="BL100" s="77">
        <f>HYPERLINK("https://www1.hkexnews.hk/listedco/listconews/sehk/2022/0126/2022012600012.htm","allotment")</f>
        <v/>
      </c>
      <c r="BM100" s="63" t="n"/>
      <c r="BN100" s="75" t="n"/>
      <c r="BO100" s="63"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7" t="n">
        <v>8.01</v>
      </c>
      <c r="W101" s="63" t="inlineStr">
        <is>
          <t>Golden Feather Corporation; Greenwoods Asset Management Hong Kong Limited; Heilan Group Co., Limited; SensePower Management Limited; Skyworth Overseas Investment Holdings Limited; Windfall T&amp;L SPC</t>
        </is>
      </c>
      <c r="X101" s="63" t="inlineStr">
        <is>
          <t>golden-feather;greenwoods;heilan;sensepower;skyworth;windfall</t>
        </is>
      </c>
      <c r="Y101" s="67" t="n">
        <v>10.4</v>
      </c>
      <c r="Z101" s="63" t="inlineStr">
        <is>
          <t>partial</t>
        </is>
      </c>
      <c r="AA101" s="72" t="n">
        <v>4.88</v>
      </c>
      <c r="AB101" s="73" t="n">
        <v>1.28</v>
      </c>
      <c r="AC101" s="73" t="n">
        <v>3.55</v>
      </c>
      <c r="AD101" s="73" t="n">
        <v>0</v>
      </c>
      <c r="AE101" s="73" t="n">
        <v>-8.49</v>
      </c>
      <c r="AF101" s="73" t="n">
        <v>3.02</v>
      </c>
      <c r="AG101" s="73" t="n">
        <v>-4.65</v>
      </c>
      <c r="AH101" s="73" t="n">
        <v>-12.75</v>
      </c>
      <c r="AI101" s="73" t="n">
        <v>-1.77</v>
      </c>
      <c r="AJ101" s="73" t="n">
        <v>9.32</v>
      </c>
      <c r="AK101" s="73" t="n">
        <v>13.55</v>
      </c>
      <c r="AL101" s="73" t="n">
        <v>31.41</v>
      </c>
      <c r="AM101" s="73" t="n">
        <v>6.76</v>
      </c>
      <c r="AN101" s="73" t="n">
        <v>-22.04</v>
      </c>
      <c r="AO101" s="73" t="n">
        <v>-19.51</v>
      </c>
      <c r="AP101" s="63" t="inlineStr">
        <is>
          <t>HSTECH (Hang Seng TECH ETF)</t>
        </is>
      </c>
      <c r="AQ101" s="73" t="n">
        <v>-79</v>
      </c>
      <c r="AR101" s="64" t="inlineStr">
        <is>
          <t>2026-08-20</t>
        </is>
      </c>
      <c r="AS101" s="65" t="n">
        <v>54592</v>
      </c>
      <c r="AT101" s="68" t="n">
        <v>-308</v>
      </c>
      <c r="AU101" s="63" t="inlineStr">
        <is>
          <t>N</t>
        </is>
      </c>
      <c r="AV101" s="63" t="inlineStr">
        <is>
          <t>n/m</t>
        </is>
      </c>
      <c r="AW101" s="74" t="n"/>
      <c r="AX101" s="74" t="n">
        <v>14.5</v>
      </c>
      <c r="AY101" s="74" t="n">
        <v>0.4</v>
      </c>
      <c r="AZ101" s="75" t="inlineStr">
        <is>
          <t>N</t>
        </is>
      </c>
      <c r="BA101" s="76">
        <f>IF('BBG Verify'!K101="","not filed — run on terminal",'BBG Verify'!K101)</f>
        <v/>
      </c>
      <c r="BB101" s="63" t="inlineStr">
        <is>
          <t>N/A</t>
        </is>
      </c>
      <c r="BC101" s="63" t="inlineStr">
        <is>
          <t>N/A</t>
        </is>
      </c>
      <c r="BD101" s="63" t="inlineStr">
        <is>
          <t>N/A</t>
        </is>
      </c>
      <c r="BE101" s="63" t="inlineStr">
        <is>
          <t>N/A</t>
        </is>
      </c>
      <c r="BF101" s="63" t="inlineStr">
        <is>
          <t>N/A</t>
        </is>
      </c>
      <c r="BG101" s="75" t="inlineStr">
        <is>
          <t>China International Capital Corporation Hong Kong Securities Limited; Citigroup Global Markets Asia Limited; China Renaissance Securities (Hong Kong) Limited</t>
        </is>
      </c>
      <c r="BH101" s="63" t="inlineStr">
        <is>
          <t>China International Capital Corporation Hong Kong Securities Limited; China Renaissance Securities (Hong Kong) Limited; Citigroup Global Markets Asia Limited</t>
        </is>
      </c>
      <c r="BI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7">
        <f>HYPERLINK("https://www1.hkexnews.hk/listedco/listconews/sehk/2022/0131/2022013100005.pdf","prospectus")</f>
        <v/>
      </c>
      <c r="BL101" s="77">
        <f>HYPERLINK("https://www1.hkexnews.hk/listedco/listconews/sehk/2022/0217/2022021700014.htm","allotment")</f>
        <v/>
      </c>
      <c r="BM101" s="77">
        <f>HYPERLINK("https://www1.hkexnews.hk/listedco/listconews/sehk/2022/0313/2022031300003.pdf","stabilisation")</f>
        <v/>
      </c>
      <c r="BN101" s="75" t="n"/>
      <c r="BO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c r="L102" s="66" t="n">
        <v>3</v>
      </c>
      <c r="M102" s="66" t="n">
        <v>1.6</v>
      </c>
      <c r="N102" s="63" t="inlineStr">
        <is>
          <t>N</t>
        </is>
      </c>
      <c r="O102" s="67" t="n">
        <v>53.3</v>
      </c>
      <c r="P102" s="67" t="n"/>
      <c r="Q102" s="68" t="n">
        <v>1173.3</v>
      </c>
      <c r="R102" s="63" t="inlineStr">
        <is>
          <t>aastocks:上市市值 at the struck price</t>
        </is>
      </c>
      <c r="S102" s="69" t="n">
        <v>6.17</v>
      </c>
      <c r="T102" s="70" t="n">
        <v>1.13</v>
      </c>
      <c r="U102" s="71" t="n">
        <v>0</v>
      </c>
      <c r="V102" s="67" t="n">
        <v>18.55</v>
      </c>
      <c r="W102" s="63" t="n"/>
      <c r="X102" s="63" t="n"/>
      <c r="Y102" s="67" t="n">
        <v>5.63</v>
      </c>
      <c r="Z102" s="63" t="inlineStr">
        <is>
          <t>lapsed</t>
        </is>
      </c>
      <c r="AA102" s="72" t="n">
        <v>-3.75</v>
      </c>
      <c r="AB102" s="73" t="n">
        <v>-0.62</v>
      </c>
      <c r="AC102" s="73" t="n">
        <v>-3.15</v>
      </c>
      <c r="AD102" s="73" t="n">
        <v>-10</v>
      </c>
      <c r="AE102" s="73" t="n">
        <v>-15</v>
      </c>
      <c r="AF102" s="73" t="n">
        <v>-27.5</v>
      </c>
      <c r="AG102" s="73" t="n">
        <v>-6.49</v>
      </c>
      <c r="AH102" s="73" t="n">
        <v>-11.69</v>
      </c>
      <c r="AI102" s="73" t="n">
        <v>-24.68</v>
      </c>
      <c r="AJ102" s="73" t="n">
        <v>-10.67</v>
      </c>
      <c r="AK102" s="73" t="n">
        <v>-11.11</v>
      </c>
      <c r="AL102" s="73" t="n">
        <v>-7.91</v>
      </c>
      <c r="AM102" s="73" t="n">
        <v>-7.46</v>
      </c>
      <c r="AN102" s="73" t="n">
        <v>-3.89</v>
      </c>
      <c r="AO102" s="73" t="n">
        <v>-4.23</v>
      </c>
      <c r="AP102" s="63" t="inlineStr">
        <is>
          <t>China Biotech ETF (HS biotech proxy)</t>
        </is>
      </c>
      <c r="AQ102" s="73" t="n">
        <v>-77.81</v>
      </c>
      <c r="AR102" s="64" t="inlineStr">
        <is>
          <t>2026-08-19</t>
        </is>
      </c>
      <c r="AS102" s="65" t="n">
        <v>222.4</v>
      </c>
      <c r="AT102" s="68" t="n">
        <v>30</v>
      </c>
      <c r="AU102" s="63" t="inlineStr">
        <is>
          <t>Y</t>
        </is>
      </c>
      <c r="AV102" s="74" t="n">
        <v>39.1</v>
      </c>
      <c r="AW102" s="74" t="n"/>
      <c r="AX102" s="74" t="n"/>
      <c r="AY102" s="74" t="n">
        <v>5.3</v>
      </c>
      <c r="AZ102" s="75" t="inlineStr">
        <is>
          <t>N</t>
        </is>
      </c>
      <c r="BA102" s="76">
        <f>IF('BBG Verify'!K102="","not filed — run on terminal",'BBG Verify'!K102)</f>
        <v/>
      </c>
      <c r="BB102" s="63" t="inlineStr">
        <is>
          <t>N/A</t>
        </is>
      </c>
      <c r="BC102" s="63" t="inlineStr">
        <is>
          <t>N/A</t>
        </is>
      </c>
      <c r="BD102" s="63" t="inlineStr">
        <is>
          <t>N/A</t>
        </is>
      </c>
      <c r="BE102" s="63" t="inlineStr">
        <is>
          <t>N/A</t>
        </is>
      </c>
      <c r="BF102" s="63" t="inlineStr">
        <is>
          <t>N/A</t>
        </is>
      </c>
      <c r="BG102" s="75" t="inlineStr">
        <is>
          <t>China Everbright Capital Limited; China Eve rbright Securities (HK) Limited; Zhongtai International Securities Limited</t>
        </is>
      </c>
      <c r="BH102" s="63" t="inlineStr">
        <is>
          <t>China Everbright Capital Limited</t>
        </is>
      </c>
      <c r="BI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7">
        <f>HYPERLINK("https://www1.hkexnews.hk/listedco/listconews/sehk/2022/0131/2022013100022.pdf","prospectus")</f>
        <v/>
      </c>
      <c r="BL102" s="77">
        <f>HYPERLINK("https://www1.hkexnews.hk/listedco/listconews/sehk/2022/0217/2022021700028.htm","allotment")</f>
        <v/>
      </c>
      <c r="BM102" s="77">
        <f>HYPERLINK("https://www1.hkexnews.hk/listedco/listconews/sehk/2022/0314/2022031400039.pdf","stabilisation")</f>
        <v/>
      </c>
      <c r="BN102" s="75" t="n"/>
      <c r="BO10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11394</v>
      </c>
      <c r="R103" s="63" t="inlineStr">
        <is>
          <t>prospectus:stated market capitalisation</t>
        </is>
      </c>
      <c r="S103" s="69" t="n">
        <v>5.65</v>
      </c>
      <c r="T103" s="70" t="n">
        <v>1.53</v>
      </c>
      <c r="U103" s="71" t="n">
        <v>41.61</v>
      </c>
      <c r="V103" s="67" t="n">
        <v>4.64</v>
      </c>
      <c r="W103" s="63" t="inlineStr">
        <is>
          <t>King Star; Vivo Capital</t>
        </is>
      </c>
      <c r="X103" s="63" t="inlineStr">
        <is>
          <t>king;vivo</t>
        </is>
      </c>
      <c r="Y103" s="67" t="n">
        <v>8.699999999999999</v>
      </c>
      <c r="Z103" s="63" t="inlineStr">
        <is>
          <t>partial</t>
        </is>
      </c>
      <c r="AA103" s="72" t="n">
        <v>0.14</v>
      </c>
      <c r="AB103" s="73" t="n">
        <v>0</v>
      </c>
      <c r="AC103" s="73" t="n">
        <v>0.14</v>
      </c>
      <c r="AD103" s="73" t="n">
        <v>0</v>
      </c>
      <c r="AE103" s="73" t="n">
        <v>-7.43</v>
      </c>
      <c r="AF103" s="73" t="n">
        <v>-8.699999999999999</v>
      </c>
      <c r="AG103" s="73" t="n">
        <v>-0.14</v>
      </c>
      <c r="AH103" s="73" t="n">
        <v>-7.56</v>
      </c>
      <c r="AI103" s="73" t="n">
        <v>-8.83</v>
      </c>
      <c r="AJ103" s="73" t="n">
        <v>-1.78</v>
      </c>
      <c r="AK103" s="73" t="n">
        <v>-11.67</v>
      </c>
      <c r="AL103" s="73" t="n">
        <v>8.51</v>
      </c>
      <c r="AM103" s="73" t="n">
        <v>-10.17</v>
      </c>
      <c r="AN103" s="73" t="n">
        <v>4.24</v>
      </c>
      <c r="AO103" s="73" t="n">
        <v>2.61</v>
      </c>
      <c r="AP103" s="63" t="inlineStr">
        <is>
          <t>China Biotech ETF (HS biotech proxy)</t>
        </is>
      </c>
      <c r="AQ103" s="73" t="n">
        <v>-40.6</v>
      </c>
      <c r="AR103" s="64" t="inlineStr">
        <is>
          <t>2026-08-20</t>
        </is>
      </c>
      <c r="AS103" s="65" t="n">
        <v>0</v>
      </c>
      <c r="AT103" s="68" t="n">
        <v>-674.7</v>
      </c>
      <c r="AU103" s="63" t="inlineStr">
        <is>
          <t>N</t>
        </is>
      </c>
      <c r="AV103" s="63" t="inlineStr">
        <is>
          <t>n/m</t>
        </is>
      </c>
      <c r="AW103" s="74" t="n"/>
      <c r="AX103" s="74" t="n">
        <v>27.2</v>
      </c>
      <c r="AY103" s="63" t="inlineStr">
        <is>
          <t>pre-rev</t>
        </is>
      </c>
      <c r="AZ103" s="75" t="inlineStr">
        <is>
          <t>N</t>
        </is>
      </c>
      <c r="BA103" s="76">
        <f>IF('BBG Verify'!K103="","not filed — run on terminal",'BBG Verify'!K103)</f>
        <v/>
      </c>
      <c r="BB103" s="63" t="inlineStr">
        <is>
          <t>N/A</t>
        </is>
      </c>
      <c r="BC103" s="63" t="inlineStr">
        <is>
          <t>N/A</t>
        </is>
      </c>
      <c r="BD103" s="63" t="inlineStr">
        <is>
          <t>N/A</t>
        </is>
      </c>
      <c r="BE103" s="63" t="inlineStr">
        <is>
          <t>N/A</t>
        </is>
      </c>
      <c r="BF103" s="63" t="inlineStr">
        <is>
          <t>N/A</t>
        </is>
      </c>
      <c r="BG103" s="75" t="inlineStr">
        <is>
          <t>China International Capital Corporation Hong Kong Securities Limited; Morgan Stanley Asia Limited</t>
        </is>
      </c>
      <c r="BH103" s="63" t="inlineStr">
        <is>
          <t>China International Capital Corporation Hong Kong Securities Limited; Morgan Stanley Asia Limited</t>
        </is>
      </c>
      <c r="BI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7">
        <f>HYPERLINK("https://www1.hkexnews.hk/listedco/listconews/sehk/2022/0210/2022021000013.pdf","prospectus")</f>
        <v/>
      </c>
      <c r="BL103" s="77">
        <f>HYPERLINK("https://www1.hkexnews.hk/listedco/listconews/sehk/2022/0222/2022022200012.htm","allotment")</f>
        <v/>
      </c>
      <c r="BM103" s="77">
        <f>HYPERLINK("https://www1.hkexnews.hk/listedco/listconews/sehk/2022/0317/2022031702152.pdf","stabilisation")</f>
        <v/>
      </c>
      <c r="BN103" s="75" t="n"/>
      <c r="BO103" s="63" t="inlineStr">
        <is>
          <t>P/E: n/m — loss-making at IPO (use P/S) · A/H: no A-share listing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7" t="n">
        <v>6.2</v>
      </c>
      <c r="W104" s="63" t="inlineStr">
        <is>
          <t>Abax Asian Structured Private Credit Fund III, LP; Harvest International Premium Value (Secondary Market) Fund SPC; Hudson Bay Master Fund Ltd; OrbiMed Genesis Master Fund, L.P; Top Vast (Hong Kong) Limited</t>
        </is>
      </c>
      <c r="X104" s="63" t="inlineStr">
        <is>
          <t>abax;harvest;hudson;orbimed;top</t>
        </is>
      </c>
      <c r="Y104" s="67" t="n">
        <v>10.92</v>
      </c>
      <c r="Z104" s="63" t="inlineStr">
        <is>
          <t>lapsed</t>
        </is>
      </c>
      <c r="AA104" s="72" t="n">
        <v>-5.61</v>
      </c>
      <c r="AB104" s="73" t="n">
        <v>-0.14</v>
      </c>
      <c r="AC104" s="73" t="n">
        <v>-5.48</v>
      </c>
      <c r="AD104" s="73" t="n">
        <v>-1.5</v>
      </c>
      <c r="AE104" s="73" t="n">
        <v>-20.52</v>
      </c>
      <c r="AF104" s="73" t="n">
        <v>-19.56</v>
      </c>
      <c r="AG104" s="73" t="n">
        <v>4.35</v>
      </c>
      <c r="AH104" s="73" t="n">
        <v>-15.8</v>
      </c>
      <c r="AI104" s="73" t="n">
        <v>-14.78</v>
      </c>
      <c r="AJ104" s="73" t="n">
        <v>-3.3</v>
      </c>
      <c r="AK104" s="73" t="n">
        <v>-5.59</v>
      </c>
      <c r="AL104" s="73" t="n">
        <v>-18.89</v>
      </c>
      <c r="AM104" s="73" t="n">
        <v>-1.56</v>
      </c>
      <c r="AN104" s="73" t="n">
        <v>-14.93</v>
      </c>
      <c r="AO104" s="73" t="n">
        <v>-14.24</v>
      </c>
      <c r="AP104" s="63" t="inlineStr">
        <is>
          <t>China Biotech ETF (HS biotech proxy)</t>
        </is>
      </c>
      <c r="AQ104" s="73" t="n">
        <v>-87.48</v>
      </c>
      <c r="AR104" s="64" t="inlineStr">
        <is>
          <t>2026-08-19</t>
        </is>
      </c>
      <c r="AS104" s="65" t="n">
        <v>1666.6</v>
      </c>
      <c r="AT104" s="68" t="n">
        <v>-657.5</v>
      </c>
      <c r="AU104" s="63" t="inlineStr">
        <is>
          <t>N</t>
        </is>
      </c>
      <c r="AV104" s="63" t="inlineStr">
        <is>
          <t>n/m</t>
        </is>
      </c>
      <c r="AW104" s="74" t="n"/>
      <c r="AX104" s="74" t="n">
        <v>25.6</v>
      </c>
      <c r="AY104" s="74" t="n">
        <v>4.5</v>
      </c>
      <c r="AZ104" s="75" t="inlineStr">
        <is>
          <t>N</t>
        </is>
      </c>
      <c r="BA104" s="76">
        <f>IF('BBG Verify'!K104="","not filed — run on terminal",'BBG Verify'!K104)</f>
        <v/>
      </c>
      <c r="BB104" s="63" t="inlineStr">
        <is>
          <t>N/A</t>
        </is>
      </c>
      <c r="BC104" s="63" t="inlineStr">
        <is>
          <t>N/A</t>
        </is>
      </c>
      <c r="BD104" s="63" t="inlineStr">
        <is>
          <t>N/A</t>
        </is>
      </c>
      <c r="BE104" s="63" t="inlineStr">
        <is>
          <t>N/A</t>
        </is>
      </c>
      <c r="BF104" s="63" t="inlineStr">
        <is>
          <t>N/A</t>
        </is>
      </c>
      <c r="BG104" s="75" t="inlineStr">
        <is>
          <t>Morgan Stanley Asia Limited; UBS Securities Hong Kong Limited</t>
        </is>
      </c>
      <c r="BH104" s="63" t="inlineStr">
        <is>
          <t>Morgan Stanley Asia Limited; UBS Securities Hong Kong Limited</t>
        </is>
      </c>
      <c r="BI104" s="63" t="inlineStr">
        <is>
          <t>Morgan Stanley Asia Limited; UBS AG Hong Kong Branch; Central, Hong Kong China International Capital Corporation Hong Kong Securities Limited; Haitong International Securities Company Limited</t>
        </is>
      </c>
      <c r="BJ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7">
        <f>HYPERLINK("https://www1.hkexnews.hk/listedco/listconews/sehk/2022/0309/2022030900091.pdf","prospectus")</f>
        <v/>
      </c>
      <c r="BL104" s="77">
        <f>HYPERLINK("https://www1.hkexnews.hk/listedco/listconews/sehk/2022/0321/2022032100094.htm","allotment")</f>
        <v/>
      </c>
      <c r="BM104" s="77">
        <f>HYPERLINK("https://www1.hkexnews.hk/listedco/listconews/sehk/2022/0413/2022041301532.pdf","stabilisation")</f>
        <v/>
      </c>
      <c r="BN104" s="75" t="n"/>
      <c r="BO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275.4</v>
      </c>
      <c r="J105" s="63" t="inlineStr">
        <is>
          <t>net proceeds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7" t="n">
        <v>1.41</v>
      </c>
      <c r="W105" s="63" t="inlineStr">
        <is>
          <t>Hainan Financial Holdings Co., Ltd; Hainan Free Trade Port Construction Investment Fund Co., Ltd; Qingdao Haifa Holding Development Co., Ltd; Sanya Development Holdings Co., Ltd; Sunshine Life Insurance Corporation Limited</t>
        </is>
      </c>
      <c r="X105" s="63" t="inlineStr">
        <is>
          <t>hainan;qingdao;sanya;sunshine</t>
        </is>
      </c>
      <c r="Y105" s="67" t="n">
        <v>15</v>
      </c>
      <c r="Z105" s="63" t="inlineStr">
        <is>
          <t>partial</t>
        </is>
      </c>
      <c r="AA105" s="72" t="n">
        <v>-0.13</v>
      </c>
      <c r="AB105" s="73" t="n">
        <v>0.74</v>
      </c>
      <c r="AC105" s="73" t="n">
        <v>-0.86</v>
      </c>
      <c r="AD105" s="73" t="n">
        <v>-0.13</v>
      </c>
      <c r="AE105" s="73" t="n">
        <v>9.27</v>
      </c>
      <c r="AF105" s="73" t="n">
        <v>-13.11</v>
      </c>
      <c r="AG105" s="73" t="n">
        <v>0</v>
      </c>
      <c r="AH105" s="73" t="n">
        <v>9.41</v>
      </c>
      <c r="AI105" s="73" t="n">
        <v>-13</v>
      </c>
      <c r="AJ105" s="73" t="n">
        <v>4.09</v>
      </c>
      <c r="AK105" s="73" t="n">
        <v>16.35</v>
      </c>
      <c r="AL105" s="73" t="n">
        <v>-13.58</v>
      </c>
      <c r="AM105" s="73" t="n">
        <v>14.64</v>
      </c>
      <c r="AN105" s="73" t="n">
        <v>-7.08</v>
      </c>
      <c r="AO105" s="73" t="n">
        <v>-5.23</v>
      </c>
      <c r="AP105" s="63" t="inlineStr">
        <is>
          <t>Hang Seng Commerce &amp; Industry sub-index</t>
        </is>
      </c>
      <c r="AQ105" s="73" t="n">
        <v>57.34</v>
      </c>
      <c r="AR105" s="64" t="inlineStr">
        <is>
          <t>2026-08-19</t>
        </is>
      </c>
      <c r="AS105" s="65" t="n"/>
      <c r="AT105" s="68" t="n"/>
      <c r="AU105" s="63" t="n"/>
      <c r="AV105" s="74" t="n">
        <v>18</v>
      </c>
      <c r="AW105" s="74" t="n">
        <v>18</v>
      </c>
      <c r="AX105" s="74" t="n">
        <v>16</v>
      </c>
      <c r="AY105" s="74" t="n"/>
      <c r="AZ105" s="75" t="inlineStr">
        <is>
          <t>N</t>
        </is>
      </c>
      <c r="BA105" s="76">
        <f>IF('BBG Verify'!K105="","not filed — run on terminal",'BBG Verify'!K105)</f>
        <v/>
      </c>
      <c r="BB105" s="63" t="inlineStr">
        <is>
          <t>N/A</t>
        </is>
      </c>
      <c r="BC105" s="63" t="inlineStr">
        <is>
          <t>N/A</t>
        </is>
      </c>
      <c r="BD105" s="63" t="inlineStr">
        <is>
          <t>N/A</t>
        </is>
      </c>
      <c r="BE105" s="63" t="inlineStr">
        <is>
          <t>N/A</t>
        </is>
      </c>
      <c r="BF105" s="63" t="inlineStr">
        <is>
          <t>N/A</t>
        </is>
      </c>
      <c r="BG105" s="75" t="inlineStr">
        <is>
          <t>China International Capital Corporation Hong Kong Securities Limited</t>
        </is>
      </c>
      <c r="BH105" s="63" t="inlineStr">
        <is>
          <t>China International Capital Corporation Hong Kong Securities Limited</t>
        </is>
      </c>
      <c r="BI105" s="63" t="inlineStr">
        <is>
          <t>China International Capital Corporation Hong Kong Securities Limited; BNP Paribas Securities (Asia) Limited; Zhongtai International Securities Limited</t>
        </is>
      </c>
      <c r="BJ105" s="63" t="inlineStr">
        <is>
          <t>BNP Paribas Securities (Asia) Limited; China International Capital Corporation Hong Kong Securities Limited; Zhongtai International Securities Limited</t>
        </is>
      </c>
      <c r="BK105" s="77">
        <f>HYPERLINK("https://www1.hkexnews.hk/listedco/listconews/sehk/2022/0322/2022032200013.pdf","prospectus")</f>
        <v/>
      </c>
      <c r="BL105" s="77">
        <f>HYPERLINK("https://www1.hkexnews.hk/listedco/listconews/sehk/2022/0330/2022033000050.htm","allotment")</f>
        <v/>
      </c>
      <c r="BM105" s="77">
        <f>HYPERLINK("https://www1.hkexnews.hk/listedco/listconews/sehk/2022/0424/2022042400017.pdf","stabilisation")</f>
        <v/>
      </c>
      <c r="BN105" s="75" t="n"/>
      <c r="BO105" s="63"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7" t="n">
        <v>5.97</v>
      </c>
      <c r="W106" s="63" t="inlineStr">
        <is>
          <t>Harvest High Yield SP; SCC Growth VI Holdco C (HK) Limited; SCHP Master Fund; Yangtze River (Hong Kong) Limited</t>
        </is>
      </c>
      <c r="X106" s="63" t="inlineStr">
        <is>
          <t>harvest;scc;schp;yangtze</t>
        </is>
      </c>
      <c r="Y106" s="67" t="n">
        <v>6.44</v>
      </c>
      <c r="Z106" s="63" t="inlineStr">
        <is>
          <t>partial</t>
        </is>
      </c>
      <c r="AA106" s="72" t="n">
        <v>1.81</v>
      </c>
      <c r="AB106" s="73" t="n">
        <v>0.8100000000000001</v>
      </c>
      <c r="AC106" s="73" t="n">
        <v>0.99</v>
      </c>
      <c r="AD106" s="73" t="n">
        <v>10.08</v>
      </c>
      <c r="AE106" s="73" t="n">
        <v>0.2</v>
      </c>
      <c r="AF106" s="73" t="n">
        <v>-8.67</v>
      </c>
      <c r="AG106" s="73" t="n">
        <v>8.119999999999999</v>
      </c>
      <c r="AH106" s="73" t="n">
        <v>-1.58</v>
      </c>
      <c r="AI106" s="73" t="n">
        <v>-10.29</v>
      </c>
      <c r="AJ106" s="73" t="n">
        <v>15.66</v>
      </c>
      <c r="AK106" s="73" t="n">
        <v>16.05</v>
      </c>
      <c r="AL106" s="73" t="n">
        <v>-10.35</v>
      </c>
      <c r="AM106" s="73" t="n">
        <v>11.73</v>
      </c>
      <c r="AN106" s="73" t="n">
        <v>-15.85</v>
      </c>
      <c r="AO106" s="73" t="n">
        <v>-13.31</v>
      </c>
      <c r="AP106" s="63" t="inlineStr">
        <is>
          <t>China Biotech ETF (HS biotech proxy)</t>
        </is>
      </c>
      <c r="AQ106" s="73" t="n">
        <v>-79.84</v>
      </c>
      <c r="AR106" s="64" t="inlineStr">
        <is>
          <t>2026-08-19</t>
        </is>
      </c>
      <c r="AS106" s="65" t="n">
        <v>0</v>
      </c>
      <c r="AT106" s="68" t="n">
        <v>-723.4</v>
      </c>
      <c r="AU106" s="63" t="inlineStr">
        <is>
          <t>N</t>
        </is>
      </c>
      <c r="AV106" s="63" t="inlineStr">
        <is>
          <t>n/m</t>
        </is>
      </c>
      <c r="AW106" s="74" t="n"/>
      <c r="AX106" s="74" t="n"/>
      <c r="AY106" s="63" t="inlineStr">
        <is>
          <t>pre-rev</t>
        </is>
      </c>
      <c r="AZ106" s="75" t="inlineStr">
        <is>
          <t>N</t>
        </is>
      </c>
      <c r="BA106" s="76">
        <f>IF('BBG Verify'!K106="","not filed — run on terminal",'BBG Verify'!K106)</f>
        <v/>
      </c>
      <c r="BB106" s="63" t="inlineStr">
        <is>
          <t>N/A</t>
        </is>
      </c>
      <c r="BC106" s="63" t="inlineStr">
        <is>
          <t>N/A</t>
        </is>
      </c>
      <c r="BD106" s="63" t="inlineStr">
        <is>
          <t>N/A</t>
        </is>
      </c>
      <c r="BE106" s="63" t="inlineStr">
        <is>
          <t>N/A</t>
        </is>
      </c>
      <c r="BF106" s="63" t="inlineStr">
        <is>
          <t>N/A</t>
        </is>
      </c>
      <c r="BG106" s="75" t="inlineStr">
        <is>
          <t>Morgan Stanley Asia Limited; CMB International Capital Limited; CLSA Capital Markets Limited; Morgan Stanley &amp; Co. International plc; London E14 4QA United Kingdom CMB International Capital Limited; CLSA Limited</t>
        </is>
      </c>
      <c r="BH106" s="63" t="inlineStr">
        <is>
          <t>Morgan Stanley Asia Limited; CLSA Capital Markets Limited; CMB International Capital Corporation Limited</t>
        </is>
      </c>
      <c r="BI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7">
        <f>HYPERLINK("https://www1.hkexnews.hk/listedco/listconews/sehk/2022/0321/2022032100025.pdf","prospectus")</f>
        <v/>
      </c>
      <c r="BL106" s="77">
        <f>HYPERLINK("https://www1.hkexnews.hk/listedco/listconews/sehk/2022/0330/2022033000086.htm","allotment")</f>
        <v/>
      </c>
      <c r="BM106" s="77">
        <f>HYPERLINK("https://www1.hkexnews.hk/listedco/listconews/sehk/2022/0424/2022042400203.pdf","stabilisation")</f>
        <v/>
      </c>
      <c r="BN106" s="75" t="n"/>
      <c r="BO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7" t="n">
        <v>20.9</v>
      </c>
      <c r="W107" s="63" t="n"/>
      <c r="X107" s="63" t="n"/>
      <c r="Y107" s="67" t="n">
        <v>15</v>
      </c>
      <c r="Z107" s="63" t="inlineStr">
        <is>
          <t>lapsed (no over-allocation)</t>
        </is>
      </c>
      <c r="AA107" s="72" t="n">
        <v>26.34</v>
      </c>
      <c r="AB107" s="73" t="n">
        <v>10.98</v>
      </c>
      <c r="AC107" s="73" t="n">
        <v>13.84</v>
      </c>
      <c r="AD107" s="73" t="n">
        <v>101.22</v>
      </c>
      <c r="AE107" s="73" t="n">
        <v>103.66</v>
      </c>
      <c r="AF107" s="73" t="n">
        <v>168.29</v>
      </c>
      <c r="AG107" s="73" t="n">
        <v>59.27</v>
      </c>
      <c r="AH107" s="73" t="n">
        <v>61.2</v>
      </c>
      <c r="AI107" s="73" t="n">
        <v>112.36</v>
      </c>
      <c r="AJ107" s="73" t="n">
        <v>97.17</v>
      </c>
      <c r="AK107" s="73" t="n">
        <v>106.03</v>
      </c>
      <c r="AL107" s="73" t="n">
        <v>174.01</v>
      </c>
      <c r="AM107" s="73" t="n">
        <v>62.19</v>
      </c>
      <c r="AN107" s="73" t="n">
        <v>-2.37</v>
      </c>
      <c r="AO107" s="73" t="n">
        <v>-0.99</v>
      </c>
      <c r="AP107" s="63" t="inlineStr">
        <is>
          <t>Hang Seng Properties sub-index</t>
        </is>
      </c>
      <c r="AQ107" s="73" t="n">
        <v>-64.63</v>
      </c>
      <c r="AR107" s="64" t="inlineStr">
        <is>
          <t>2026-08-20</t>
        </is>
      </c>
      <c r="AS107" s="65" t="n">
        <v>243.8</v>
      </c>
      <c r="AT107" s="68" t="n">
        <v>32.8</v>
      </c>
      <c r="AU107" s="63" t="inlineStr">
        <is>
          <t>Y</t>
        </is>
      </c>
      <c r="AV107" s="74" t="n">
        <v>29.9</v>
      </c>
      <c r="AW107" s="74" t="n"/>
      <c r="AX107" s="74" t="n"/>
      <c r="AY107" s="74" t="n">
        <v>4</v>
      </c>
      <c r="AZ107" s="75" t="inlineStr">
        <is>
          <t>N</t>
        </is>
      </c>
      <c r="BA107" s="76">
        <f>IF('BBG Verify'!K107="","not filed — run on terminal",'BBG Verify'!K107)</f>
        <v/>
      </c>
      <c r="BB107" s="63" t="inlineStr">
        <is>
          <t>N/A</t>
        </is>
      </c>
      <c r="BC107" s="63" t="inlineStr">
        <is>
          <t>N/A</t>
        </is>
      </c>
      <c r="BD107" s="63" t="inlineStr">
        <is>
          <t>N/A</t>
        </is>
      </c>
      <c r="BE107" s="63" t="inlineStr">
        <is>
          <t>N/A</t>
        </is>
      </c>
      <c r="BF107" s="63" t="inlineStr">
        <is>
          <t>N/A</t>
        </is>
      </c>
      <c r="BG107" s="75" t="inlineStr">
        <is>
          <t>ABCI Capital Limited</t>
        </is>
      </c>
      <c r="BH107" s="63" t="inlineStr">
        <is>
          <t>ABCI Capital Limited</t>
        </is>
      </c>
      <c r="BI107" s="63" t="inlineStr">
        <is>
          <t>ABCI Capital Limited; Valuable Capital Limited; Guotai Junan Securities (Hong Kong) Limited; CCB International Capital Limited; Zhongtai International Securities Limited</t>
        </is>
      </c>
      <c r="BJ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7">
        <f>HYPERLINK("https://www1.hkexnews.hk/listedco/listconews/sehk/2022/0322/2022032200231.pdf","prospectus")</f>
        <v/>
      </c>
      <c r="BL107" s="77">
        <f>HYPERLINK("https://www1.hkexnews.hk/listedco/listconews/sehk/2022/0330/2022033000152.htm","allotment")</f>
        <v/>
      </c>
      <c r="BM107" s="77">
        <f>HYPERLINK("https://www1.hkexnews.hk/listedco/listconews/sehk/2022/0425/2022042500019.pdf","stabilisation")</f>
        <v/>
      </c>
      <c r="BN107" s="75" t="n"/>
      <c r="BO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7" t="n">
        <v>5.08</v>
      </c>
      <c r="W108" s="63" t="n"/>
      <c r="X108" s="63" t="n"/>
      <c r="Y108" s="67" t="n">
        <v>8.199999999999999</v>
      </c>
      <c r="Z108" s="63" t="inlineStr">
        <is>
          <t>lapsed</t>
        </is>
      </c>
      <c r="AA108" s="72" t="n">
        <v>-23.58</v>
      </c>
      <c r="AB108" s="73" t="n">
        <v>-22.18</v>
      </c>
      <c r="AC108" s="73" t="n">
        <v>-1.8</v>
      </c>
      <c r="AD108" s="73" t="n">
        <v>-15.78</v>
      </c>
      <c r="AE108" s="73" t="n">
        <v>-36.21</v>
      </c>
      <c r="AF108" s="73" t="n">
        <v>-32.94</v>
      </c>
      <c r="AG108" s="73" t="n">
        <v>10.21</v>
      </c>
      <c r="AH108" s="73" t="n">
        <v>-16.53</v>
      </c>
      <c r="AI108" s="73" t="n">
        <v>-12.25</v>
      </c>
      <c r="AJ108" s="73" t="n">
        <v>-27.89</v>
      </c>
      <c r="AK108" s="73" t="n">
        <v>-37.89</v>
      </c>
      <c r="AL108" s="73" t="n">
        <v>-48.56</v>
      </c>
      <c r="AM108" s="73" t="n">
        <v>-17.9</v>
      </c>
      <c r="AN108" s="73" t="n">
        <v>1.68</v>
      </c>
      <c r="AO108" s="73" t="n">
        <v>1.37</v>
      </c>
      <c r="AP108" s="63" t="inlineStr">
        <is>
          <t>HSTECH (Hang Seng TECH ETF)</t>
        </is>
      </c>
      <c r="AQ108" s="73" t="n">
        <v>-74.58</v>
      </c>
      <c r="AR108" s="64" t="inlineStr">
        <is>
          <t>2026-08-20</t>
        </is>
      </c>
      <c r="AS108" s="65" t="n">
        <v>3255.3</v>
      </c>
      <c r="AT108" s="68" t="n">
        <v>-569.3</v>
      </c>
      <c r="AU108" s="63" t="inlineStr">
        <is>
          <t>N</t>
        </is>
      </c>
      <c r="AV108" s="63" t="inlineStr">
        <is>
          <t>n/m</t>
        </is>
      </c>
      <c r="AW108" s="74" t="n"/>
      <c r="AX108" s="74" t="n"/>
      <c r="AY108" s="74" t="n">
        <v>5</v>
      </c>
      <c r="AZ108" s="75" t="inlineStr">
        <is>
          <t>N</t>
        </is>
      </c>
      <c r="BA108" s="76">
        <f>IF('BBG Verify'!K108="","not filed — run on terminal",'BBG Verify'!K108)</f>
        <v/>
      </c>
      <c r="BB108" s="63" t="inlineStr">
        <is>
          <t>N/A</t>
        </is>
      </c>
      <c r="BC108" s="63" t="inlineStr">
        <is>
          <t>N/A</t>
        </is>
      </c>
      <c r="BD108" s="63" t="inlineStr">
        <is>
          <t>N/A</t>
        </is>
      </c>
      <c r="BE108" s="63" t="inlineStr">
        <is>
          <t>N/A</t>
        </is>
      </c>
      <c r="BF108" s="63" t="inlineStr">
        <is>
          <t>N/A</t>
        </is>
      </c>
      <c r="BG108" s="75" t="inlineStr">
        <is>
          <t>Credit Suisse (Hong Kong) Limited; J.P. Morgan Securities (Far East) Limited; China International Capital Corporation Hong Kong Securities Limited; CMB International Capital Limited</t>
        </is>
      </c>
      <c r="BH108" s="63" t="inlineStr">
        <is>
          <t>China International Capital Corporation Hong Kong Securities Limited; J.P. Morgan Securities (Far East) Limited; CMB International Capital Limited; Credit Suisse (Hong Kong) Limited</t>
        </is>
      </c>
      <c r="BI108" s="63" t="inlineStr">
        <is>
          <t>Credit Suisse (Hong Kong) Limited; J.P. Morgan Securities (Asia Pacific) Limited; China International Capital Corporation Hong Kong Securities Limited</t>
        </is>
      </c>
      <c r="BJ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7">
        <f>HYPERLINK("https://www1.hkexnews.hk/listedco/listconews/sehk/2022/0411/2022041100022.htm","prospectus")</f>
        <v/>
      </c>
      <c r="BL108" s="77">
        <f>HYPERLINK("https://www1.hkexnews.hk/listedco/listconews/sehk/2022/0421/2022042100020.htm","allotment")</f>
        <v/>
      </c>
      <c r="BM108" s="77">
        <f>HYPERLINK("https://www1.hkexnews.hk/listedco/listconews/sehk/2022/0515/2022051500043.pdf","stabilisation")</f>
        <v/>
      </c>
      <c r="BN108" s="75" t="n"/>
      <c r="BO108" s="63"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7" t="n">
        <v>25</v>
      </c>
      <c r="W109" s="63" t="n"/>
      <c r="X109" s="63" t="n"/>
      <c r="Y109" s="67" t="n">
        <v>7.48</v>
      </c>
      <c r="Z109" s="63" t="inlineStr">
        <is>
          <t>partial</t>
        </is>
      </c>
      <c r="AA109" s="72" t="n">
        <v>0</v>
      </c>
      <c r="AB109" s="73" t="n">
        <v>0</v>
      </c>
      <c r="AC109" s="73" t="n">
        <v>0</v>
      </c>
      <c r="AD109" s="73" t="n">
        <v>-4.2</v>
      </c>
      <c r="AE109" s="73" t="n">
        <v>-0</v>
      </c>
      <c r="AF109" s="73" t="n">
        <v>-18.49</v>
      </c>
      <c r="AG109" s="73" t="n">
        <v>-4.2</v>
      </c>
      <c r="AH109" s="73" t="n">
        <v>0</v>
      </c>
      <c r="AI109" s="73" t="n">
        <v>-18.49</v>
      </c>
      <c r="AJ109" s="73" t="n">
        <v>0.41</v>
      </c>
      <c r="AK109" s="73" t="n">
        <v>-0.61</v>
      </c>
      <c r="AL109" s="73" t="n">
        <v>-4.38</v>
      </c>
      <c r="AM109" s="73" t="n">
        <v>-0.17</v>
      </c>
      <c r="AN109" s="73" t="n">
        <v>0.61</v>
      </c>
      <c r="AO109" s="73" t="n">
        <v>0.17</v>
      </c>
      <c r="AP109" s="63" t="inlineStr">
        <is>
          <t>Hang Seng Properties sub-index</t>
        </is>
      </c>
      <c r="AQ109" s="73" t="n">
        <v>-74.79000000000001</v>
      </c>
      <c r="AR109" s="64" t="inlineStr">
        <is>
          <t>2026-08-20</t>
        </is>
      </c>
      <c r="AS109" s="65" t="n">
        <v>1312.8</v>
      </c>
      <c r="AT109" s="68" t="n">
        <v>143.4</v>
      </c>
      <c r="AU109" s="63" t="inlineStr">
        <is>
          <t>Y</t>
        </is>
      </c>
      <c r="AV109" s="74" t="n">
        <v>5.5</v>
      </c>
      <c r="AW109" s="74" t="n"/>
      <c r="AX109" s="74" t="n">
        <v>7.1</v>
      </c>
      <c r="AY109" s="74" t="n">
        <v>0.6</v>
      </c>
      <c r="AZ109" s="75" t="inlineStr">
        <is>
          <t>N</t>
        </is>
      </c>
      <c r="BA109" s="76">
        <f>IF('BBG Verify'!K109="","not filed — run on terminal",'BBG Verify'!K109)</f>
        <v/>
      </c>
      <c r="BB109" s="63" t="inlineStr">
        <is>
          <t>N/A</t>
        </is>
      </c>
      <c r="BC109" s="63" t="inlineStr">
        <is>
          <t>N/A</t>
        </is>
      </c>
      <c r="BD109" s="63" t="inlineStr">
        <is>
          <t>N/A</t>
        </is>
      </c>
      <c r="BE109" s="63" t="inlineStr">
        <is>
          <t>N/A</t>
        </is>
      </c>
      <c r="BF109" s="63" t="inlineStr">
        <is>
          <t>N/A</t>
        </is>
      </c>
      <c r="BG109" s="75" t="inlineStr">
        <is>
          <t>Guotai Junan Capital Limited</t>
        </is>
      </c>
      <c r="BH109" s="63" t="inlineStr">
        <is>
          <t>Guotai Junan Capital Limited</t>
        </is>
      </c>
      <c r="BI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7">
        <f>HYPERLINK("https://www1.hkexnews.hk/listedco/listconews/sehk/2022/0419/2022041900041.pdf","prospectus")</f>
        <v/>
      </c>
      <c r="BL109" s="77">
        <f>HYPERLINK("https://www1.hkexnews.hk/listedco/listconews/sehk/2022/0428/2022042800071.htm","allotment")</f>
        <v/>
      </c>
      <c r="BM109" s="77">
        <f>HYPERLINK("https://www1.hkexnews.hk/listedco/listconews/sehk/2022/0523/2022052300039.pdf","stabilisation")</f>
        <v/>
      </c>
      <c r="BN109" s="75" t="n"/>
      <c r="BO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7" t="n">
        <v>17.52</v>
      </c>
      <c r="W110" s="63" t="inlineStr">
        <is>
          <t>Harvest International Premium Value (Secondary Market) Fund SPC; YHLO (Hong Kong) Limited</t>
        </is>
      </c>
      <c r="X110" s="63" t="inlineStr">
        <is>
          <t>harvest;yhlo</t>
        </is>
      </c>
      <c r="Y110" s="67" t="n">
        <v>6.17</v>
      </c>
      <c r="Z110" s="63" t="inlineStr">
        <is>
          <t>partial</t>
        </is>
      </c>
      <c r="AA110" s="72" t="n">
        <v>7.73</v>
      </c>
      <c r="AB110" s="73" t="n">
        <v>0</v>
      </c>
      <c r="AC110" s="73" t="n">
        <v>7.73</v>
      </c>
      <c r="AD110" s="73" t="n">
        <v>15.34</v>
      </c>
      <c r="AE110" s="73" t="n">
        <v>94.42</v>
      </c>
      <c r="AF110" s="73" t="n">
        <v>129.4</v>
      </c>
      <c r="AG110" s="73" t="n">
        <v>7.06</v>
      </c>
      <c r="AH110" s="73" t="n">
        <v>80.47</v>
      </c>
      <c r="AI110" s="73" t="n">
        <v>112.94</v>
      </c>
      <c r="AJ110" s="73" t="n">
        <v>17.68</v>
      </c>
      <c r="AK110" s="73" t="n">
        <v>88.43000000000001</v>
      </c>
      <c r="AL110" s="73" t="n">
        <v>119.58</v>
      </c>
      <c r="AM110" s="73" t="n">
        <v>73.54000000000001</v>
      </c>
      <c r="AN110" s="73" t="n">
        <v>5.99</v>
      </c>
      <c r="AO110" s="73" t="n">
        <v>6.93</v>
      </c>
      <c r="AP110" s="63" t="inlineStr">
        <is>
          <t>China Biotech ETF (HS biotech proxy)</t>
        </is>
      </c>
      <c r="AQ110" s="73" t="n">
        <v>-91.89</v>
      </c>
      <c r="AR110" s="64" t="inlineStr">
        <is>
          <t>2026-08-20</t>
        </is>
      </c>
      <c r="AS110" s="65" t="n">
        <v>1320.4</v>
      </c>
      <c r="AT110" s="68" t="n">
        <v>286.2</v>
      </c>
      <c r="AU110" s="63" t="inlineStr">
        <is>
          <t>Y</t>
        </is>
      </c>
      <c r="AV110" s="74" t="n">
        <v>15.2</v>
      </c>
      <c r="AW110" s="74" t="n"/>
      <c r="AX110" s="74" t="n">
        <v>58.6</v>
      </c>
      <c r="AY110" s="74" t="n">
        <v>3.3</v>
      </c>
      <c r="AZ110" s="75" t="inlineStr">
        <is>
          <t>N</t>
        </is>
      </c>
      <c r="BA110" s="76">
        <f>IF('BBG Verify'!K110="","not filed — run on terminal",'BBG Verify'!K110)</f>
        <v/>
      </c>
      <c r="BB110" s="63" t="inlineStr">
        <is>
          <t>N/A</t>
        </is>
      </c>
      <c r="BC110" s="63" t="inlineStr">
        <is>
          <t>N/A</t>
        </is>
      </c>
      <c r="BD110" s="63" t="inlineStr">
        <is>
          <t>N/A</t>
        </is>
      </c>
      <c r="BE110" s="63" t="inlineStr">
        <is>
          <t>N/A</t>
        </is>
      </c>
      <c r="BF110" s="63" t="inlineStr">
        <is>
          <t>N/A</t>
        </is>
      </c>
      <c r="BG110" s="75" t="inlineStr">
        <is>
          <t>CMB International Capital Limited; SPDB International Capital Limited</t>
        </is>
      </c>
      <c r="BH110" s="63" t="inlineStr">
        <is>
          <t>CMB International Capital Limited; SPDB International Capital Limited</t>
        </is>
      </c>
      <c r="BI110" s="63" t="inlineStr">
        <is>
          <t>CMB International Capital Limited; SPDB International Capital Limited; China Merchants Securities (HK) Co., Limited; CCB International Capital Limited; CRIC Securities Company Limited; Futu Securities International (Hong Kong) Limited</t>
        </is>
      </c>
      <c r="BJ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7">
        <f>HYPERLINK("https://www1.hkexnews.hk/listedco/listconews/sehk/2022/0505/2022050500011.pdf","prospectus")</f>
        <v/>
      </c>
      <c r="BL110" s="77">
        <f>HYPERLINK("https://www1.hkexnews.hk/listedco/listconews/sehk/2022/0517/2022051700032.htm","allotment")</f>
        <v/>
      </c>
      <c r="BM110" s="77">
        <f>HYPERLINK("https://www1.hkexnews.hk/listedco/listconews/sehk/2022/0610/2022061001076.pdf","stabilisation")</f>
        <v/>
      </c>
      <c r="BN110" s="75" t="n"/>
      <c r="BO110" s="63" t="inlineStr">
        <is>
          <t>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17.4</v>
      </c>
      <c r="J111" s="63" t="inlineStr">
        <is>
          <t>net proceeds</t>
        </is>
      </c>
      <c r="K111" s="66" t="n"/>
      <c r="L111" s="66" t="n">
        <v>2.1</v>
      </c>
      <c r="M111" s="66" t="n">
        <v>2.1</v>
      </c>
      <c r="N111" s="63" t="inlineStr">
        <is>
          <t>Y</t>
        </is>
      </c>
      <c r="O111" s="67" t="n">
        <v>100</v>
      </c>
      <c r="P111" s="67" t="n"/>
      <c r="Q111" s="68" t="n">
        <v>1074.1</v>
      </c>
      <c r="R111" s="63" t="inlineStr">
        <is>
          <t>derived:deal size / offer % of enlarged capital</t>
        </is>
      </c>
      <c r="S111" s="69" t="n">
        <v>8.369999999999999</v>
      </c>
      <c r="T111" s="70" t="n">
        <v>1.23</v>
      </c>
      <c r="U111" s="71" t="n">
        <v>0</v>
      </c>
      <c r="V111" s="67" t="n">
        <v>1.62</v>
      </c>
      <c r="W111" s="63" t="n"/>
      <c r="X111" s="63" t="n"/>
      <c r="Y111" s="67" t="n">
        <v>15</v>
      </c>
      <c r="Z111" s="63" t="inlineStr">
        <is>
          <t>lapsed</t>
        </is>
      </c>
      <c r="AA111" s="72" t="n">
        <v>0</v>
      </c>
      <c r="AB111" s="73" t="n">
        <v>8.57</v>
      </c>
      <c r="AC111" s="73" t="n">
        <v>-7.89</v>
      </c>
      <c r="AD111" s="73" t="n">
        <v>-6.19</v>
      </c>
      <c r="AE111" s="73" t="n">
        <v>-28.1</v>
      </c>
      <c r="AF111" s="73" t="n">
        <v>-35.24</v>
      </c>
      <c r="AG111" s="73" t="n">
        <v>-6.19</v>
      </c>
      <c r="AH111" s="73" t="n">
        <v>-28.1</v>
      </c>
      <c r="AI111" s="73" t="n">
        <v>-35.24</v>
      </c>
      <c r="AJ111" s="73" t="n">
        <v>-1.68</v>
      </c>
      <c r="AK111" s="73" t="n">
        <v>-21.83</v>
      </c>
      <c r="AL111" s="73" t="n">
        <v>-20.29</v>
      </c>
      <c r="AM111" s="73" t="n">
        <v>-21.45</v>
      </c>
      <c r="AN111" s="73" t="n">
        <v>-6.27</v>
      </c>
      <c r="AO111" s="73" t="n">
        <v>-6.65</v>
      </c>
      <c r="AP111" s="63" t="inlineStr">
        <is>
          <t>Hang Seng Commerce &amp; Industry sub-index</t>
        </is>
      </c>
      <c r="AQ111" s="73" t="n">
        <v>-65</v>
      </c>
      <c r="AR111" s="64" t="inlineStr">
        <is>
          <t>2026-08-20</t>
        </is>
      </c>
      <c r="AS111" s="65" t="n">
        <v>523</v>
      </c>
      <c r="AT111" s="68" t="n">
        <v>33.7</v>
      </c>
      <c r="AU111" s="63" t="inlineStr">
        <is>
          <t>Y</t>
        </is>
      </c>
      <c r="AV111" s="74" t="n">
        <v>31.9</v>
      </c>
      <c r="AW111" s="74" t="n"/>
      <c r="AX111" s="74" t="n">
        <v>20.8</v>
      </c>
      <c r="AY111" s="74" t="n">
        <v>2.1</v>
      </c>
      <c r="AZ111" s="75" t="inlineStr">
        <is>
          <t>N</t>
        </is>
      </c>
      <c r="BA111" s="76">
        <f>IF('BBG Verify'!K111="","not filed — run on terminal",'BBG Verify'!K111)</f>
        <v/>
      </c>
      <c r="BB111" s="63" t="inlineStr">
        <is>
          <t>N/A</t>
        </is>
      </c>
      <c r="BC111" s="63" t="inlineStr">
        <is>
          <t>N/A</t>
        </is>
      </c>
      <c r="BD111" s="63" t="inlineStr">
        <is>
          <t>N/A</t>
        </is>
      </c>
      <c r="BE111" s="63" t="inlineStr">
        <is>
          <t>N/A</t>
        </is>
      </c>
      <c r="BF111" s="63" t="inlineStr">
        <is>
          <t>N/A</t>
        </is>
      </c>
      <c r="BG111" s="75" t="inlineStr">
        <is>
          <t>CMBC International Capital Limited; Financial Adviser Note Wings Securities Limited</t>
        </is>
      </c>
      <c r="BH111" s="63" t="inlineStr">
        <is>
          <t>CMBC International Capital Limited</t>
        </is>
      </c>
      <c r="BI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7">
        <f>HYPERLINK("https://www1.hkexnews.hk/listedco/listconews/sehk/2022/0526/2022052600069.pdf","prospectus")</f>
        <v/>
      </c>
      <c r="BL111" s="77">
        <f>HYPERLINK("https://www1.hkexnews.hk/listedco/listconews/sehk/2022/0609/2022060900032.htm","allotment")</f>
        <v/>
      </c>
      <c r="BM111" s="77">
        <f>HYPERLINK("https://www1.hkexnews.hk/listedco/listconews/sehk/2022/0630/2022063000818.pdf","stabilisation")</f>
        <v/>
      </c>
      <c r="BN111" s="75" t="n"/>
      <c r="BO111" s="63"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c r="L112" s="66" t="n">
        <v>22</v>
      </c>
      <c r="M112" s="66" t="n">
        <v>18</v>
      </c>
      <c r="N112" s="63" t="inlineStr">
        <is>
          <t>N</t>
        </is>
      </c>
      <c r="O112" s="67" t="n">
        <v>81.8</v>
      </c>
      <c r="P112" s="67" t="n"/>
      <c r="Q112" s="68" t="n">
        <v>4306</v>
      </c>
      <c r="R112" s="63" t="inlineStr">
        <is>
          <t>derived:deal size / offer % of enlarged capital</t>
        </is>
      </c>
      <c r="S112" s="69" t="n">
        <v>9.619999999999999</v>
      </c>
      <c r="T112" s="70" t="n">
        <v>2.05</v>
      </c>
      <c r="U112" s="71" t="n">
        <v>75.90000000000001</v>
      </c>
      <c r="V112" s="67" t="n">
        <v>1.2</v>
      </c>
      <c r="W112" s="63" t="inlineStr">
        <is>
          <t>Maccura Biotechnology Co., Ltd; Nanchang Financial Holdings Co., Ltd</t>
        </is>
      </c>
      <c r="X112" s="63" t="inlineStr">
        <is>
          <t>maccura;nanchang</t>
        </is>
      </c>
      <c r="Y112" s="67" t="n">
        <v>15</v>
      </c>
      <c r="Z112" s="63" t="inlineStr">
        <is>
          <t>lapsed</t>
        </is>
      </c>
      <c r="AA112" s="72" t="n">
        <v>0</v>
      </c>
      <c r="AB112" s="73" t="n">
        <v>8.220000000000001</v>
      </c>
      <c r="AC112" s="73" t="n">
        <v>-7.6</v>
      </c>
      <c r="AD112" s="73" t="n">
        <v>-1.11</v>
      </c>
      <c r="AE112" s="73" t="n">
        <v>-1.22</v>
      </c>
      <c r="AF112" s="73" t="n">
        <v>-24.22</v>
      </c>
      <c r="AG112" s="73" t="n">
        <v>-1.11</v>
      </c>
      <c r="AH112" s="73" t="n">
        <v>-1.22</v>
      </c>
      <c r="AI112" s="73" t="n">
        <v>-24.22</v>
      </c>
      <c r="AJ112" s="73" t="n">
        <v>-4.87</v>
      </c>
      <c r="AK112" s="73" t="n">
        <v>-6.85</v>
      </c>
      <c r="AL112" s="73" t="n">
        <v>-9.83</v>
      </c>
      <c r="AM112" s="73" t="n">
        <v>-8.07</v>
      </c>
      <c r="AN112" s="73" t="n">
        <v>5.63</v>
      </c>
      <c r="AO112" s="73" t="n">
        <v>6.85</v>
      </c>
      <c r="AP112" s="63" t="inlineStr">
        <is>
          <t>China Biotech ETF (HS biotech proxy)</t>
        </is>
      </c>
      <c r="AQ112" s="73" t="n">
        <v>-60.61</v>
      </c>
      <c r="AR112" s="64" t="inlineStr">
        <is>
          <t>2026-08-20</t>
        </is>
      </c>
      <c r="AS112" s="65" t="n">
        <v>260.9</v>
      </c>
      <c r="AT112" s="68" t="n">
        <v>86.90000000000001</v>
      </c>
      <c r="AU112" s="63" t="inlineStr">
        <is>
          <t>Y</t>
        </is>
      </c>
      <c r="AV112" s="74" t="n">
        <v>49.6</v>
      </c>
      <c r="AW112" s="74" t="n">
        <v>24.8</v>
      </c>
      <c r="AX112" s="74" t="n">
        <v>43.5</v>
      </c>
      <c r="AY112" s="74" t="n">
        <v>16.5</v>
      </c>
      <c r="AZ112" s="75" t="inlineStr">
        <is>
          <t>N</t>
        </is>
      </c>
      <c r="BA112" s="76">
        <f>IF('BBG Verify'!K112="","not filed — run on terminal",'BBG Verify'!K112)</f>
        <v/>
      </c>
      <c r="BB112" s="63" t="inlineStr">
        <is>
          <t>N/A</t>
        </is>
      </c>
      <c r="BC112" s="63" t="inlineStr">
        <is>
          <t>N/A</t>
        </is>
      </c>
      <c r="BD112" s="63" t="inlineStr">
        <is>
          <t>N/A</t>
        </is>
      </c>
      <c r="BE112" s="63" t="inlineStr">
        <is>
          <t>N/A</t>
        </is>
      </c>
      <c r="BF112" s="63" t="inlineStr">
        <is>
          <t>N/A</t>
        </is>
      </c>
      <c r="BG112" s="75" t="inlineStr">
        <is>
          <t>China Securities (International) Corporate Finance Company Limited</t>
        </is>
      </c>
      <c r="BH112" s="63" t="inlineStr">
        <is>
          <t>China Securities (International) Corporate Finance Company Limited</t>
        </is>
      </c>
      <c r="BI112" s="63" t="inlineStr">
        <is>
          <t>China Securities (International) Corporate Finance Company Limited; Central, Hong Kong China Merchants Securities (HK) Co., Limited</t>
        </is>
      </c>
      <c r="BJ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7">
        <f>HYPERLINK("https://www1.hkexnews.hk/listedco/listconews/sehk/2022/0610/2022061000015.pdf","prospectus")</f>
        <v/>
      </c>
      <c r="BL112" s="77">
        <f>HYPERLINK("https://www1.hkexnews.hk/listedco/listconews/sehk/2022/0621/2022062100030.htm","allotment")</f>
        <v/>
      </c>
      <c r="BM112" s="77">
        <f>HYPERLINK("https://www1.hkexnews.hk/listedco/listconews/sehk/2022/0715/2022071501424.pdf","stabilisation")</f>
        <v/>
      </c>
      <c r="BN112" s="75" t="n"/>
      <c r="BO112" s="63"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7" t="n">
        <v>1.31</v>
      </c>
      <c r="W113" s="63" t="inlineStr">
        <is>
          <t>Chery Commercial Vehicle (Anhui) Company Limited; GF Global Capital Limited</t>
        </is>
      </c>
      <c r="X113" s="63" t="inlineStr">
        <is>
          <t>chery;gf</t>
        </is>
      </c>
      <c r="Y113" s="67" t="n">
        <v>19.11</v>
      </c>
      <c r="Z113" s="63" t="inlineStr">
        <is>
          <t>lapsed</t>
        </is>
      </c>
      <c r="AA113" s="72" t="n">
        <v>-22.23</v>
      </c>
      <c r="AB113" s="73" t="n">
        <v>0</v>
      </c>
      <c r="AC113" s="73" t="n">
        <v>-22.23</v>
      </c>
      <c r="AD113" s="73" t="n">
        <v>-47.91</v>
      </c>
      <c r="AE113" s="73" t="n">
        <v>-68.33</v>
      </c>
      <c r="AF113" s="73" t="n">
        <v>-76.73999999999999</v>
      </c>
      <c r="AG113" s="73" t="n">
        <v>-33.02</v>
      </c>
      <c r="AH113" s="73" t="n">
        <v>-59.28</v>
      </c>
      <c r="AI113" s="73" t="n">
        <v>-70.09</v>
      </c>
      <c r="AJ113" s="73" t="n">
        <v>-51.25</v>
      </c>
      <c r="AK113" s="73" t="n">
        <v>-67.92</v>
      </c>
      <c r="AL113" s="73" t="n">
        <v>-59.72</v>
      </c>
      <c r="AM113" s="73" t="n">
        <v>-55.88</v>
      </c>
      <c r="AN113" s="73" t="n">
        <v>-0.41</v>
      </c>
      <c r="AO113" s="73" t="n">
        <v>-3.4</v>
      </c>
      <c r="AP113" s="63" t="inlineStr">
        <is>
          <t>Hang Seng Commerce &amp; Industry sub-index</t>
        </is>
      </c>
      <c r="AQ113" s="73" t="n">
        <v>-99.43000000000001</v>
      </c>
      <c r="AR113" s="64" t="inlineStr">
        <is>
          <t>2026-08-24</t>
        </is>
      </c>
      <c r="AS113" s="65" t="n">
        <v>583.4</v>
      </c>
      <c r="AT113" s="68" t="n">
        <v>-960.1</v>
      </c>
      <c r="AU113" s="63" t="inlineStr">
        <is>
          <t>N</t>
        </is>
      </c>
      <c r="AV113" s="63" t="inlineStr">
        <is>
          <t>n/m</t>
        </is>
      </c>
      <c r="AW113" s="74" t="n"/>
      <c r="AX113" s="74" t="n"/>
      <c r="AY113" s="74" t="n">
        <v>22.5</v>
      </c>
      <c r="AZ113" s="75" t="inlineStr">
        <is>
          <t>N</t>
        </is>
      </c>
      <c r="BA113" s="76">
        <f>IF('BBG Verify'!K113="","not filed — run on terminal",'BBG Verify'!K113)</f>
        <v/>
      </c>
      <c r="BB113" s="63" t="inlineStr">
        <is>
          <t>N/A</t>
        </is>
      </c>
      <c r="BC113" s="63" t="inlineStr">
        <is>
          <t>N/A</t>
        </is>
      </c>
      <c r="BD113" s="63" t="inlineStr">
        <is>
          <t>N/A</t>
        </is>
      </c>
      <c r="BE113" s="63" t="inlineStr">
        <is>
          <t>N/A</t>
        </is>
      </c>
      <c r="BF113" s="63" t="inlineStr">
        <is>
          <t>N/A</t>
        </is>
      </c>
      <c r="BG113" s="75" t="inlineStr">
        <is>
          <t>UBS Securities Hong Kong Limited; China International Capital Corporation Hong Kong Securities Limited; BOCOM International (Asia) Limited; ABCI Capital Limited</t>
        </is>
      </c>
      <c r="BH113" s="63" t="inlineStr">
        <is>
          <t>China International Capital Corporation Hong Kong Securities Limited; UBS Securities Hong Kong Limited; BOCOM International (Asia) Limited; ABCI Capital Limited</t>
        </is>
      </c>
      <c r="BI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7">
        <f>HYPERLINK("https://www1.hkexnews.hk/listedco/listconews/sehk/2022/0614/2022061400009.pdf","prospectus")</f>
        <v/>
      </c>
      <c r="BL113" s="77">
        <f>HYPERLINK("https://www1.hkexnews.hk/listedco/listconews/sehk/2022/0623/2022062300034.htm","allotment")</f>
        <v/>
      </c>
      <c r="BM113" s="77">
        <f>HYPERLINK("https://www1.hkexnews.hk/listedco/listconews/sehk/2022/0718/2022071800093.pdf","stabilisation")</f>
        <v/>
      </c>
      <c r="BN113" s="75" t="n"/>
      <c r="BO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255.7</v>
      </c>
      <c r="J114" s="63" t="inlineStr">
        <is>
          <t>net proceeds</t>
        </is>
      </c>
      <c r="K114" s="66" t="n">
        <v>12.85</v>
      </c>
      <c r="L114" s="66" t="n">
        <v>13.85</v>
      </c>
      <c r="M114" s="66" t="n">
        <v>12.85</v>
      </c>
      <c r="N114" s="63" t="inlineStr">
        <is>
          <t>N</t>
        </is>
      </c>
      <c r="O114" s="67" t="n">
        <v>92.8</v>
      </c>
      <c r="P114" s="67" t="n">
        <v>0</v>
      </c>
      <c r="Q114" s="68" t="n">
        <v>2397.3</v>
      </c>
      <c r="R114" s="63" t="inlineStr">
        <is>
          <t>aastocks:上市市值 at the struck price</t>
        </is>
      </c>
      <c r="S114" s="69" t="n">
        <v>1.17</v>
      </c>
      <c r="T114" s="70" t="n">
        <v>1.27</v>
      </c>
      <c r="U114" s="71" t="n">
        <v>23.4</v>
      </c>
      <c r="V114" s="67" t="n">
        <v>8.17</v>
      </c>
      <c r="W114" s="63" t="inlineStr">
        <is>
          <t>Agora, Inc; Platinum Investment Management Limited</t>
        </is>
      </c>
      <c r="X114" s="63" t="inlineStr">
        <is>
          <t>agora;platinum</t>
        </is>
      </c>
      <c r="Y114" s="67" t="n">
        <v>8.09</v>
      </c>
      <c r="Z114" s="63" t="inlineStr">
        <is>
          <t>partial</t>
        </is>
      </c>
      <c r="AA114" s="72" t="n">
        <v>-0.08</v>
      </c>
      <c r="AB114" s="73" t="n">
        <v>-0.08</v>
      </c>
      <c r="AC114" s="73" t="n">
        <v>0</v>
      </c>
      <c r="AD114" s="73" t="n">
        <v>2.72</v>
      </c>
      <c r="AE114" s="73" t="n">
        <v>-19.07</v>
      </c>
      <c r="AF114" s="73" t="n">
        <v>-22.26</v>
      </c>
      <c r="AG114" s="73" t="n">
        <v>2.8</v>
      </c>
      <c r="AH114" s="73" t="n">
        <v>-19.01</v>
      </c>
      <c r="AI114" s="73" t="n">
        <v>-22.2</v>
      </c>
      <c r="AJ114" s="73" t="n">
        <v>5.43</v>
      </c>
      <c r="AK114" s="73" t="n">
        <v>-6.78</v>
      </c>
      <c r="AL114" s="73" t="n">
        <v>7.17</v>
      </c>
      <c r="AM114" s="73" t="n">
        <v>-7.81</v>
      </c>
      <c r="AN114" s="73" t="n">
        <v>-12.29</v>
      </c>
      <c r="AO114" s="73" t="n">
        <v>-11.2</v>
      </c>
      <c r="AP114" s="63" t="inlineStr">
        <is>
          <t>HSTECH (Hang Seng TECH ETF)</t>
        </is>
      </c>
      <c r="AQ114" s="73" t="n">
        <v>-65.59999999999999</v>
      </c>
      <c r="AR114" s="64" t="inlineStr">
        <is>
          <t>2026-08-20</t>
        </is>
      </c>
      <c r="AS114" s="65" t="n">
        <v>442.1</v>
      </c>
      <c r="AT114" s="68" t="n">
        <v>19.6</v>
      </c>
      <c r="AU114" s="63" t="inlineStr">
        <is>
          <t>Y</t>
        </is>
      </c>
      <c r="AV114" s="74" t="n">
        <v>122.3</v>
      </c>
      <c r="AW114" s="74" t="n"/>
      <c r="AX114" s="74" t="n">
        <v>10.2</v>
      </c>
      <c r="AY114" s="74" t="n">
        <v>5.4</v>
      </c>
      <c r="AZ114" s="75" t="inlineStr">
        <is>
          <t>N</t>
        </is>
      </c>
      <c r="BA114" s="76">
        <f>IF('BBG Verify'!K114="","not filed — run on terminal",'BBG Verify'!K114)</f>
        <v/>
      </c>
      <c r="BB114" s="63" t="inlineStr">
        <is>
          <t>N/A</t>
        </is>
      </c>
      <c r="BC114" s="63" t="inlineStr">
        <is>
          <t>N/A</t>
        </is>
      </c>
      <c r="BD114" s="63" t="inlineStr">
        <is>
          <t>N/A</t>
        </is>
      </c>
      <c r="BE114" s="63" t="inlineStr">
        <is>
          <t>N/A</t>
        </is>
      </c>
      <c r="BF114" s="63" t="inlineStr">
        <is>
          <t>N/A</t>
        </is>
      </c>
      <c r="BG114" s="75" t="inlineStr">
        <is>
          <t>China International Capital Corporation Hong Kong Securities Limited</t>
        </is>
      </c>
      <c r="BH114" s="63" t="inlineStr">
        <is>
          <t>China International Capital Corporation Hong Kong Securities Limited</t>
        </is>
      </c>
      <c r="BI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7">
        <f>HYPERLINK("https://www1.hkexnews.hk/listedco/listconews/sehk/2022/0621/2022062100009.pdf","prospectus")</f>
        <v/>
      </c>
      <c r="BL114" s="77">
        <f>HYPERLINK("https://www1.hkexnews.hk/listedco/listconews/sehk/2022/0629/2022062900092.htm","allotment")</f>
        <v/>
      </c>
      <c r="BM114" s="77">
        <f>HYPERLINK("https://www1.hkexnews.hk/listedco/listconews/sehk/2022/0724/2022072400037.pdf","stabilisation")</f>
        <v/>
      </c>
      <c r="BN114" s="75" t="n"/>
      <c r="BO114"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v>0</v>
      </c>
      <c r="V115" s="67" t="n">
        <v>23.59</v>
      </c>
      <c r="W115" s="63" t="n"/>
      <c r="X115" s="63" t="n"/>
      <c r="Y115" s="67" t="n">
        <v>15</v>
      </c>
      <c r="Z115" s="63" t="inlineStr">
        <is>
          <t>lapsed (no over-allocation)</t>
        </is>
      </c>
      <c r="AA115" s="72" t="n">
        <v>0</v>
      </c>
      <c r="AB115" s="73" t="n">
        <v>11.11</v>
      </c>
      <c r="AC115" s="73" t="n">
        <v>-10</v>
      </c>
      <c r="AD115" s="73" t="n">
        <v>4.76</v>
      </c>
      <c r="AE115" s="73" t="n">
        <v>-30.16</v>
      </c>
      <c r="AF115" s="73" t="n">
        <v>-30.16</v>
      </c>
      <c r="AG115" s="73" t="n">
        <v>4.76</v>
      </c>
      <c r="AH115" s="73" t="n">
        <v>-30.16</v>
      </c>
      <c r="AI115" s="73" t="n">
        <v>-30.16</v>
      </c>
      <c r="AJ115" s="73" t="n">
        <v>4.94</v>
      </c>
      <c r="AK115" s="73" t="n">
        <v>-21.1</v>
      </c>
      <c r="AL115" s="73" t="n">
        <v>-8.720000000000001</v>
      </c>
      <c r="AM115" s="73" t="n">
        <v>-22.14</v>
      </c>
      <c r="AN115" s="73" t="n">
        <v>-9.06</v>
      </c>
      <c r="AO115" s="73" t="n">
        <v>-8.02</v>
      </c>
      <c r="AP115" s="63" t="inlineStr">
        <is>
          <t>Hang Seng Commerce &amp; Industry sub-index</t>
        </is>
      </c>
      <c r="AQ115" s="73" t="n">
        <v>54.76</v>
      </c>
      <c r="AR115" s="64" t="inlineStr">
        <is>
          <t>2026-08-20</t>
        </is>
      </c>
      <c r="AS115" s="65" t="n">
        <v>407.3</v>
      </c>
      <c r="AT115" s="68" t="n">
        <v>39.3</v>
      </c>
      <c r="AU115" s="63" t="inlineStr">
        <is>
          <t>Y</t>
        </is>
      </c>
      <c r="AV115" s="74" t="n">
        <v>13.6</v>
      </c>
      <c r="AW115" s="74" t="n"/>
      <c r="AX115" s="74" t="n"/>
      <c r="AY115" s="74" t="n">
        <v>1.3</v>
      </c>
      <c r="AZ115" s="75" t="inlineStr">
        <is>
          <t>N</t>
        </is>
      </c>
      <c r="BA115" s="76">
        <f>IF('BBG Verify'!K115="","not filed — run on terminal",'BBG Verify'!K115)</f>
        <v/>
      </c>
      <c r="BB115" s="63" t="inlineStr">
        <is>
          <t>N/A</t>
        </is>
      </c>
      <c r="BC115" s="63" t="inlineStr">
        <is>
          <t>N/A</t>
        </is>
      </c>
      <c r="BD115" s="63" t="inlineStr">
        <is>
          <t>N/A</t>
        </is>
      </c>
      <c r="BE115" s="63" t="inlineStr">
        <is>
          <t>N/A</t>
        </is>
      </c>
      <c r="BF115" s="63" t="inlineStr">
        <is>
          <t>N/A</t>
        </is>
      </c>
      <c r="BG115" s="75" t="n"/>
      <c r="BH115" s="63" t="inlineStr">
        <is>
          <t>Grande Capital Limited</t>
        </is>
      </c>
      <c r="BI115" s="63" t="inlineStr">
        <is>
          <t>First Shanghai Securities Limited; CRIC Securities Company Limited; Zhongtai International Securities Limited</t>
        </is>
      </c>
      <c r="BJ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7">
        <f>HYPERLINK("https://www1.hkexnews.hk/listedco/listconews/sehk/2022/0617/2022061700066.htm","prospectus")</f>
        <v/>
      </c>
      <c r="BL115" s="77">
        <f>HYPERLINK("https://www1.hkexnews.hk/listedco/listconews/sehk/2022/0629/2022062900108.htm","allotment")</f>
        <v/>
      </c>
      <c r="BM115" s="77">
        <f>HYPERLINK("https://www1.hkexnews.hk/listedco/listconews/sehk/2022/0722/2022072201214.pdf","stabilisation")</f>
        <v/>
      </c>
      <c r="BN115" s="75" t="n"/>
      <c r="BO115" s="63" t="inlineStr">
        <is>
          <t>A/H: no A-share listing · sponsor: English name not in the filing text; AAStocks 保薦人 shown · cornerstone list: no cornerstone tranche in this deal</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7" t="n">
        <v>1.07</v>
      </c>
      <c r="W116" s="63" t="n"/>
      <c r="X116" s="63" t="n"/>
      <c r="Y116" s="67" t="n">
        <v>10.33</v>
      </c>
      <c r="Z116" s="63" t="inlineStr">
        <is>
          <t>lapsed</t>
        </is>
      </c>
      <c r="AA116" s="72" t="n">
        <v>0</v>
      </c>
      <c r="AB116" s="73" t="n">
        <v>1.35</v>
      </c>
      <c r="AC116" s="73" t="n">
        <v>-1.33</v>
      </c>
      <c r="AD116" s="73" t="n">
        <v>-2.07</v>
      </c>
      <c r="AE116" s="73" t="n">
        <v>-30.05</v>
      </c>
      <c r="AF116" s="73" t="n">
        <v>-60.62</v>
      </c>
      <c r="AG116" s="73" t="n">
        <v>-2.07</v>
      </c>
      <c r="AH116" s="73" t="n">
        <v>-30.05</v>
      </c>
      <c r="AI116" s="73" t="n">
        <v>-60.62</v>
      </c>
      <c r="AJ116" s="73" t="n">
        <v>5.15</v>
      </c>
      <c r="AK116" s="73" t="n">
        <v>-16.97</v>
      </c>
      <c r="AL116" s="73" t="n">
        <v>-30.77</v>
      </c>
      <c r="AM116" s="73" t="n">
        <v>-17.48</v>
      </c>
      <c r="AN116" s="73" t="n">
        <v>-13.08</v>
      </c>
      <c r="AO116" s="73" t="n">
        <v>-12.57</v>
      </c>
      <c r="AP116" s="63" t="inlineStr">
        <is>
          <t>HSTECH (Hang Seng TECH ETF)</t>
        </is>
      </c>
      <c r="AQ116" s="73" t="n">
        <v>-30.31</v>
      </c>
      <c r="AR116" s="64" t="inlineStr">
        <is>
          <t>2026-08-20</t>
        </is>
      </c>
      <c r="AS116" s="65" t="n">
        <v>2356.2</v>
      </c>
      <c r="AT116" s="68" t="n">
        <v>-1368.3</v>
      </c>
      <c r="AU116" s="63" t="inlineStr">
        <is>
          <t>N</t>
        </is>
      </c>
      <c r="AV116" s="63" t="inlineStr">
        <is>
          <t>n/m</t>
        </is>
      </c>
      <c r="AW116" s="74" t="n"/>
      <c r="AX116" s="74" t="n"/>
      <c r="AY116" s="74" t="n">
        <v>5.6</v>
      </c>
      <c r="AZ116" s="75" t="inlineStr">
        <is>
          <t>N</t>
        </is>
      </c>
      <c r="BA116" s="76">
        <f>IF('BBG Verify'!K116="","not filed — run on terminal",'BBG Verify'!K116)</f>
        <v/>
      </c>
      <c r="BB116" s="63" t="inlineStr">
        <is>
          <t>N/A</t>
        </is>
      </c>
      <c r="BC116" s="63" t="inlineStr">
        <is>
          <t>N/A</t>
        </is>
      </c>
      <c r="BD116" s="63" t="inlineStr">
        <is>
          <t>N/A</t>
        </is>
      </c>
      <c r="BE116" s="63" t="inlineStr">
        <is>
          <t>N/A</t>
        </is>
      </c>
      <c r="BF116" s="63" t="inlineStr">
        <is>
          <t>N/A</t>
        </is>
      </c>
      <c r="BG116" s="75" t="inlineStr">
        <is>
          <t>China International Capital Corporation Hong Kong Securities Limited; Merrill Lynch (Asia Pacific) Limited; Morgan Stanley Asia Limited</t>
        </is>
      </c>
      <c r="BH116" s="63" t="inlineStr">
        <is>
          <t>China International Capital Corporation Hong Kong Securities Limited; Morgan Stanley Asia Limited; Merrill Lynch (Asia Pacific) Limited</t>
        </is>
      </c>
      <c r="BI116" s="63" t="inlineStr">
        <is>
          <t>China International Capital Corporation Hong Kong Securities Limited; Morgan Stanley Asia Limited; Merrill Lynch (Asia Pacific) Limited; CMB International Capital Limited; Tiger Brokers (HK) Global Limited</t>
        </is>
      </c>
      <c r="BJ116" s="63" t="inlineStr">
        <is>
          <t>China International Capital Corporation Hong Kong Securities Limited; CMB International Capital Corporation Limited; Merrill Lynch (Asia Pacific) Limited; Morgan Stanley Asia Limited; Tiger Brokers (HK) Global Limited</t>
        </is>
      </c>
      <c r="BK116" s="77">
        <f>HYPERLINK("https://www1.hkexnews.hk/listedco/listconews/sehk/2022/0622/2022062200189.pdf","prospectus")</f>
        <v/>
      </c>
      <c r="BL116" s="77">
        <f>HYPERLINK("https://www1.hkexnews.hk/listedco/listconews/sehk/2022/0704/2022070400032.htm","allotment")</f>
        <v/>
      </c>
      <c r="BM116" s="77">
        <f>HYPERLINK("https://www1.hkexnews.hk/listedco/listconews/sehk/2022/0727/2022072701192.pdf","stabilisation")</f>
        <v/>
      </c>
      <c r="BN116" s="75" t="n"/>
      <c r="BO116"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83.40000000000001</v>
      </c>
      <c r="J117" s="63" t="inlineStr">
        <is>
          <t>net proceeds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7" t="n">
        <v>0.18</v>
      </c>
      <c r="W117" s="63" t="inlineStr">
        <is>
          <t>Harvest International Premium Value (Secondary Market) Fund SPC; Sanofi Foreign Participations B.V; Tasly International Capital Limited; Yangtze River (Hong Kong) Limited</t>
        </is>
      </c>
      <c r="X117" s="63" t="inlineStr">
        <is>
          <t>harvest;sanofi;tasly;yangtze</t>
        </is>
      </c>
      <c r="Y117" s="67" t="n">
        <v>15.23</v>
      </c>
      <c r="Z117" s="63" t="inlineStr">
        <is>
          <t>lapsed</t>
        </is>
      </c>
      <c r="AA117" s="72" t="n">
        <v>-7.54</v>
      </c>
      <c r="AB117" s="73" t="n">
        <v>0</v>
      </c>
      <c r="AC117" s="73" t="n">
        <v>-7.54</v>
      </c>
      <c r="AD117" s="73" t="n">
        <v>-9.84</v>
      </c>
      <c r="AE117" s="73" t="n">
        <v>-33.77</v>
      </c>
      <c r="AF117" s="73" t="n">
        <v>-54.43</v>
      </c>
      <c r="AG117" s="73" t="n">
        <v>-2.49</v>
      </c>
      <c r="AH117" s="73" t="n">
        <v>-28.37</v>
      </c>
      <c r="AI117" s="73" t="n">
        <v>-50.71</v>
      </c>
      <c r="AJ117" s="73" t="n">
        <v>-2.59</v>
      </c>
      <c r="AK117" s="73" t="n">
        <v>-20.96</v>
      </c>
      <c r="AL117" s="73" t="n">
        <v>-30.06</v>
      </c>
      <c r="AM117" s="73" t="n">
        <v>-17.17</v>
      </c>
      <c r="AN117" s="73" t="n">
        <v>-12.81</v>
      </c>
      <c r="AO117" s="73" t="n">
        <v>-11.2</v>
      </c>
      <c r="AP117" s="63" t="inlineStr">
        <is>
          <t>China Biotech ETF (HS biotech proxy)</t>
        </is>
      </c>
      <c r="AQ117" s="73" t="n">
        <v>-98.33</v>
      </c>
      <c r="AR117" s="64" t="inlineStr">
        <is>
          <t>2026-08-20</t>
        </is>
      </c>
      <c r="AS117" s="65" t="n">
        <v>1932.4</v>
      </c>
      <c r="AT117" s="68" t="n">
        <v>-3186.6</v>
      </c>
      <c r="AU117" s="63" t="inlineStr">
        <is>
          <t>N</t>
        </is>
      </c>
      <c r="AV117" s="63" t="inlineStr">
        <is>
          <t>n/m</t>
        </is>
      </c>
      <c r="AW117" s="74" t="n"/>
      <c r="AX117" s="74" t="n"/>
      <c r="AY117" s="74" t="n">
        <v>9.300000000000001</v>
      </c>
      <c r="AZ117" s="75" t="inlineStr">
        <is>
          <t>N</t>
        </is>
      </c>
      <c r="BA117" s="76">
        <f>IF('BBG Verify'!K117="","not filed — run on terminal",'BBG Verify'!K117)</f>
        <v/>
      </c>
      <c r="BB117" s="63" t="inlineStr">
        <is>
          <t>N/A</t>
        </is>
      </c>
      <c r="BC117" s="63" t="inlineStr">
        <is>
          <t>N/A</t>
        </is>
      </c>
      <c r="BD117" s="63" t="inlineStr">
        <is>
          <t>N/A</t>
        </is>
      </c>
      <c r="BE117" s="63" t="inlineStr">
        <is>
          <t>N/A</t>
        </is>
      </c>
      <c r="BF117" s="63" t="inlineStr">
        <is>
          <t>N/A</t>
        </is>
      </c>
      <c r="BG117" s="75" t="inlineStr">
        <is>
          <t>Morgan Stanley Asia Limited; J.P. Morgan Securities (Far East) Limited; J.P. Morgan Securities (Asia Pacific) Limited; China International Capital Corporation Hong Kong Securities Limited</t>
        </is>
      </c>
      <c r="BH117" s="63" t="inlineStr">
        <is>
          <t>Morgan Stanley Asia Limited; J.P. Morgan Securities (Far East) Limited</t>
        </is>
      </c>
      <c r="BI117" s="63" t="inlineStr">
        <is>
          <t>Morgan Stanley Asia Limited; J.P. Morgan Securities (Asia Pacific) Limited; China International Capital Corporation Hong Kong Securities Limited; CMB International Capital Limited; J.P. Morgan Securities plc; Valuable Capital Limited</t>
        </is>
      </c>
      <c r="BJ117" s="63" t="inlineStr">
        <is>
          <t>China International Capital Corporation Hong Kong Securities Limited; CMB International Capital Limited; J.P. Morgan Securities (Asia Pacific) Limited; Morgan Stanley Asia Limited; Valuable Capital Limited</t>
        </is>
      </c>
      <c r="BK117" s="77">
        <f>HYPERLINK("https://www1.hkexnews.hk/listedco/listconews/sehk/2022/0623/2022062300064.htm","prospectus")</f>
        <v/>
      </c>
      <c r="BL117" s="77">
        <f>HYPERLINK("https://www1.hkexnews.hk/listedco/listconews/sehk/2022/0705/2022070500012.htm","allotment")</f>
        <v/>
      </c>
      <c r="BM117" s="77">
        <f>HYPERLINK("https://www1.hkexnews.hk/listedco/listconews/sehk/2022/0728/2022072801570.pdf","stabilisation")</f>
        <v/>
      </c>
      <c r="BN117" s="75" t="n"/>
      <c r="BO117" s="63"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28.6</v>
      </c>
      <c r="J118" s="63" t="inlineStr">
        <is>
          <t>net proceeds</t>
        </is>
      </c>
      <c r="K118" s="66" t="n"/>
      <c r="L118" s="66" t="n">
        <v>7.92</v>
      </c>
      <c r="M118" s="66" t="n">
        <v>5.92</v>
      </c>
      <c r="N118" s="63" t="inlineStr">
        <is>
          <t>N</t>
        </is>
      </c>
      <c r="O118" s="67" t="n">
        <v>74.7</v>
      </c>
      <c r="P118" s="67" t="n"/>
      <c r="Q118" s="68" t="n">
        <v>967.9</v>
      </c>
      <c r="R118" s="63" t="inlineStr">
        <is>
          <t>aastocks:上市市值 at the struck price</t>
        </is>
      </c>
      <c r="S118" s="69" t="n">
        <v>7.39</v>
      </c>
      <c r="T118" s="70" t="n">
        <v>1.2</v>
      </c>
      <c r="U118" s="71" t="n">
        <v>0</v>
      </c>
      <c r="V118" s="67" t="n">
        <v>2.95</v>
      </c>
      <c r="W118" s="63" t="n"/>
      <c r="X118" s="63" t="n"/>
      <c r="Y118" s="67" t="n">
        <v>15</v>
      </c>
      <c r="Z118" s="63" t="inlineStr">
        <is>
          <t>lapsed</t>
        </is>
      </c>
      <c r="AA118" s="72" t="n">
        <v>-25.17</v>
      </c>
      <c r="AB118" s="73" t="n">
        <v>-15.37</v>
      </c>
      <c r="AC118" s="73" t="n">
        <v>-11.58</v>
      </c>
      <c r="AD118" s="73" t="n">
        <v>-39.19</v>
      </c>
      <c r="AE118" s="73" t="n">
        <v>-57.43</v>
      </c>
      <c r="AF118" s="73" t="n">
        <v>-60.3</v>
      </c>
      <c r="AG118" s="73" t="n">
        <v>-18.74</v>
      </c>
      <c r="AH118" s="73" t="n">
        <v>-43.11</v>
      </c>
      <c r="AI118" s="73" t="n">
        <v>-46.95</v>
      </c>
      <c r="AJ118" s="73" t="n">
        <v>-31.5</v>
      </c>
      <c r="AK118" s="73" t="n">
        <v>-46.54</v>
      </c>
      <c r="AL118" s="73" t="n">
        <v>-41.93</v>
      </c>
      <c r="AM118" s="73" t="n">
        <v>-31.36</v>
      </c>
      <c r="AN118" s="73" t="n">
        <v>-10.89</v>
      </c>
      <c r="AO118" s="73" t="n">
        <v>-11.75</v>
      </c>
      <c r="AP118" s="63" t="inlineStr">
        <is>
          <t>Hang Seng Properties sub-index</t>
        </is>
      </c>
      <c r="AQ118" s="73" t="n">
        <v>-62.67</v>
      </c>
      <c r="AR118" s="64" t="inlineStr">
        <is>
          <t>2026-08-20</t>
        </is>
      </c>
      <c r="AS118" s="65" t="n">
        <v>641.1</v>
      </c>
      <c r="AT118" s="68" t="n">
        <v>84.7</v>
      </c>
      <c r="AU118" s="63" t="inlineStr">
        <is>
          <t>Y</t>
        </is>
      </c>
      <c r="AV118" s="74" t="n">
        <v>11.4</v>
      </c>
      <c r="AW118" s="74" t="n"/>
      <c r="AX118" s="74" t="n">
        <v>7.4</v>
      </c>
      <c r="AY118" s="74" t="n">
        <v>1.5</v>
      </c>
      <c r="AZ118" s="75" t="inlineStr">
        <is>
          <t>N</t>
        </is>
      </c>
      <c r="BA118" s="76">
        <f>IF('BBG Verify'!K118="","not filed — run on terminal",'BBG Verify'!K118)</f>
        <v/>
      </c>
      <c r="BB118" s="63" t="inlineStr">
        <is>
          <t>N/A</t>
        </is>
      </c>
      <c r="BC118" s="63" t="inlineStr">
        <is>
          <t>N/A</t>
        </is>
      </c>
      <c r="BD118" s="63" t="inlineStr">
        <is>
          <t>N/A</t>
        </is>
      </c>
      <c r="BE118" s="63" t="inlineStr">
        <is>
          <t>N/A</t>
        </is>
      </c>
      <c r="BF118" s="63" t="inlineStr">
        <is>
          <t>N/A</t>
        </is>
      </c>
      <c r="BG118" s="75" t="inlineStr">
        <is>
          <t>ABCI Capital Limited</t>
        </is>
      </c>
      <c r="BH118" s="63" t="inlineStr">
        <is>
          <t>ABCI Capital Limited</t>
        </is>
      </c>
      <c r="BI118" s="63"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7">
        <f>HYPERLINK("https://www1.hkexnews.hk/listedco/listconews/sehk/2022/0627/2022062700017.pdf","prospectus")</f>
        <v/>
      </c>
      <c r="BL118" s="77">
        <f>HYPERLINK("https://www1.hkexnews.hk/listedco/listconews/sehk/2022/0707/2022070700020.htm","allotment")</f>
        <v/>
      </c>
      <c r="BM118" s="77">
        <f>HYPERLINK("https://www1.hkexnews.hk/listedco/listconews/sehk/2022/0801/2022080101943.pdf","stabilisation")</f>
        <v/>
      </c>
      <c r="BN118" s="75" t="n"/>
      <c r="BO118" s="63" t="inlineStr">
        <is>
          <t>range low: cap-only pricing — the filing publishes a Maximum Offer Price and no indicative floor · 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7" t="n">
        <v>4.04</v>
      </c>
      <c r="W119" s="63" t="inlineStr">
        <is>
          <t>Colorful Cloud</t>
        </is>
      </c>
      <c r="X119" s="63" t="inlineStr">
        <is>
          <t>colorful</t>
        </is>
      </c>
      <c r="Y119" s="67" t="n">
        <v>5.62</v>
      </c>
      <c r="Z119" s="63" t="inlineStr">
        <is>
          <t>lapsed</t>
        </is>
      </c>
      <c r="AA119" s="72" t="n">
        <v>0.64</v>
      </c>
      <c r="AB119" s="73" t="n">
        <v>0</v>
      </c>
      <c r="AC119" s="73" t="n">
        <v>0.64</v>
      </c>
      <c r="AD119" s="73" t="n">
        <v>-7.05</v>
      </c>
      <c r="AE119" s="73" t="n">
        <v>4.17</v>
      </c>
      <c r="AF119" s="73" t="n">
        <v>-3.21</v>
      </c>
      <c r="AG119" s="73" t="n">
        <v>-7.64</v>
      </c>
      <c r="AH119" s="73" t="n">
        <v>3.51</v>
      </c>
      <c r="AI119" s="73" t="n">
        <v>-3.83</v>
      </c>
      <c r="AJ119" s="73" t="n">
        <v>-0.33</v>
      </c>
      <c r="AK119" s="73" t="n">
        <v>12.94</v>
      </c>
      <c r="AL119" s="73" t="n">
        <v>22.36</v>
      </c>
      <c r="AM119" s="73" t="n">
        <v>12.93</v>
      </c>
      <c r="AN119" s="73" t="n">
        <v>-8.77</v>
      </c>
      <c r="AO119" s="73" t="n">
        <v>-9.42</v>
      </c>
      <c r="AP119" s="63" t="inlineStr">
        <is>
          <t>HSTECH (Hang Seng TECH ETF)</t>
        </is>
      </c>
      <c r="AQ119" s="73" t="n">
        <v>-83.73</v>
      </c>
      <c r="AR119" s="64" t="inlineStr">
        <is>
          <t>2026-08-20</t>
        </is>
      </c>
      <c r="AS119" s="65" t="n">
        <v>876.4</v>
      </c>
      <c r="AT119" s="68" t="n">
        <v>32.2</v>
      </c>
      <c r="AU119" s="63" t="inlineStr">
        <is>
          <t>Y</t>
        </is>
      </c>
      <c r="AV119" s="74" t="n">
        <v>120.2</v>
      </c>
      <c r="AW119" s="74" t="n"/>
      <c r="AX119" s="74" t="n"/>
      <c r="AY119" s="74" t="n">
        <v>4.4</v>
      </c>
      <c r="AZ119" s="75" t="inlineStr">
        <is>
          <t>N</t>
        </is>
      </c>
      <c r="BA119" s="76">
        <f>IF('BBG Verify'!K119="","not filed — run on terminal",'BBG Verify'!K119)</f>
        <v/>
      </c>
      <c r="BB119" s="63" t="inlineStr">
        <is>
          <t>N/A</t>
        </is>
      </c>
      <c r="BC119" s="63" t="inlineStr">
        <is>
          <t>N/A</t>
        </is>
      </c>
      <c r="BD119" s="63" t="inlineStr">
        <is>
          <t>N/A</t>
        </is>
      </c>
      <c r="BE119" s="63" t="inlineStr">
        <is>
          <t>N/A</t>
        </is>
      </c>
      <c r="BF119" s="63" t="inlineStr">
        <is>
          <t>N/A</t>
        </is>
      </c>
      <c r="BG119" s="75" t="inlineStr">
        <is>
          <t>CMB International Capital Limited</t>
        </is>
      </c>
      <c r="BH119" s="63" t="inlineStr">
        <is>
          <t>CMB International Capital Corporation Limited</t>
        </is>
      </c>
      <c r="BI119" s="63" t="inlineStr">
        <is>
          <t>CMB International Capital Limited; Huatai Financial Holdings (Hong Kong) Limited; CLSA Limited; Guotai Junan Securities (Hong Kong) Limited; Citrus Securities Limited</t>
        </is>
      </c>
      <c r="BJ119" s="63" t="inlineStr">
        <is>
          <t>Citrus Securities Limited; CLSA Limited; CMB International Capital Limited; Guotai Junan Securities (Hong Kong) Limited; Huatai Financial Holdings (Hong Kong) Limited; Livermore Holdings Limited</t>
        </is>
      </c>
      <c r="BK119" s="77">
        <f>HYPERLINK("https://www1.hkexnews.hk/listedco/listconews/sehk/2022/0624/2022062400033.pdf","prospectus")</f>
        <v/>
      </c>
      <c r="BL119" s="77">
        <f>HYPERLINK("https://www1.hkexnews.hk/listedco/listconews/sehk/2022/0707/2022070700032.htm","allotment")</f>
        <v/>
      </c>
      <c r="BM119" s="77">
        <f>HYPERLINK("https://www1.hkexnews.hk/listedco/listconews/sehk/2022/0731/2022073100021.pdf","stabilisation")</f>
        <v/>
      </c>
      <c r="BN119" s="75" t="n"/>
      <c r="BO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7" t="n">
        <v>2</v>
      </c>
      <c r="W120" s="63" t="n"/>
      <c r="X120" s="63" t="n"/>
      <c r="Y120" s="67" t="n">
        <v>18.4</v>
      </c>
      <c r="Z120" s="63" t="inlineStr">
        <is>
          <t>partial</t>
        </is>
      </c>
      <c r="AA120" s="72" t="n">
        <v>-15.38</v>
      </c>
      <c r="AB120" s="73" t="n">
        <v>-10.26</v>
      </c>
      <c r="AC120" s="73" t="n">
        <v>-5.71</v>
      </c>
      <c r="AD120" s="73" t="n">
        <v>-18.11</v>
      </c>
      <c r="AE120" s="73" t="n">
        <v>-33.49</v>
      </c>
      <c r="AF120" s="73" t="n">
        <v>-52.88</v>
      </c>
      <c r="AG120" s="73" t="n">
        <v>-3.23</v>
      </c>
      <c r="AH120" s="73" t="n">
        <v>-21.4</v>
      </c>
      <c r="AI120" s="73" t="n">
        <v>-44.32</v>
      </c>
      <c r="AJ120" s="73" t="n">
        <v>-13.29</v>
      </c>
      <c r="AK120" s="73" t="n">
        <v>-25.89</v>
      </c>
      <c r="AL120" s="73" t="n">
        <v>-28.65</v>
      </c>
      <c r="AM120" s="73" t="n">
        <v>-14.39</v>
      </c>
      <c r="AN120" s="73" t="n">
        <v>-7.6</v>
      </c>
      <c r="AO120" s="73" t="n">
        <v>-7.01</v>
      </c>
      <c r="AP120" s="63" t="inlineStr">
        <is>
          <t>China Biotech ETF (HS biotech proxy)</t>
        </is>
      </c>
      <c r="AQ120" s="73" t="n">
        <v>-96.81</v>
      </c>
      <c r="AR120" s="64" t="inlineStr">
        <is>
          <t>2026-08-20</t>
        </is>
      </c>
      <c r="AS120" s="65" t="n">
        <v>89.3</v>
      </c>
      <c r="AT120" s="68" t="n">
        <v>-697</v>
      </c>
      <c r="AU120" s="63" t="inlineStr">
        <is>
          <t>N</t>
        </is>
      </c>
      <c r="AV120" s="63" t="inlineStr">
        <is>
          <t>n/m</t>
        </is>
      </c>
      <c r="AW120" s="74" t="n"/>
      <c r="AX120" s="74" t="n"/>
      <c r="AY120" s="74" t="n">
        <v>81.59999999999999</v>
      </c>
      <c r="AZ120" s="75" t="inlineStr">
        <is>
          <t>N</t>
        </is>
      </c>
      <c r="BA120" s="76">
        <f>IF('BBG Verify'!K120="","not filed — run on terminal",'BBG Verify'!K120)</f>
        <v/>
      </c>
      <c r="BB120" s="63" t="inlineStr">
        <is>
          <t>N/A</t>
        </is>
      </c>
      <c r="BC120" s="63" t="inlineStr">
        <is>
          <t>N/A</t>
        </is>
      </c>
      <c r="BD120" s="63" t="inlineStr">
        <is>
          <t>N/A</t>
        </is>
      </c>
      <c r="BE120" s="63" t="inlineStr">
        <is>
          <t>N/A</t>
        </is>
      </c>
      <c r="BF120" s="63" t="inlineStr">
        <is>
          <t>N/A</t>
        </is>
      </c>
      <c r="BG120" s="75" t="inlineStr">
        <is>
          <t>Huatai Financial Holdings (Hong Kong) Limited</t>
        </is>
      </c>
      <c r="BH120" s="63" t="inlineStr">
        <is>
          <t>Huatai Financial Holdings (Hong Kong) Limited</t>
        </is>
      </c>
      <c r="BI120" s="63" t="inlineStr">
        <is>
          <t>Huatai Financial Holdings (Hong Kong) Limited; Zhongtai International Securities Limited; BOCOM International Securities Limited; Eddid Securities and Futures Limited</t>
        </is>
      </c>
      <c r="BJ120" s="63" t="inlineStr">
        <is>
          <t>Beta International Securities Limited; Eddid Securities and Futures Limited; Huatai Financial Holdings (Hong Kong) Limited; Livermore Holdings Limited; Zhongtai International Securities Limited</t>
        </is>
      </c>
      <c r="BK120" s="77">
        <f>HYPERLINK("https://www1.hkexnews.hk/listedco/listconews/sehk/2022/0627/2022062700021.pdf","prospectus")</f>
        <v/>
      </c>
      <c r="BL120" s="77">
        <f>HYPERLINK("https://www1.hkexnews.hk/listedco/listconews/sehk/2022/0707/2022070700056.htm","allotment")</f>
        <v/>
      </c>
      <c r="BM120" s="77">
        <f>HYPERLINK("https://www1.hkexnews.hk/listedco/listconews/sehk/2022/0801/2022080100005.pdf","stabilisation")</f>
        <v/>
      </c>
      <c r="BN120" s="75" t="n"/>
      <c r="BO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60.3</v>
      </c>
      <c r="J121" s="63" t="inlineStr">
        <is>
          <t>net proceeds</t>
        </is>
      </c>
      <c r="K121" s="66" t="n">
        <v>4.83</v>
      </c>
      <c r="L121" s="66" t="n">
        <v>5.36</v>
      </c>
      <c r="M121" s="66" t="n">
        <v>5.36</v>
      </c>
      <c r="N121" s="63" t="inlineStr">
        <is>
          <t>Y</t>
        </is>
      </c>
      <c r="O121" s="67" t="n">
        <v>100</v>
      </c>
      <c r="P121" s="67" t="n">
        <v>100</v>
      </c>
      <c r="Q121" s="68" t="n">
        <v>2782.9</v>
      </c>
      <c r="R121" s="63" t="inlineStr">
        <is>
          <t>aastocks:上市市值 at the struck price</t>
        </is>
      </c>
      <c r="S121" s="69" t="n">
        <v>2.21</v>
      </c>
      <c r="T121" s="70" t="n">
        <v>1.36</v>
      </c>
      <c r="U121" s="71" t="n">
        <v>13.8</v>
      </c>
      <c r="V121" s="67" t="n">
        <v>1.87</v>
      </c>
      <c r="W121" s="63" t="inlineStr">
        <is>
          <t>Baheal Wellness Limited; Kangshi No.1 LP; Luns Family Holdings Limited; Zheng Jingjie</t>
        </is>
      </c>
      <c r="X121" s="63" t="inlineStr">
        <is>
          <t>baheal;kangshi;luns;zheng-jingjie</t>
        </is>
      </c>
      <c r="Y121" s="67" t="n">
        <v>16.6667</v>
      </c>
      <c r="Z121" s="63" t="inlineStr">
        <is>
          <t>partial</t>
        </is>
      </c>
      <c r="AA121" s="72" t="n">
        <v>0</v>
      </c>
      <c r="AB121" s="73" t="n">
        <v>-11.57</v>
      </c>
      <c r="AC121" s="73" t="n">
        <v>13.08</v>
      </c>
      <c r="AD121" s="73" t="n">
        <v>11.94</v>
      </c>
      <c r="AE121" s="73" t="n">
        <v>-1.49</v>
      </c>
      <c r="AF121" s="73" t="n">
        <v>-38.06</v>
      </c>
      <c r="AG121" s="73" t="n">
        <v>11.94</v>
      </c>
      <c r="AH121" s="73" t="n">
        <v>-1.49</v>
      </c>
      <c r="AI121" s="73" t="n">
        <v>-38.06</v>
      </c>
      <c r="AJ121" s="73" t="n">
        <v>15.54</v>
      </c>
      <c r="AK121" s="73" t="n">
        <v>7.56</v>
      </c>
      <c r="AL121" s="73" t="n">
        <v>-12.31</v>
      </c>
      <c r="AM121" s="73" t="n">
        <v>4.62</v>
      </c>
      <c r="AN121" s="73" t="n">
        <v>-9.050000000000001</v>
      </c>
      <c r="AO121" s="73" t="n">
        <v>-6.11</v>
      </c>
      <c r="AP121" s="63" t="inlineStr">
        <is>
          <t>China Biotech ETF (HS biotech proxy)</t>
        </is>
      </c>
      <c r="AQ121" s="73" t="n">
        <v>-4.85</v>
      </c>
      <c r="AR121" s="64" t="inlineStr">
        <is>
          <t>2026-08-20</t>
        </is>
      </c>
      <c r="AS121" s="65" t="n">
        <v>356.6</v>
      </c>
      <c r="AT121" s="68" t="n">
        <v>79.2</v>
      </c>
      <c r="AU121" s="63" t="inlineStr">
        <is>
          <t>Y</t>
        </is>
      </c>
      <c r="AV121" s="74" t="n">
        <v>35.1</v>
      </c>
      <c r="AW121" s="74" t="n"/>
      <c r="AX121" s="74" t="n">
        <v>22.1</v>
      </c>
      <c r="AY121" s="74" t="n">
        <v>7.8</v>
      </c>
      <c r="AZ121" s="75" t="inlineStr">
        <is>
          <t>N</t>
        </is>
      </c>
      <c r="BA121" s="76">
        <f>IF('BBG Verify'!K121="","not filed — run on terminal",'BBG Verify'!K121)</f>
        <v/>
      </c>
      <c r="BB121" s="63" t="inlineStr">
        <is>
          <t>N/A</t>
        </is>
      </c>
      <c r="BC121" s="63" t="inlineStr">
        <is>
          <t>N/A</t>
        </is>
      </c>
      <c r="BD121" s="63" t="inlineStr">
        <is>
          <t>N/A</t>
        </is>
      </c>
      <c r="BE121" s="63" t="inlineStr">
        <is>
          <t>N/A</t>
        </is>
      </c>
      <c r="BF121" s="63" t="inlineStr">
        <is>
          <t>N/A</t>
        </is>
      </c>
      <c r="BG121" s="75" t="inlineStr">
        <is>
          <t>BNP Paribas Securities (Asia) Limited</t>
        </is>
      </c>
      <c r="BH121" s="63" t="inlineStr">
        <is>
          <t>BNP Paribas Securities (Asia) Limited</t>
        </is>
      </c>
      <c r="BI121" s="63" t="inlineStr">
        <is>
          <t>BNP Paribas Securities (Asia) Limited; CCB International Capital Limited; Orient Securities (Hong Kong) Limited</t>
        </is>
      </c>
      <c r="BJ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7">
        <f>HYPERLINK("https://www1.hkexnews.hk/listedco/listconews/sehk/2022/0628/2022062800038.pdf","prospectus")</f>
        <v/>
      </c>
      <c r="BL121" s="77">
        <f>HYPERLINK("https://www1.hkexnews.hk/listedco/listconews/sehk/2022/0711/2022071100010.htm","allotment")</f>
        <v/>
      </c>
      <c r="BM121" s="77">
        <f>HYPERLINK("https://www1.hkexnews.hk/listedco/listconews/sehk/2022/0804/2022080401926.pdf","stabilisation")</f>
        <v/>
      </c>
      <c r="BN121" s="75" t="n"/>
      <c r="BO121" s="63" t="inlineStr">
        <is>
          <t>price range: fixed-price offering (no indicative range) · A/H: no A-share listing · cornerstone: AAStocks institutional table includes non-cornerstone orders (superset) — cornerstone % is from the prospectus</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57.8</v>
      </c>
      <c r="J122" s="63" t="inlineStr">
        <is>
          <t>net proceeds</t>
        </is>
      </c>
      <c r="K122" s="66" t="n"/>
      <c r="L122" s="66" t="n">
        <v>10</v>
      </c>
      <c r="M122" s="66" t="n">
        <v>7.6</v>
      </c>
      <c r="N122" s="63" t="inlineStr">
        <is>
          <t>N</t>
        </is>
      </c>
      <c r="O122" s="67" t="n">
        <v>76</v>
      </c>
      <c r="P122" s="67" t="n"/>
      <c r="Q122" s="68" t="n">
        <v>3317.2</v>
      </c>
      <c r="R122" s="63" t="inlineStr">
        <is>
          <t>aastocks:上市市值 at the struck price</t>
        </is>
      </c>
      <c r="S122" s="69" t="n">
        <v>1.73</v>
      </c>
      <c r="T122" s="70" t="n">
        <v>1.62</v>
      </c>
      <c r="U122" s="71" t="n">
        <v>54.22</v>
      </c>
      <c r="V122" s="67" t="n">
        <v>0.8</v>
      </c>
      <c r="W122" s="63" t="inlineStr">
        <is>
          <t>Azure Telecommunication; Eastland; Gold Synergy; Gui Chunfang; Jin Tao; Tower Lead; Yang Xiaojie; Zheng Changping</t>
        </is>
      </c>
      <c r="X122" s="63" t="inlineStr">
        <is>
          <t>azure;eastland;gold;gui;jin-tao;tower;yang-xiaojie;zheng-changping</t>
        </is>
      </c>
      <c r="Y122" s="67" t="n">
        <v>15</v>
      </c>
      <c r="Z122" s="63" t="inlineStr">
        <is>
          <t>lapsed</t>
        </is>
      </c>
      <c r="AA122" s="72" t="n">
        <v>-5.26</v>
      </c>
      <c r="AB122" s="73" t="n">
        <v>-28.95</v>
      </c>
      <c r="AC122" s="73" t="n">
        <v>33.34</v>
      </c>
      <c r="AD122" s="73" t="n">
        <v>-3.03</v>
      </c>
      <c r="AE122" s="73" t="n">
        <v>-7.89</v>
      </c>
      <c r="AF122" s="73" t="n">
        <v>-6.32</v>
      </c>
      <c r="AG122" s="73" t="n">
        <v>2.35</v>
      </c>
      <c r="AH122" s="73" t="n">
        <v>-2.78</v>
      </c>
      <c r="AI122" s="73" t="n">
        <v>-1.12</v>
      </c>
      <c r="AJ122" s="73" t="n">
        <v>-1.27</v>
      </c>
      <c r="AK122" s="73" t="n">
        <v>1.14</v>
      </c>
      <c r="AL122" s="73" t="n">
        <v>22.53</v>
      </c>
      <c r="AM122" s="73" t="n">
        <v>4.83</v>
      </c>
      <c r="AN122" s="73" t="n">
        <v>-9.029999999999999</v>
      </c>
      <c r="AO122" s="73" t="n">
        <v>-7.61</v>
      </c>
      <c r="AP122" s="63" t="inlineStr">
        <is>
          <t>HSTECH (Hang Seng TECH ETF)</t>
        </is>
      </c>
      <c r="AQ122" s="73" t="n">
        <v>-24.61</v>
      </c>
      <c r="AR122" s="64" t="inlineStr">
        <is>
          <t>2026-08-20</t>
        </is>
      </c>
      <c r="AS122" s="65" t="n">
        <v>894.5</v>
      </c>
      <c r="AT122" s="68" t="n">
        <v>90.40000000000001</v>
      </c>
      <c r="AU122" s="63" t="inlineStr">
        <is>
          <t>Y</t>
        </is>
      </c>
      <c r="AV122" s="74" t="n">
        <v>36.7</v>
      </c>
      <c r="AW122" s="74" t="n"/>
      <c r="AX122" s="74" t="n"/>
      <c r="AY122" s="74" t="n">
        <v>3.7</v>
      </c>
      <c r="AZ122" s="75" t="inlineStr">
        <is>
          <t>N</t>
        </is>
      </c>
      <c r="BA122" s="76">
        <f>IF('BBG Verify'!K122="","not filed — run on terminal",'BBG Verify'!K122)</f>
        <v/>
      </c>
      <c r="BB122" s="63" t="inlineStr">
        <is>
          <t>N/A</t>
        </is>
      </c>
      <c r="BC122" s="63" t="inlineStr">
        <is>
          <t>N/A</t>
        </is>
      </c>
      <c r="BD122" s="63" t="inlineStr">
        <is>
          <t>N/A</t>
        </is>
      </c>
      <c r="BE122" s="63" t="inlineStr">
        <is>
          <t>N/A</t>
        </is>
      </c>
      <c r="BF122" s="63" t="inlineStr">
        <is>
          <t>N/A</t>
        </is>
      </c>
      <c r="BG122" s="75" t="inlineStr">
        <is>
          <t>China Securities (International) Corporate Finance Company Limited; Macquarie Capital Limited</t>
        </is>
      </c>
      <c r="BH122" s="63" t="inlineStr">
        <is>
          <t>China Securities (International) Corporate Finance Company Limited; Macquarie Capital Limited</t>
        </is>
      </c>
      <c r="BI122" s="63" t="inlineStr">
        <is>
          <t>China Securities (International) Corporate Finance Company Limited; Macquarie Capital Limited</t>
        </is>
      </c>
      <c r="BJ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7">
        <f>HYPERLINK("https://www1.hkexnews.hk/listedco/listconews/sehk/2022/0629/2022062900037.pdf","prospectus")</f>
        <v/>
      </c>
      <c r="BL122" s="77">
        <f>HYPERLINK("https://www1.hkexnews.hk/listedco/listconews/sehk/2022/0711/2022071100024.htm","allotment")</f>
        <v/>
      </c>
      <c r="BM122" s="77">
        <f>HYPERLINK("https://www1.hkexnews.hk/listedco/listconews/sehk/2022/0804/2022080401924.pdf","stabilisation")</f>
        <v/>
      </c>
      <c r="BN122" s="75" t="n"/>
      <c r="BO12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7" t="n">
        <v>3.7</v>
      </c>
      <c r="W123" s="63" t="n"/>
      <c r="X123" s="63" t="n"/>
      <c r="Y123" s="67" t="n">
        <v>5</v>
      </c>
      <c r="Z123" s="63" t="inlineStr">
        <is>
          <t>partial</t>
        </is>
      </c>
      <c r="AA123" s="72" t="n">
        <v>-3.04</v>
      </c>
      <c r="AB123" s="73" t="n">
        <v>-4.35</v>
      </c>
      <c r="AC123" s="73" t="n">
        <v>1.37</v>
      </c>
      <c r="AD123" s="73" t="n">
        <v>3.77</v>
      </c>
      <c r="AE123" s="73" t="n">
        <v>-12.9</v>
      </c>
      <c r="AF123" s="73" t="n">
        <v>-26.23</v>
      </c>
      <c r="AG123" s="73" t="n">
        <v>7.02</v>
      </c>
      <c r="AH123" s="73" t="n">
        <v>-10.17</v>
      </c>
      <c r="AI123" s="73" t="n">
        <v>-23.92</v>
      </c>
      <c r="AJ123" s="73" t="n">
        <v>1.69</v>
      </c>
      <c r="AK123" s="73" t="n">
        <v>-9.449999999999999</v>
      </c>
      <c r="AL123" s="73" t="n">
        <v>-5.92</v>
      </c>
      <c r="AM123" s="73" t="n">
        <v>-6.55</v>
      </c>
      <c r="AN123" s="73" t="n">
        <v>-3.45</v>
      </c>
      <c r="AO123" s="73" t="n">
        <v>-3.62</v>
      </c>
      <c r="AP123" s="63" t="inlineStr">
        <is>
          <t>Hang Seng Commerce &amp; Industry sub-index</t>
        </is>
      </c>
      <c r="AQ123" s="73" t="n">
        <v>59.42</v>
      </c>
      <c r="AR123" s="64" t="inlineStr">
        <is>
          <t>2026-08-20</t>
        </is>
      </c>
      <c r="AS123" s="65" t="n">
        <v>11094.2</v>
      </c>
      <c r="AT123" s="68" t="n">
        <v>702</v>
      </c>
      <c r="AU123" s="63" t="inlineStr">
        <is>
          <t>Y</t>
        </is>
      </c>
      <c r="AV123" s="74" t="n">
        <v>18.3</v>
      </c>
      <c r="AW123" s="74" t="n"/>
      <c r="AX123" s="74" t="n"/>
      <c r="AY123" s="74" t="n">
        <v>1.2</v>
      </c>
      <c r="AZ123" s="75" t="inlineStr">
        <is>
          <t>N</t>
        </is>
      </c>
      <c r="BA123" s="76">
        <f>IF('BBG Verify'!K123="","not filed — run on terminal",'BBG Verify'!K123)</f>
        <v/>
      </c>
      <c r="BB123" s="63" t="inlineStr">
        <is>
          <t>N/A</t>
        </is>
      </c>
      <c r="BC123" s="63" t="inlineStr">
        <is>
          <t>N/A</t>
        </is>
      </c>
      <c r="BD123" s="63" t="inlineStr">
        <is>
          <t>N/A</t>
        </is>
      </c>
      <c r="BE123" s="63" t="inlineStr">
        <is>
          <t>N/A</t>
        </is>
      </c>
      <c r="BF123" s="63" t="inlineStr">
        <is>
          <t>N/A</t>
        </is>
      </c>
      <c r="BG123" s="75" t="inlineStr">
        <is>
          <t>Merrill Lynch (Asia Pacific) Limited; Haitong International Capital Limited; UBS Securities Hong Kong Limited</t>
        </is>
      </c>
      <c r="BH123" s="63" t="inlineStr">
        <is>
          <t>Haitong International Capital Limited; UBS Securities Hong Kong Limited; Merrill Lynch (Asia Pacific) Limited</t>
        </is>
      </c>
      <c r="BI123" s="63" t="inlineStr">
        <is>
          <t>Merrill Lynch (Asia Pacific) Limited; Haitong International Securities Company Limited; UBS AG Hong Kong Branch; UBS Securities LLC</t>
        </is>
      </c>
      <c r="BJ123" s="63" t="inlineStr">
        <is>
          <t>Futu Securities International (Hong Kong) Limited; GF Securities (Hong Kong) Brokerage Limited; Haitong International Securities Company Limited; Merrill Lynch (Asia Pacific) Limited; UBS AG Hong Kong Branch</t>
        </is>
      </c>
      <c r="BK123" s="77">
        <f>HYPERLINK("https://www1.hkexnews.hk/listedco/listconews/sehk/2022/0630/2022063000250.htm","prospectus")</f>
        <v/>
      </c>
      <c r="BL123" s="77">
        <f>HYPERLINK("https://www1.hkexnews.hk/listedco/listconews/sehk/2022/0712/2022071200016.htm","allotment")</f>
        <v/>
      </c>
      <c r="BM123" s="77">
        <f>HYPERLINK("https://www1.hkexnews.hk/listedco/listconews/sehk/2022/0805/2022080501253.pdf","stabilisation")</f>
        <v/>
      </c>
      <c r="BN123" s="75" t="n"/>
      <c r="BO123" s="63"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44</v>
      </c>
      <c r="J124" s="63" t="inlineStr">
        <is>
          <t>net proceeds</t>
        </is>
      </c>
      <c r="K124" s="66" t="n"/>
      <c r="L124" s="66" t="n">
        <v>6.08</v>
      </c>
      <c r="M124" s="66" t="n">
        <v>6.08</v>
      </c>
      <c r="N124" s="63" t="inlineStr">
        <is>
          <t>Y</t>
        </is>
      </c>
      <c r="O124" s="67" t="n">
        <v>100</v>
      </c>
      <c r="P124" s="67" t="n"/>
      <c r="Q124" s="68" t="n">
        <v>158.8</v>
      </c>
      <c r="R124" s="63" t="inlineStr">
        <is>
          <t>derived:deal size / offer % of enlarged capital</t>
        </is>
      </c>
      <c r="S124" s="69" t="n">
        <v>8.08</v>
      </c>
      <c r="T124" s="70" t="n">
        <v>1.18</v>
      </c>
      <c r="U124" s="71" t="n">
        <v>18.9</v>
      </c>
      <c r="V124" s="67" t="n">
        <v>22.47</v>
      </c>
      <c r="W124" s="63" t="inlineStr">
        <is>
          <t>Huzhou Erqing Asset Operation Co., Ltd; Zhejiang Caixu Equity Investment Co., Ltd; Zhejiang Jiening Equity Investment Co., Ltd; Zhejiang Lichen Equity Investment Co., Ltd</t>
        </is>
      </c>
      <c r="X124" s="63" t="inlineStr">
        <is>
          <t>huzhou;zhejiang</t>
        </is>
      </c>
      <c r="Y124" s="67" t="n">
        <v>14.6</v>
      </c>
      <c r="Z124" s="63" t="inlineStr">
        <is>
          <t>partial</t>
        </is>
      </c>
      <c r="AA124" s="72" t="n">
        <v>-7.89</v>
      </c>
      <c r="AB124" s="73" t="n">
        <v>-1.64</v>
      </c>
      <c r="AC124" s="73" t="n">
        <v>-6.35</v>
      </c>
      <c r="AD124" s="73" t="n">
        <v>-1.32</v>
      </c>
      <c r="AE124" s="73" t="n">
        <v>-9.539999999999999</v>
      </c>
      <c r="AF124" s="73" t="n">
        <v>-5.43</v>
      </c>
      <c r="AG124" s="73" t="n">
        <v>7.13</v>
      </c>
      <c r="AH124" s="73" t="n">
        <v>-1.79</v>
      </c>
      <c r="AI124" s="73" t="n">
        <v>2.67</v>
      </c>
      <c r="AJ124" s="73" t="n">
        <v>-3.4</v>
      </c>
      <c r="AK124" s="73" t="n">
        <v>-6.09</v>
      </c>
      <c r="AL124" s="73" t="n">
        <v>14.88</v>
      </c>
      <c r="AM124" s="73" t="n">
        <v>1.83</v>
      </c>
      <c r="AN124" s="73" t="n">
        <v>-3.45</v>
      </c>
      <c r="AO124" s="73" t="n">
        <v>-3.62</v>
      </c>
      <c r="AP124" s="63" t="inlineStr">
        <is>
          <t>Hang Seng Commerce &amp; Industry sub-index</t>
        </is>
      </c>
      <c r="AQ124" s="73" t="n">
        <v>-18.67</v>
      </c>
      <c r="AR124" s="64" t="inlineStr">
        <is>
          <t>2026-08-19</t>
        </is>
      </c>
      <c r="AS124" s="65" t="n">
        <v>2044.6</v>
      </c>
      <c r="AT124" s="68" t="n">
        <v>183.4</v>
      </c>
      <c r="AU124" s="63" t="inlineStr">
        <is>
          <t>Y</t>
        </is>
      </c>
      <c r="AV124" s="74" t="n">
        <v>0.9</v>
      </c>
      <c r="AW124" s="74" t="n"/>
      <c r="AX124" s="74" t="n">
        <v>9.1</v>
      </c>
      <c r="AY124" s="74" t="n">
        <v>0.1</v>
      </c>
      <c r="AZ124" s="75" t="inlineStr">
        <is>
          <t>N</t>
        </is>
      </c>
      <c r="BA124" s="76">
        <f>IF('BBG Verify'!K124="","not filed — run on terminal",'BBG Verify'!K124)</f>
        <v/>
      </c>
      <c r="BB124" s="63" t="inlineStr">
        <is>
          <t>N/A</t>
        </is>
      </c>
      <c r="BC124" s="63" t="inlineStr">
        <is>
          <t>N/A</t>
        </is>
      </c>
      <c r="BD124" s="63" t="inlineStr">
        <is>
          <t>N/A</t>
        </is>
      </c>
      <c r="BE124" s="63" t="inlineStr">
        <is>
          <t>N/A</t>
        </is>
      </c>
      <c r="BF124" s="63" t="inlineStr">
        <is>
          <t>N/A</t>
        </is>
      </c>
      <c r="BG124" s="75" t="inlineStr">
        <is>
          <t>BOCOM International (Asia) Limited</t>
        </is>
      </c>
      <c r="BH124" s="63" t="inlineStr">
        <is>
          <t>BOCOM International (Asia) Limited</t>
        </is>
      </c>
      <c r="BI124" s="63"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7">
        <f>HYPERLINK("https://www1.hkexnews.hk/listedco/listconews/sehk/2022/0629/2022062900043.pdf","prospectus")</f>
        <v/>
      </c>
      <c r="BL124" s="77">
        <f>HYPERLINK("https://www1.hkexnews.hk/listedco/listconews/sehk/2022/0712/2022071200042.htm","allotment")</f>
        <v/>
      </c>
      <c r="BM124" s="77">
        <f>HYPERLINK("https://www1.hkexnews.hk/listedco/listconews/sehk/2022/0805/2022080501239.pdf","stabilisation")</f>
        <v/>
      </c>
      <c r="BN124" s="75" t="n"/>
      <c r="BO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7" t="n">
        <v>3.35</v>
      </c>
      <c r="W125" s="63" t="n"/>
      <c r="X125" s="63" t="n"/>
      <c r="Y125" s="67" t="n">
        <v>11.9</v>
      </c>
      <c r="Z125" s="63" t="inlineStr">
        <is>
          <t>partial</t>
        </is>
      </c>
      <c r="AA125" s="72" t="n">
        <v>-4.45</v>
      </c>
      <c r="AB125" s="73" t="n">
        <v>-2.4</v>
      </c>
      <c r="AC125" s="73" t="n">
        <v>-2.1</v>
      </c>
      <c r="AD125" s="73" t="n">
        <v>-6.16</v>
      </c>
      <c r="AE125" s="73" t="n">
        <v>-10.62</v>
      </c>
      <c r="AF125" s="73" t="n">
        <v>-27.12</v>
      </c>
      <c r="AG125" s="73" t="n">
        <v>-1.79</v>
      </c>
      <c r="AH125" s="73" t="n">
        <v>-6.46</v>
      </c>
      <c r="AI125" s="73" t="n">
        <v>-23.73</v>
      </c>
      <c r="AJ125" s="73" t="n">
        <v>-4.66</v>
      </c>
      <c r="AK125" s="73" t="n">
        <v>-7.54</v>
      </c>
      <c r="AL125" s="73" t="n">
        <v>-8.26</v>
      </c>
      <c r="AM125" s="73" t="n">
        <v>-3.99</v>
      </c>
      <c r="AN125" s="73" t="n">
        <v>-3.08</v>
      </c>
      <c r="AO125" s="73" t="n">
        <v>-2.47</v>
      </c>
      <c r="AP125" s="63" t="inlineStr">
        <is>
          <t>Hang Seng Finance sub-index</t>
        </is>
      </c>
      <c r="AQ125" s="73" t="n">
        <v>-49.86</v>
      </c>
      <c r="AR125" s="64" t="inlineStr">
        <is>
          <t>2026-08-24</t>
        </is>
      </c>
      <c r="AS125" s="65" t="n">
        <v>4759.3</v>
      </c>
      <c r="AT125" s="68" t="n"/>
      <c r="AU125" s="63" t="inlineStr">
        <is>
          <t>Y</t>
        </is>
      </c>
      <c r="AV125" s="78">
        <f>IF('BBG Verify'!O125="","not filed — run on terminal",'BBG Verify'!O125)</f>
        <v/>
      </c>
      <c r="AW125" s="74" t="n"/>
      <c r="AX125" s="74" t="n"/>
      <c r="AY125" s="74" t="n">
        <v>2</v>
      </c>
      <c r="AZ125" s="75" t="inlineStr">
        <is>
          <t>N</t>
        </is>
      </c>
      <c r="BA125" s="76">
        <f>IF('BBG Verify'!K125="","not filed — run on terminal",'BBG Verify'!K125)</f>
        <v/>
      </c>
      <c r="BB125" s="63" t="inlineStr">
        <is>
          <t>N/A</t>
        </is>
      </c>
      <c r="BC125" s="63" t="inlineStr">
        <is>
          <t>N/A</t>
        </is>
      </c>
      <c r="BD125" s="63" t="inlineStr">
        <is>
          <t>N/A</t>
        </is>
      </c>
      <c r="BE125" s="63" t="inlineStr">
        <is>
          <t>N/A</t>
        </is>
      </c>
      <c r="BF125" s="63" t="inlineStr">
        <is>
          <t>N/A</t>
        </is>
      </c>
      <c r="BG125" s="75" t="inlineStr">
        <is>
          <t>Goldman Sachs (Asia) L.L.C</t>
        </is>
      </c>
      <c r="BH125" s="63" t="inlineStr">
        <is>
          <t>Goldman Sachs (Asia) L.L.C.</t>
        </is>
      </c>
      <c r="BI125" s="63" t="inlineStr">
        <is>
          <t>Futu Securities International (Hong Kong) Limited</t>
        </is>
      </c>
      <c r="BJ125" s="63" t="inlineStr">
        <is>
          <t>BOCI Asia Limited; DBS Asia Capital Limited; Futu Securities International (Hong Kong) Limited; Goldman Sachs (Asia) L.L.C.</t>
        </is>
      </c>
      <c r="BK125" s="77">
        <f>HYPERLINK("https://www1.hkexnews.hk/listedco/listconews/sehk/2022/0629/2022062902037.pdf","prospectus")</f>
        <v/>
      </c>
      <c r="BL125" s="77">
        <f>HYPERLINK("https://www1.hkexnews.hk/listedco/listconews/sehk/2022/0712/2022071200028.htm","allotment")</f>
        <v/>
      </c>
      <c r="BM125" s="77">
        <f>HYPERLINK("https://www1.hkexnews.hk/listedco/listconews/sehk/2022/0805/2022080501393.pdf","stabilisation")</f>
        <v/>
      </c>
      <c r="BN125" s="75" t="n"/>
      <c r="BO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v>69</v>
      </c>
      <c r="L126" s="66" t="n">
        <v>82</v>
      </c>
      <c r="M126" s="66" t="n">
        <v>82</v>
      </c>
      <c r="N126" s="63" t="inlineStr">
        <is>
          <t>Y</t>
        </is>
      </c>
      <c r="O126" s="67" t="n">
        <v>100</v>
      </c>
      <c r="P126" s="67" t="n">
        <v>100</v>
      </c>
      <c r="Q126" s="68" t="n">
        <v>119097.3</v>
      </c>
      <c r="R126" s="63" t="inlineStr">
        <is>
          <t>derived:deal size / offer % of enlarged capital</t>
        </is>
      </c>
      <c r="S126" s="69" t="n">
        <v>9.300000000000001</v>
      </c>
      <c r="T126" s="70" t="n">
        <v>5.2</v>
      </c>
      <c r="U126" s="71" t="n">
        <v>43.3</v>
      </c>
      <c r="V126" s="67" t="n">
        <v>6.41</v>
      </c>
      <c r="W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3" t="inlineStr">
        <is>
          <t>calb;cpic;gold;lg;pacific-asset;shenzhen-dynanonic;sichuan</t>
        </is>
      </c>
      <c r="Y126" s="67" t="n">
        <v>15</v>
      </c>
      <c r="Z126" s="63" t="inlineStr">
        <is>
          <t>lapsed</t>
        </is>
      </c>
      <c r="AA126" s="72" t="n">
        <v>0</v>
      </c>
      <c r="AB126" s="73" t="n">
        <v>-9.15</v>
      </c>
      <c r="AC126" s="73" t="n">
        <v>10.07</v>
      </c>
      <c r="AD126" s="73" t="n">
        <v>-3.84</v>
      </c>
      <c r="AE126" s="73" t="n">
        <v>4.33</v>
      </c>
      <c r="AF126" s="73" t="n">
        <v>-21.22</v>
      </c>
      <c r="AG126" s="73" t="n">
        <v>-3.84</v>
      </c>
      <c r="AH126" s="73" t="n">
        <v>4.33</v>
      </c>
      <c r="AI126" s="73" t="n">
        <v>-21.22</v>
      </c>
      <c r="AJ126" s="73" t="n">
        <v>-5.92</v>
      </c>
      <c r="AK126" s="73" t="n">
        <v>7.78</v>
      </c>
      <c r="AL126" s="73" t="n">
        <v>-0.91</v>
      </c>
      <c r="AM126" s="73" t="n">
        <v>7.95</v>
      </c>
      <c r="AN126" s="73" t="n">
        <v>-3.45</v>
      </c>
      <c r="AO126" s="73" t="n">
        <v>-3.62</v>
      </c>
      <c r="AP126" s="63" t="inlineStr">
        <is>
          <t>Hang Seng Commerce &amp; Industry sub-index</t>
        </is>
      </c>
      <c r="AQ126" s="73" t="n">
        <v>-58.85</v>
      </c>
      <c r="AR126" s="64" t="inlineStr">
        <is>
          <t>2026-08-20</t>
        </is>
      </c>
      <c r="AS126" s="65" t="n">
        <v>8357.700000000001</v>
      </c>
      <c r="AT126" s="68" t="n">
        <v>5258.7</v>
      </c>
      <c r="AU126" s="63" t="inlineStr">
        <is>
          <t>Y</t>
        </is>
      </c>
      <c r="AV126" s="74" t="n">
        <v>22.6</v>
      </c>
      <c r="AW126" s="74" t="n">
        <v>8.5</v>
      </c>
      <c r="AX126" s="74" t="n">
        <v>23.2</v>
      </c>
      <c r="AY126" s="74" t="n">
        <v>14.3</v>
      </c>
      <c r="AZ126" s="75" t="inlineStr">
        <is>
          <t>Y</t>
        </is>
      </c>
      <c r="BA126" s="63" t="inlineStr">
        <is>
          <t>002466.SZ</t>
        </is>
      </c>
      <c r="BB126" s="73" t="n">
        <v>82.11</v>
      </c>
      <c r="BC126" s="66" t="n">
        <v>149.3266</v>
      </c>
      <c r="BD126" s="80" t="n">
        <v>0.4993</v>
      </c>
      <c r="BE126" s="78">
        <f>IF('BBG Verify'!Q126="","run on terminal",'BBG Verify'!Q126)</f>
        <v/>
      </c>
      <c r="BF126" s="78">
        <f>IF('BBG Verify'!R126="","run on terminal",'BBG Verify'!R126)</f>
        <v/>
      </c>
      <c r="BG126" s="75" t="inlineStr">
        <is>
          <t>Morgan Stanley Asia Limited; China International Capital Corporation Hong Kong Securities Limited; CMB International Capital Limited</t>
        </is>
      </c>
      <c r="BH126" s="63" t="inlineStr">
        <is>
          <t>China International Capital Corporation Hong Kong Securities Limited; Morgan Stanley Asia Limited; CMB International Capital Corporation Limited</t>
        </is>
      </c>
      <c r="BI126" s="63"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7">
        <f>HYPERLINK("https://www1.hkexnews.hk/listedco/listconews/sehk/2022/0630/2022063000146.htm","prospectus")</f>
        <v/>
      </c>
      <c r="BL126" s="77">
        <f>HYPERLINK("https://www1.hkexnews.hk/listedco/listconews/sehk/2022/0712/2022071200062.htm","allotment")</f>
        <v/>
      </c>
      <c r="BM126" s="77">
        <f>HYPERLINK("https://www1.hkexnews.hk/listedco/listconews/sehk/2022/0805/2022080501243.pdf","stabilisation")</f>
        <v/>
      </c>
      <c r="BN126" s="75" t="n"/>
      <c r="BO126" s="63" t="inlineStr">
        <is>
          <t>A/H: Jul 2022, ~US$1.7bn — largest HK IPO of 2022 at pricing</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7" t="n">
        <v>19.72</v>
      </c>
      <c r="W127" s="63" t="inlineStr">
        <is>
          <t>Shaanxi Tide Automobile Air Conditioning Co., Ltd; Streamax Electronics Limited; Xian Yuanda Electronic Equipment Co., Ltd</t>
        </is>
      </c>
      <c r="X127" s="63" t="inlineStr">
        <is>
          <t>shaanxi;streamax;xian</t>
        </is>
      </c>
      <c r="Y127" s="67" t="n">
        <v>5.28</v>
      </c>
      <c r="Z127" s="63" t="inlineStr">
        <is>
          <t>partial</t>
        </is>
      </c>
      <c r="AA127" s="72" t="n">
        <v>0</v>
      </c>
      <c r="AB127" s="73" t="n">
        <v>-2.78</v>
      </c>
      <c r="AC127" s="73" t="n">
        <v>2.86</v>
      </c>
      <c r="AD127" s="73" t="n">
        <v>-8.890000000000001</v>
      </c>
      <c r="AE127" s="73" t="n">
        <v>-31.67</v>
      </c>
      <c r="AF127" s="73" t="n">
        <v>-46.11</v>
      </c>
      <c r="AG127" s="73" t="n">
        <v>-8.890000000000001</v>
      </c>
      <c r="AH127" s="73" t="n">
        <v>-31.67</v>
      </c>
      <c r="AI127" s="73" t="n">
        <v>-46.11</v>
      </c>
      <c r="AJ127" s="73" t="n">
        <v>-9.18</v>
      </c>
      <c r="AK127" s="73" t="n">
        <v>-27.28</v>
      </c>
      <c r="AL127" s="73" t="n">
        <v>-24.25</v>
      </c>
      <c r="AM127" s="73" t="n">
        <v>-29.63</v>
      </c>
      <c r="AN127" s="73" t="n">
        <v>-4.39</v>
      </c>
      <c r="AO127" s="73" t="n">
        <v>-2.04</v>
      </c>
      <c r="AP127" s="63" t="inlineStr">
        <is>
          <t>Hang Seng Commerce &amp; Industry sub-index</t>
        </is>
      </c>
      <c r="AQ127" s="73" t="n">
        <v>49.17</v>
      </c>
      <c r="AR127" s="64" t="inlineStr">
        <is>
          <t>2026-08-20</t>
        </is>
      </c>
      <c r="AS127" s="65" t="n">
        <v>3439.5</v>
      </c>
      <c r="AT127" s="68" t="n">
        <v>405.6</v>
      </c>
      <c r="AU127" s="63" t="inlineStr">
        <is>
          <t>Y</t>
        </is>
      </c>
      <c r="AV127" s="74" t="n">
        <v>9.6</v>
      </c>
      <c r="AW127" s="74" t="n"/>
      <c r="AX127" s="74" t="n">
        <v>79.7</v>
      </c>
      <c r="AY127" s="74" t="n">
        <v>1.1</v>
      </c>
      <c r="AZ127" s="75" t="inlineStr">
        <is>
          <t>N</t>
        </is>
      </c>
      <c r="BA127" s="76">
        <f>IF('BBG Verify'!K127="","not filed — run on terminal",'BBG Verify'!K127)</f>
        <v/>
      </c>
      <c r="BB127" s="63" t="inlineStr">
        <is>
          <t>N/A</t>
        </is>
      </c>
      <c r="BC127" s="63" t="inlineStr">
        <is>
          <t>N/A</t>
        </is>
      </c>
      <c r="BD127" s="63" t="inlineStr">
        <is>
          <t>N/A</t>
        </is>
      </c>
      <c r="BE127" s="63" t="inlineStr">
        <is>
          <t>N/A</t>
        </is>
      </c>
      <c r="BF127" s="63" t="inlineStr">
        <is>
          <t>N/A</t>
        </is>
      </c>
      <c r="BG127" s="75" t="n"/>
      <c r="BH127" s="63" t="inlineStr">
        <is>
          <t>China Securities (International) Corporate Finance Company Limited</t>
        </is>
      </c>
      <c r="BI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7">
        <f>HYPERLINK("https://www1.hkexnews.hk/listedco/listconews/sehk/2022/0630/2022063000037.pdf","prospectus")</f>
        <v/>
      </c>
      <c r="BL127" s="77">
        <f>HYPERLINK("https://www1.hkexnews.hk/listedco/listconews/sehk/2022/0714/2022071400006.htm","allotment")</f>
        <v/>
      </c>
      <c r="BM127" s="77">
        <f>HYPERLINK("https://www1.hkexnews.hk/listedco/listconews/sehk/2022/0808/2022080800065.pdf","stabilisation")</f>
        <v/>
      </c>
      <c r="BN127" s="75" t="n"/>
      <c r="BO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v>1.08</v>
      </c>
      <c r="L128" s="66" t="n">
        <v>1.26</v>
      </c>
      <c r="M128" s="66" t="n">
        <v>1.08</v>
      </c>
      <c r="N128" s="63" t="inlineStr">
        <is>
          <t>N</t>
        </is>
      </c>
      <c r="O128" s="67" t="n">
        <v>85.7</v>
      </c>
      <c r="P128" s="67" t="n">
        <v>0</v>
      </c>
      <c r="Q128" s="68" t="n">
        <v>600</v>
      </c>
      <c r="R128" s="63" t="inlineStr">
        <is>
          <t>derived:deal size / offer % of enlarged capital</t>
        </is>
      </c>
      <c r="S128" s="69" t="n">
        <v>10.69</v>
      </c>
      <c r="T128" s="70" t="n">
        <v>1.03</v>
      </c>
      <c r="U128" s="71" t="n">
        <v>22.2</v>
      </c>
      <c r="V128" s="67" t="n">
        <v>17.5</v>
      </c>
      <c r="W128" s="63" t="inlineStr">
        <is>
          <t>Ung Choi Kun</t>
        </is>
      </c>
      <c r="X128" s="63" t="inlineStr">
        <is>
          <t>ung</t>
        </is>
      </c>
      <c r="Y128" s="67" t="n">
        <v>15</v>
      </c>
      <c r="Z128" s="63" t="inlineStr">
        <is>
          <t>lapsed (no over-allocation)</t>
        </is>
      </c>
      <c r="AA128" s="72" t="n">
        <v>12.96</v>
      </c>
      <c r="AB128" s="73" t="n">
        <v>5.56</v>
      </c>
      <c r="AC128" s="73" t="n">
        <v>7.01</v>
      </c>
      <c r="AD128" s="73" t="n">
        <v>12.96</v>
      </c>
      <c r="AE128" s="73" t="n">
        <v>10.19</v>
      </c>
      <c r="AF128" s="73" t="n">
        <v>-3.7</v>
      </c>
      <c r="AG128" s="73" t="n">
        <v>0</v>
      </c>
      <c r="AH128" s="73" t="n">
        <v>-2.45</v>
      </c>
      <c r="AI128" s="73" t="n">
        <v>-14.75</v>
      </c>
      <c r="AJ128" s="73" t="n">
        <v>12.56</v>
      </c>
      <c r="AK128" s="73" t="n">
        <v>15.77</v>
      </c>
      <c r="AL128" s="73" t="n">
        <v>26.3</v>
      </c>
      <c r="AM128" s="73" t="n">
        <v>0.33</v>
      </c>
      <c r="AN128" s="73" t="n">
        <v>-5.58</v>
      </c>
      <c r="AO128" s="73" t="n">
        <v>-2.78</v>
      </c>
      <c r="AP128" s="63" t="inlineStr">
        <is>
          <t>HSTECH (Hang Seng TECH ETF)</t>
        </is>
      </c>
      <c r="AQ128" s="73" t="n">
        <v>71.3</v>
      </c>
      <c r="AR128" s="64" t="inlineStr">
        <is>
          <t>2026-08-20</t>
        </is>
      </c>
      <c r="AS128" s="65" t="n">
        <v>534.3</v>
      </c>
      <c r="AT128" s="68" t="n">
        <v>24</v>
      </c>
      <c r="AU128" s="63" t="inlineStr">
        <is>
          <t>Y</t>
        </is>
      </c>
      <c r="AV128" s="74" t="n">
        <v>25</v>
      </c>
      <c r="AW128" s="74" t="n"/>
      <c r="AX128" s="74" t="n">
        <v>113.4</v>
      </c>
      <c r="AY128" s="74" t="n">
        <v>1.1</v>
      </c>
      <c r="AZ128" s="75" t="inlineStr">
        <is>
          <t>N</t>
        </is>
      </c>
      <c r="BA128" s="76">
        <f>IF('BBG Verify'!K128="","not filed — run on terminal",'BBG Verify'!K128)</f>
        <v/>
      </c>
      <c r="BB128" s="63" t="inlineStr">
        <is>
          <t>N/A</t>
        </is>
      </c>
      <c r="BC128" s="63" t="inlineStr">
        <is>
          <t>N/A</t>
        </is>
      </c>
      <c r="BD128" s="63" t="inlineStr">
        <is>
          <t>N/A</t>
        </is>
      </c>
      <c r="BE128" s="63" t="inlineStr">
        <is>
          <t>N/A</t>
        </is>
      </c>
      <c r="BF128" s="63" t="inlineStr">
        <is>
          <t>N/A</t>
        </is>
      </c>
      <c r="BG128" s="75" t="inlineStr">
        <is>
          <t>China Tonghai Capital Limited</t>
        </is>
      </c>
      <c r="BH128" s="63" t="inlineStr">
        <is>
          <t>China Tonghai Capital Limited</t>
        </is>
      </c>
      <c r="BI128" s="63"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7">
        <f>HYPERLINK("https://www1.hkexnews.hk/listedco/listconews/sehk/2022/0629/2022062900148.htm","prospectus")</f>
        <v/>
      </c>
      <c r="BL128" s="77">
        <f>HYPERLINK("https://www1.hkexnews.hk/listedco/listconews/sehk/2022/0714/2022071400026.htm","allotment")</f>
        <v/>
      </c>
      <c r="BM128" s="77">
        <f>HYPERLINK("https://www1.hkexnews.hk/listedco/listconews/sehk/2022/0805/2022080500015.pdf","stabilisation")</f>
        <v/>
      </c>
      <c r="BN128" s="75" t="n"/>
      <c r="BO128" s="63" t="inlineStr">
        <is>
          <t>A/H: no A-share listing · cornerstone: table parse read 72% but the institutional total implies 22% — parse rejected, the AAStocks institutional total used (22.2%)</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7" t="n">
        <v>0.89</v>
      </c>
      <c r="W129" s="63" t="inlineStr">
        <is>
          <t>Harvest; Xinhuanet Co., Ltd</t>
        </is>
      </c>
      <c r="X129" s="63" t="inlineStr">
        <is>
          <t>harvest;xinhuanet</t>
        </is>
      </c>
      <c r="Y129" s="67" t="n">
        <v>10.97</v>
      </c>
      <c r="Z129" s="63" t="inlineStr">
        <is>
          <t>lapsed</t>
        </is>
      </c>
      <c r="AA129" s="72" t="n">
        <v>-0.16</v>
      </c>
      <c r="AB129" s="73" t="n">
        <v>0.24</v>
      </c>
      <c r="AC129" s="73" t="n">
        <v>-0.4</v>
      </c>
      <c r="AD129" s="73" t="n">
        <v>-0.37</v>
      </c>
      <c r="AE129" s="73" t="n">
        <v>-0.97</v>
      </c>
      <c r="AF129" s="73" t="n">
        <v>-0.37</v>
      </c>
      <c r="AG129" s="73" t="n">
        <v>-0.21</v>
      </c>
      <c r="AH129" s="73" t="n">
        <v>-0.8100000000000001</v>
      </c>
      <c r="AI129" s="73" t="n">
        <v>-0.21</v>
      </c>
      <c r="AJ129" s="73" t="n">
        <v>2.56</v>
      </c>
      <c r="AK129" s="73" t="n">
        <v>5.44</v>
      </c>
      <c r="AL129" s="73" t="n">
        <v>17.36</v>
      </c>
      <c r="AM129" s="73" t="n">
        <v>3.15</v>
      </c>
      <c r="AN129" s="73" t="n">
        <v>-6.41</v>
      </c>
      <c r="AO129" s="73" t="n">
        <v>-3.96</v>
      </c>
      <c r="AP129" s="63" t="inlineStr">
        <is>
          <t>China Biotech ETF (HS biotech proxy)</t>
        </is>
      </c>
      <c r="AQ129" s="73" t="n">
        <v>-64.45</v>
      </c>
      <c r="AR129" s="64" t="inlineStr">
        <is>
          <t>2026-08-20</t>
        </is>
      </c>
      <c r="AS129" s="65" t="n">
        <v>421.1</v>
      </c>
      <c r="AT129" s="68" t="n"/>
      <c r="AU129" s="63" t="inlineStr">
        <is>
          <t>Y</t>
        </is>
      </c>
      <c r="AV129" s="78">
        <f>IF('BBG Verify'!O129="","not filed — run on terminal",'BBG Verify'!O129)</f>
        <v/>
      </c>
      <c r="AW129" s="74" t="n"/>
      <c r="AX129" s="74" t="n">
        <v>23.6</v>
      </c>
      <c r="AY129" s="74" t="n">
        <v>34.3</v>
      </c>
      <c r="AZ129" s="75" t="inlineStr">
        <is>
          <t>N</t>
        </is>
      </c>
      <c r="BA129" s="76">
        <f>IF('BBG Verify'!K129="","not filed — run on terminal",'BBG Verify'!K129)</f>
        <v/>
      </c>
      <c r="BB129" s="63" t="inlineStr">
        <is>
          <t>N/A</t>
        </is>
      </c>
      <c r="BC129" s="63" t="inlineStr">
        <is>
          <t>N/A</t>
        </is>
      </c>
      <c r="BD129" s="63" t="inlineStr">
        <is>
          <t>N/A</t>
        </is>
      </c>
      <c r="BE129" s="63" t="inlineStr">
        <is>
          <t>N/A</t>
        </is>
      </c>
      <c r="BF129" s="63" t="inlineStr">
        <is>
          <t>N/A</t>
        </is>
      </c>
      <c r="BG129" s="75" t="inlineStr">
        <is>
          <t>J.P. Morgan Securities (Far East) Limited; China International Capital Corporation Hong Kong Securities Limited</t>
        </is>
      </c>
      <c r="BH129" s="63" t="inlineStr">
        <is>
          <t>China International Capital Corporation Hong Kong Securities Limited; J.P. Morgan Securities (Far East) Limited</t>
        </is>
      </c>
      <c r="BI129" s="63" t="inlineStr">
        <is>
          <t>J.P. Morgan Securities (Asia Pacific) Limited; China International Capital Corporation Hong Kong Securities Limited; J.P. Morgan Securities plc; Futu Securities International (Hong Kong) Limited; Livermore Holdings Limited</t>
        </is>
      </c>
      <c r="BJ129" s="63" t="inlineStr">
        <is>
          <t>China International Capital Corporation Hong Kong Securities Limited; Futu Securities International (Hong Kong) Limited; J.P. Morgan Securities (Asia Pacific) Limited; Livermore Holdings Limited</t>
        </is>
      </c>
      <c r="BK129" s="77">
        <f>HYPERLINK("https://www1.hkexnews.hk/listedco/listconews/sehk/2022/0629/2022062900318.htm","prospectus")</f>
        <v/>
      </c>
      <c r="BL129" s="77">
        <f>HYPERLINK("https://www1.hkexnews.hk/listedco/listconews/sehk/2022/0714/2022071400060.htm","allotment")</f>
        <v/>
      </c>
      <c r="BM129" s="77">
        <f>HYPERLINK("https://www1.hkexnews.hk/listedco/listconews/sehk/2022/0807/2022080700009.pdf","stabilisation")</f>
        <v/>
      </c>
      <c r="BN129" s="75" t="n"/>
      <c r="BO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17.9</v>
      </c>
      <c r="J130" s="63" t="inlineStr">
        <is>
          <t>net proceeds</t>
        </is>
      </c>
      <c r="K130" s="66" t="n"/>
      <c r="L130" s="66" t="n">
        <v>0.375</v>
      </c>
      <c r="M130" s="66" t="n">
        <v>0.325</v>
      </c>
      <c r="N130" s="63" t="inlineStr">
        <is>
          <t>N</t>
        </is>
      </c>
      <c r="O130" s="67" t="n">
        <v>86.7</v>
      </c>
      <c r="P130" s="67" t="n"/>
      <c r="Q130" s="68" t="n">
        <v>589.3</v>
      </c>
      <c r="R130" s="63" t="inlineStr">
        <is>
          <t>aastocks:上市市值 at the struck price</t>
        </is>
      </c>
      <c r="S130" s="69" t="n">
        <v>26.51</v>
      </c>
      <c r="T130" s="70" t="n">
        <v>1.06</v>
      </c>
      <c r="U130" s="71" t="n"/>
      <c r="V130" s="67" t="n">
        <v>3.04</v>
      </c>
      <c r="W130" s="63" t="n"/>
      <c r="X130" s="63" t="n"/>
      <c r="Y130" s="67" t="n">
        <v>15</v>
      </c>
      <c r="Z130" s="63" t="inlineStr">
        <is>
          <t>lapsed (no over-allocation)</t>
        </is>
      </c>
      <c r="AA130" s="72" t="n">
        <v>143.08</v>
      </c>
      <c r="AB130" s="73" t="n">
        <v>35.38</v>
      </c>
      <c r="AC130" s="73" t="n">
        <v>79.55</v>
      </c>
      <c r="AD130" s="73" t="n">
        <v>56.92</v>
      </c>
      <c r="AE130" s="73" t="n">
        <v>176.92</v>
      </c>
      <c r="AF130" s="73" t="n">
        <v>183.08</v>
      </c>
      <c r="AG130" s="73" t="n">
        <v>-35.45</v>
      </c>
      <c r="AH130" s="73" t="n">
        <v>13.92</v>
      </c>
      <c r="AI130" s="73" t="n">
        <v>16.46</v>
      </c>
      <c r="AJ130" s="73" t="n">
        <v>55.26</v>
      </c>
      <c r="AK130" s="73" t="n">
        <v>180.79</v>
      </c>
      <c r="AL130" s="73" t="n">
        <v>203.2</v>
      </c>
      <c r="AM130" s="73" t="n">
        <v>20.44</v>
      </c>
      <c r="AN130" s="73" t="n">
        <v>-3.87</v>
      </c>
      <c r="AO130" s="73" t="n">
        <v>-6.52</v>
      </c>
      <c r="AP130" s="63" t="inlineStr">
        <is>
          <t>Hang Seng Commerce &amp; Industry sub-index</t>
        </is>
      </c>
      <c r="AQ130" s="73" t="n">
        <v>-30.15</v>
      </c>
      <c r="AR130" s="64" t="inlineStr">
        <is>
          <t>2026-08-21</t>
        </is>
      </c>
      <c r="AS130" s="65" t="n">
        <v>218.2</v>
      </c>
      <c r="AT130" s="68" t="n">
        <v>58.7</v>
      </c>
      <c r="AU130" s="63" t="inlineStr">
        <is>
          <t>Y</t>
        </is>
      </c>
      <c r="AV130" s="74" t="n">
        <v>10</v>
      </c>
      <c r="AW130" s="74" t="n"/>
      <c r="AX130" s="74" t="n">
        <v>53.8</v>
      </c>
      <c r="AY130" s="74" t="n">
        <v>2.7</v>
      </c>
      <c r="AZ130" s="75" t="inlineStr">
        <is>
          <t>N</t>
        </is>
      </c>
      <c r="BA130" s="76">
        <f>IF('BBG Verify'!K130="","not filed — run on terminal",'BBG Verify'!K130)</f>
        <v/>
      </c>
      <c r="BB130" s="63" t="inlineStr">
        <is>
          <t>N/A</t>
        </is>
      </c>
      <c r="BC130" s="63" t="inlineStr">
        <is>
          <t>N/A</t>
        </is>
      </c>
      <c r="BD130" s="63" t="inlineStr">
        <is>
          <t>N/A</t>
        </is>
      </c>
      <c r="BE130" s="63" t="inlineStr">
        <is>
          <t>N/A</t>
        </is>
      </c>
      <c r="BF130" s="63" t="inlineStr">
        <is>
          <t>N/A</t>
        </is>
      </c>
      <c r="BG130" s="75" t="inlineStr">
        <is>
          <t>Lego Corporate Finance Limited</t>
        </is>
      </c>
      <c r="BH130" s="63" t="inlineStr">
        <is>
          <t>Lego Corporate Finance Limited</t>
        </is>
      </c>
      <c r="BI130" s="63" t="inlineStr">
        <is>
          <t>China Galaxy Internati onal Securities (Hong Kong) Co., Limited; China Tonghai Securities Limited; Guotai Junan Securities (Hong Kong) Limited</t>
        </is>
      </c>
      <c r="BJ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7">
        <f>HYPERLINK("https://www1.hkexnews.hk/listedco/listconews/sehk/2022/0630/2022063000021.pdf","prospectus")</f>
        <v/>
      </c>
      <c r="BL130" s="77">
        <f>HYPERLINK("https://www1.hkexnews.hk/listedco/listconews/sehk/2022/0715/2022071500016.htm","allotment")</f>
        <v/>
      </c>
      <c r="BM130" s="77">
        <f>HYPERLINK("https://www1.hkexnews.hk/listedco/listconews/sehk/2022/0808/2022080800011.pdf","stabilisation")</f>
        <v/>
      </c>
      <c r="BN130" s="75" t="n"/>
      <c r="BO130"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10002.7</v>
      </c>
      <c r="R131" s="63" t="inlineStr">
        <is>
          <t>prospectus:stated market capitalisation</t>
        </is>
      </c>
      <c r="S131" s="69" t="n">
        <v>0.8100000000000001</v>
      </c>
      <c r="T131" s="70" t="n">
        <v>1.38</v>
      </c>
      <c r="U131" s="71" t="n">
        <v>46.7</v>
      </c>
      <c r="V131" s="67" t="n">
        <v>2.24</v>
      </c>
      <c r="W131" s="63" t="inlineStr">
        <is>
          <t>Harvest International Premium Value (Secondary Market) Fund SPC; Heilan Group Co., Limited</t>
        </is>
      </c>
      <c r="X131" s="63" t="inlineStr">
        <is>
          <t>harvest;heilan</t>
        </is>
      </c>
      <c r="Y131" s="67" t="n">
        <v>20</v>
      </c>
      <c r="Z131" s="63" t="inlineStr">
        <is>
          <t>lapsed</t>
        </is>
      </c>
      <c r="AA131" s="72" t="n">
        <v>-2.7</v>
      </c>
      <c r="AB131" s="73" t="n">
        <v>0</v>
      </c>
      <c r="AC131" s="73" t="n">
        <v>-2.7</v>
      </c>
      <c r="AD131" s="73" t="n">
        <v>0</v>
      </c>
      <c r="AE131" s="73" t="n">
        <v>-3.42</v>
      </c>
      <c r="AF131" s="73" t="n">
        <v>-12.43</v>
      </c>
      <c r="AG131" s="73" t="n">
        <v>2.77</v>
      </c>
      <c r="AH131" s="73" t="n">
        <v>-0.74</v>
      </c>
      <c r="AI131" s="73" t="n">
        <v>-10</v>
      </c>
      <c r="AJ131" s="73" t="n">
        <v>0.4</v>
      </c>
      <c r="AK131" s="73" t="n">
        <v>2.32</v>
      </c>
      <c r="AL131" s="73" t="n">
        <v>5.79</v>
      </c>
      <c r="AM131" s="73" t="n">
        <v>3.12</v>
      </c>
      <c r="AN131" s="73" t="n">
        <v>-5.74</v>
      </c>
      <c r="AO131" s="73" t="n">
        <v>-3.86</v>
      </c>
      <c r="AP131" s="63" t="inlineStr">
        <is>
          <t>Hang Seng Index</t>
        </is>
      </c>
      <c r="AQ131" s="73" t="n">
        <v>-89.98</v>
      </c>
      <c r="AR131" s="64" t="inlineStr">
        <is>
          <t>2026-08-20</t>
        </is>
      </c>
      <c r="AS131" s="65" t="n">
        <v>1373.9</v>
      </c>
      <c r="AT131" s="68" t="n">
        <v>67</v>
      </c>
      <c r="AU131" s="63" t="inlineStr">
        <is>
          <t>Y</t>
        </is>
      </c>
      <c r="AV131" s="74" t="n">
        <v>149.3</v>
      </c>
      <c r="AW131" s="74" t="n"/>
      <c r="AX131" s="74" t="n">
        <v>27.3</v>
      </c>
      <c r="AY131" s="74" t="n">
        <v>7.3</v>
      </c>
      <c r="AZ131" s="75" t="inlineStr">
        <is>
          <t>N</t>
        </is>
      </c>
      <c r="BA131" s="76">
        <f>IF('BBG Verify'!K131="","not filed — run on terminal",'BBG Verify'!K131)</f>
        <v/>
      </c>
      <c r="BB131" s="63" t="inlineStr">
        <is>
          <t>N/A</t>
        </is>
      </c>
      <c r="BC131" s="63" t="inlineStr">
        <is>
          <t>N/A</t>
        </is>
      </c>
      <c r="BD131" s="63" t="inlineStr">
        <is>
          <t>N/A</t>
        </is>
      </c>
      <c r="BE131" s="63" t="inlineStr">
        <is>
          <t>N/A</t>
        </is>
      </c>
      <c r="BF131" s="63" t="inlineStr">
        <is>
          <t>N/A</t>
        </is>
      </c>
      <c r="BG131" s="75" t="inlineStr">
        <is>
          <t>Morgan Stanley Asia Limited; China International Capital Corporation Hong Kong Securities Limited</t>
        </is>
      </c>
      <c r="BH131" s="63" t="inlineStr">
        <is>
          <t>China International Capital Corporation Hong Kong Securities Limited; Morgan Stanley Asia Limited</t>
        </is>
      </c>
      <c r="BI131" s="63" t="inlineStr">
        <is>
          <t>Morgan Stanley Asia Limited; China International Capital Corporation Hong Kong Securities Limited; CMB International Capital Limited; Futu Securities International (Hong Kong) Limited</t>
        </is>
      </c>
      <c r="BJ131" s="63" t="inlineStr">
        <is>
          <t>China International Capital Corporation Hong Kong Securities Limited; CMB International Capital Limited; Futu Securities International (Hong Kong) Limited; Livermore Holdings Limited; Morgan Stanley Asia Limited</t>
        </is>
      </c>
      <c r="BK131" s="77">
        <f>HYPERLINK("https://www1.hkexnews.hk/listedco/listconews/sehk/2022/0729/2022072900015.pdf","prospectus")</f>
        <v/>
      </c>
      <c r="BL131" s="77">
        <f>HYPERLINK("https://www1.hkexnews.hk/listedco/listconews/sehk/2022/0809/2022080900036.htm","allotment")</f>
        <v/>
      </c>
      <c r="BM131" s="77">
        <f>HYPERLINK("https://www1.hkexnews.hk/listedco/listconews/sehk/2022/0902/2022090202423.pdf","stabilisation")</f>
        <v/>
      </c>
      <c r="BN131" s="75" t="n"/>
      <c r="BO131" s="63" t="inlineStr">
        <is>
          <t>A/H: no A-share listing</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7" t="n">
        <v>17.06</v>
      </c>
      <c r="W132" s="63" t="inlineStr">
        <is>
          <t>Dato Sri Ng Chong Keong; Dato Sri Pek Kok Sam; Huihuang Resources Limited; Mr. Tee Kian Heng</t>
        </is>
      </c>
      <c r="X132" s="63" t="inlineStr">
        <is>
          <t>dato;huihuang;mr-tee</t>
        </is>
      </c>
      <c r="Y132" s="67" t="n">
        <v>15</v>
      </c>
      <c r="Z132" s="63" t="inlineStr">
        <is>
          <t>full</t>
        </is>
      </c>
      <c r="AA132" s="72" t="n">
        <v>41.07</v>
      </c>
      <c r="AB132" s="73" t="n">
        <v>42.86</v>
      </c>
      <c r="AC132" s="73" t="n">
        <v>-1.25</v>
      </c>
      <c r="AD132" s="73" t="n">
        <v>62.5</v>
      </c>
      <c r="AE132" s="73" t="n">
        <v>96.43000000000001</v>
      </c>
      <c r="AF132" s="73" t="n">
        <v>258.93</v>
      </c>
      <c r="AG132" s="73" t="n">
        <v>15.19</v>
      </c>
      <c r="AH132" s="73" t="n">
        <v>39.24</v>
      </c>
      <c r="AI132" s="73" t="n">
        <v>154.43</v>
      </c>
      <c r="AJ132" s="73" t="n">
        <v>59.03</v>
      </c>
      <c r="AK132" s="73" t="n">
        <v>102.35</v>
      </c>
      <c r="AL132" s="73" t="n">
        <v>268.7</v>
      </c>
      <c r="AM132" s="73" t="n">
        <v>45.12</v>
      </c>
      <c r="AN132" s="73" t="n">
        <v>-5.92</v>
      </c>
      <c r="AO132" s="73" t="n">
        <v>-5.88</v>
      </c>
      <c r="AP132" s="63" t="inlineStr">
        <is>
          <t>Hang Seng Commerce &amp; Industry sub-index</t>
        </is>
      </c>
      <c r="AQ132" s="73" t="n">
        <v>-10.71</v>
      </c>
      <c r="AR132" s="64" t="inlineStr">
        <is>
          <t>2026-08-20</t>
        </is>
      </c>
      <c r="AS132" s="65" t="n">
        <v>668.7</v>
      </c>
      <c r="AT132" s="68" t="n">
        <v>23.6</v>
      </c>
      <c r="AU132" s="63" t="inlineStr">
        <is>
          <t>Y</t>
        </is>
      </c>
      <c r="AV132" s="74" t="n">
        <v>20.7</v>
      </c>
      <c r="AW132" s="74" t="n"/>
      <c r="AX132" s="74" t="n">
        <v>8.1</v>
      </c>
      <c r="AY132" s="74" t="n">
        <v>0.7</v>
      </c>
      <c r="AZ132" s="75" t="inlineStr">
        <is>
          <t>N</t>
        </is>
      </c>
      <c r="BA132" s="76">
        <f>IF('BBG Verify'!K132="","not filed — run on terminal",'BBG Verify'!K132)</f>
        <v/>
      </c>
      <c r="BB132" s="63" t="inlineStr">
        <is>
          <t>N/A</t>
        </is>
      </c>
      <c r="BC132" s="63" t="inlineStr">
        <is>
          <t>N/A</t>
        </is>
      </c>
      <c r="BD132" s="63" t="inlineStr">
        <is>
          <t>N/A</t>
        </is>
      </c>
      <c r="BE132" s="63" t="inlineStr">
        <is>
          <t>N/A</t>
        </is>
      </c>
      <c r="BF132" s="63" t="inlineStr">
        <is>
          <t>N/A</t>
        </is>
      </c>
      <c r="BG132" s="75" t="inlineStr">
        <is>
          <t>Sunny Fortune Capital Limited</t>
        </is>
      </c>
      <c r="BH132" s="63" t="inlineStr">
        <is>
          <t>Sunny Fortune Capital Limited</t>
        </is>
      </c>
      <c r="BI132" s="63"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7">
        <f>HYPERLINK("https://www1.hkexnews.hk/listedco/listconews/sehk/2022/0808/2022080800013.pdf","prospectus")</f>
        <v/>
      </c>
      <c r="BL132" s="77">
        <f>HYPERLINK("https://www1.hkexnews.hk/listedco/listconews/sehk/2022/0818/2022081800018.htm","allotment")</f>
        <v/>
      </c>
      <c r="BM132" s="77">
        <f>HYPERLINK("https://www1.hkexnews.hk/listedco/listconews/sehk/2022/0913/2022091300161.pdf","stabilisation")</f>
        <v/>
      </c>
      <c r="BN132" s="75" t="n"/>
      <c r="BO132" s="63" t="inlineStr">
        <is>
          <t>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7" t="n">
        <v>17.88</v>
      </c>
      <c r="W133" s="63" t="inlineStr">
        <is>
          <t>Chiyu International Capital Limited; Suzhou Guanglin Construction Company Limited; Suzhou Qianmo Village Development Construction Tourism Company Limited</t>
        </is>
      </c>
      <c r="X133" s="63" t="inlineStr">
        <is>
          <t>chiyu;suzhou</t>
        </is>
      </c>
      <c r="Y133" s="67" t="n">
        <v>17.55</v>
      </c>
      <c r="Z133" s="63" t="inlineStr">
        <is>
          <t>partial</t>
        </is>
      </c>
      <c r="AA133" s="72" t="n">
        <v>-0.12</v>
      </c>
      <c r="AB133" s="73" t="n">
        <v>-4.65</v>
      </c>
      <c r="AC133" s="73" t="n">
        <v>4.75</v>
      </c>
      <c r="AD133" s="73" t="n">
        <v>-0.12</v>
      </c>
      <c r="AE133" s="73" t="n">
        <v>-27.33</v>
      </c>
      <c r="AF133" s="73" t="n">
        <v>-29.07</v>
      </c>
      <c r="AG133" s="73" t="n">
        <v>0</v>
      </c>
      <c r="AH133" s="73" t="n">
        <v>-27.24</v>
      </c>
      <c r="AI133" s="73" t="n">
        <v>-28.98</v>
      </c>
      <c r="AJ133" s="73" t="n">
        <v>0.08</v>
      </c>
      <c r="AK133" s="73" t="n">
        <v>-26.23</v>
      </c>
      <c r="AL133" s="73" t="n">
        <v>-20.32</v>
      </c>
      <c r="AM133" s="73" t="n">
        <v>-27.51</v>
      </c>
      <c r="AN133" s="73" t="n">
        <v>-1.1</v>
      </c>
      <c r="AO133" s="73" t="n">
        <v>0.27</v>
      </c>
      <c r="AP133" s="63" t="inlineStr">
        <is>
          <t>Hang Seng Properties sub-index</t>
        </is>
      </c>
      <c r="AQ133" s="73" t="n">
        <v>-44.3</v>
      </c>
      <c r="AR133" s="64" t="inlineStr">
        <is>
          <t>2026-08-20</t>
        </is>
      </c>
      <c r="AS133" s="65" t="n">
        <v>508.2</v>
      </c>
      <c r="AT133" s="68" t="n">
        <v>62.2</v>
      </c>
      <c r="AU133" s="63" t="inlineStr">
        <is>
          <t>Y</t>
        </is>
      </c>
      <c r="AV133" s="74" t="n">
        <v>15.4</v>
      </c>
      <c r="AW133" s="74" t="n"/>
      <c r="AX133" s="74" t="n">
        <v>5.6</v>
      </c>
      <c r="AY133" s="74" t="n">
        <v>1.9</v>
      </c>
      <c r="AZ133" s="75" t="inlineStr">
        <is>
          <t>N</t>
        </is>
      </c>
      <c r="BA133" s="76">
        <f>IF('BBG Verify'!K133="","not filed — run on terminal",'BBG Verify'!K133)</f>
        <v/>
      </c>
      <c r="BB133" s="63" t="inlineStr">
        <is>
          <t>N/A</t>
        </is>
      </c>
      <c r="BC133" s="63" t="inlineStr">
        <is>
          <t>N/A</t>
        </is>
      </c>
      <c r="BD133" s="63" t="inlineStr">
        <is>
          <t>N/A</t>
        </is>
      </c>
      <c r="BE133" s="63" t="inlineStr">
        <is>
          <t>N/A</t>
        </is>
      </c>
      <c r="BF133" s="63" t="inlineStr">
        <is>
          <t>N/A</t>
        </is>
      </c>
      <c r="BG133" s="75" t="inlineStr">
        <is>
          <t>BOCOM International (Asia) Limited; Central, Hong Kong Sole Representative BOCOM International Securities Limited</t>
        </is>
      </c>
      <c r="BH133" s="63" t="inlineStr">
        <is>
          <t>BOCOM International (Asia) Limited</t>
        </is>
      </c>
      <c r="BI133" s="63"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7">
        <f>HYPERLINK("https://www1.hkexnews.hk/listedco/listconews/sehk/2022/0811/2022081100025.pdf","prospectus")</f>
        <v/>
      </c>
      <c r="BL133" s="77">
        <f>HYPERLINK("https://www1.hkexnews.hk/listedco/listconews/sehk/2022/0823/2022082300018.htm","allotment")</f>
        <v/>
      </c>
      <c r="BM133" s="77">
        <f>HYPERLINK("https://www1.hkexnews.hk/listedco/listconews/sehk/2022/0915/2022091501585.pdf","stabilisation")</f>
        <v/>
      </c>
      <c r="BN133" s="75" t="n"/>
      <c r="BO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165.5</v>
      </c>
      <c r="M134" s="66" t="n">
        <v>158</v>
      </c>
      <c r="N134" s="63" t="inlineStr">
        <is>
          <t>N</t>
        </is>
      </c>
      <c r="O134" s="67" t="n">
        <v>95.5</v>
      </c>
      <c r="P134" s="67" t="n"/>
      <c r="Q134" s="68" t="n">
        <v>284350.3</v>
      </c>
      <c r="R134" s="63" t="inlineStr">
        <is>
          <t>derived:deal size / offer % of enlarged capital</t>
        </is>
      </c>
      <c r="S134" s="69" t="n">
        <v>1.06</v>
      </c>
      <c r="T134" s="70" t="n">
        <v>4.7</v>
      </c>
      <c r="U134" s="71" t="n">
        <v>44.5</v>
      </c>
      <c r="V134" s="67" t="n">
        <v>3.17</v>
      </c>
      <c r="W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3" t="inlineStr">
        <is>
          <t>amorepacific;state-owned;structural;cosco;hainan;luzhou;rongshi;shanghai-airport;oaktree</t>
        </is>
      </c>
      <c r="Y134" s="67" t="n">
        <v>5</v>
      </c>
      <c r="Z134" s="63" t="n"/>
      <c r="AA134" s="72" t="n">
        <v>0</v>
      </c>
      <c r="AB134" s="73" t="n">
        <v>-24.05</v>
      </c>
      <c r="AC134" s="73" t="n">
        <v>31.67</v>
      </c>
      <c r="AD134" s="73" t="n">
        <v>8.23</v>
      </c>
      <c r="AE134" s="73" t="n">
        <v>17.09</v>
      </c>
      <c r="AF134" s="73" t="n">
        <v>9.300000000000001</v>
      </c>
      <c r="AG134" s="73" t="n">
        <v>8.23</v>
      </c>
      <c r="AH134" s="73" t="n">
        <v>17.09</v>
      </c>
      <c r="AI134" s="73" t="n">
        <v>9.300000000000001</v>
      </c>
      <c r="AJ134" s="73" t="n">
        <v>5.36</v>
      </c>
      <c r="AK134" s="73" t="n">
        <v>24.76</v>
      </c>
      <c r="AL134" s="73" t="n">
        <v>20.62</v>
      </c>
      <c r="AM134" s="73" t="n">
        <v>28.99</v>
      </c>
      <c r="AN134" s="73" t="n">
        <v>-7.67</v>
      </c>
      <c r="AO134" s="73" t="n">
        <v>-11.9</v>
      </c>
      <c r="AP134" s="63" t="inlineStr">
        <is>
          <t>Hang Seng Commerce &amp; Industry sub-index</t>
        </is>
      </c>
      <c r="AQ134" s="73" t="n">
        <v>-68.94</v>
      </c>
      <c r="AR134" s="64" t="inlineStr">
        <is>
          <t>2026-08-20</t>
        </is>
      </c>
      <c r="AS134" s="65" t="n">
        <v>74443.10000000001</v>
      </c>
      <c r="AT134" s="68" t="n">
        <v>13685.4</v>
      </c>
      <c r="AU134" s="63" t="inlineStr">
        <is>
          <t>Y</t>
        </is>
      </c>
      <c r="AV134" s="74" t="n">
        <v>20.8</v>
      </c>
      <c r="AW134" s="74" t="n">
        <v>32.6</v>
      </c>
      <c r="AX134" s="74" t="n">
        <v>22</v>
      </c>
      <c r="AY134" s="74" t="n">
        <v>3.8</v>
      </c>
      <c r="AZ134" s="75" t="inlineStr">
        <is>
          <t>Y</t>
        </is>
      </c>
      <c r="BA134" s="63" t="inlineStr">
        <is>
          <t>601888.SS</t>
        </is>
      </c>
      <c r="BB134" s="73" t="n">
        <v>37.93</v>
      </c>
      <c r="BC134" s="66" t="n">
        <v>217.934</v>
      </c>
      <c r="BD134" s="80" t="n">
        <v>0.2527</v>
      </c>
      <c r="BE134" s="78">
        <f>IF('BBG Verify'!Q134="","run on terminal",'BBG Verify'!Q134)</f>
        <v/>
      </c>
      <c r="BF134" s="78">
        <f>IF('BBG Verify'!R134="","run on terminal",'BBG Verify'!R134)</f>
        <v/>
      </c>
      <c r="BG134" s="75" t="inlineStr">
        <is>
          <t>China International Capital Corporation Hong Kong Securities Limited; UBS Securities Hong Kong Limited</t>
        </is>
      </c>
      <c r="BH134" s="63" t="inlineStr">
        <is>
          <t>China International Capital Corporation Hong Kong Securities Limited; UBS Securities Hong Kong Limited</t>
        </is>
      </c>
      <c r="BI134" s="63"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7">
        <f>HYPERLINK("https://www1.hkexnews.hk/listedco/listconews/sehk/2022/0815/2022081500013.pdf","prospectus")</f>
        <v/>
      </c>
      <c r="BL134" s="77">
        <f>HYPERLINK("https://www1.hkexnews.hk/listedco/listconews/sehk/2022/0824/2022082400024.htm","allotment")</f>
        <v/>
      </c>
      <c r="BM134" s="63" t="n"/>
      <c r="BN134" s="75" t="n"/>
      <c r="BO134" s="63" t="inlineStr">
        <is>
          <t>greenshoe: end-of-stabilisation notice not located · range low: cap-only pricing — the filing publishes a Maximum Offer Price and no indicative floor · A/H: Aug 2022, ~US$2.1bn H offering</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7" t="n">
        <v>1.58</v>
      </c>
      <c r="W135" s="63" t="inlineStr">
        <is>
          <t>Beijing Xingxing Equity Investment Partnership (Limited Partnership); QuantumPharm Limited; RemeGen Co., Ltd; Sanjin International CO., LTD; VEKEN (HONGKONG) ECONOMIC AND TRADE CO., LIMITED</t>
        </is>
      </c>
      <c r="X135" s="63" t="inlineStr">
        <is>
          <t>beijing-xingxing;quantumpharm;remegen;sanjin;veken</t>
        </is>
      </c>
      <c r="Y135" s="67" t="n">
        <v>14.1</v>
      </c>
      <c r="Z135" s="63" t="inlineStr">
        <is>
          <t>partial</t>
        </is>
      </c>
      <c r="AA135" s="72" t="n">
        <v>3.09</v>
      </c>
      <c r="AB135" s="73" t="n">
        <v>4.28</v>
      </c>
      <c r="AC135" s="73" t="n">
        <v>-1.14</v>
      </c>
      <c r="AD135" s="73" t="n">
        <v>0.71</v>
      </c>
      <c r="AE135" s="73" t="n">
        <v>5.47</v>
      </c>
      <c r="AF135" s="73" t="n">
        <v>3.09</v>
      </c>
      <c r="AG135" s="73" t="n">
        <v>-2.31</v>
      </c>
      <c r="AH135" s="73" t="n">
        <v>2.31</v>
      </c>
      <c r="AI135" s="73" t="n">
        <v>0</v>
      </c>
      <c r="AJ135" s="73" t="n">
        <v>5.94</v>
      </c>
      <c r="AK135" s="73" t="n">
        <v>19.05</v>
      </c>
      <c r="AL135" s="73" t="n">
        <v>3.95</v>
      </c>
      <c r="AM135" s="73" t="n">
        <v>15.36</v>
      </c>
      <c r="AN135" s="73" t="n">
        <v>-13.58</v>
      </c>
      <c r="AO135" s="73" t="n">
        <v>-13.05</v>
      </c>
      <c r="AP135" s="63" t="inlineStr">
        <is>
          <t>China Biotech ETF (HS biotech proxy)</t>
        </is>
      </c>
      <c r="AQ135" s="73" t="n">
        <v>142.27</v>
      </c>
      <c r="AR135" s="64" t="inlineStr">
        <is>
          <t>2026-08-20</t>
        </is>
      </c>
      <c r="AS135" s="65" t="n">
        <v>390</v>
      </c>
      <c r="AT135" s="68" t="n">
        <v>-600.1</v>
      </c>
      <c r="AU135" s="63" t="inlineStr">
        <is>
          <t>N</t>
        </is>
      </c>
      <c r="AV135" s="63" t="inlineStr">
        <is>
          <t>n/m</t>
        </is>
      </c>
      <c r="AW135" s="74" t="n"/>
      <c r="AX135" s="74" t="n">
        <v>127.3</v>
      </c>
      <c r="AY135" s="74" t="n">
        <v>25.7</v>
      </c>
      <c r="AZ135" s="75" t="inlineStr">
        <is>
          <t>Y</t>
        </is>
      </c>
      <c r="BA135" s="63" t="inlineStr">
        <is>
          <t>688796.SS</t>
        </is>
      </c>
      <c r="BB135" s="73" t="n"/>
      <c r="BC135" s="66" t="n"/>
      <c r="BD135" s="80" t="n">
        <v>1.4384</v>
      </c>
      <c r="BE135" s="78">
        <f>IF('BBG Verify'!Q135="","run on terminal",'BBG Verify'!Q135)</f>
        <v/>
      </c>
      <c r="BF135" s="78">
        <f>IF('BBG Verify'!R135="","run on terminal",'BBG Verify'!R135)</f>
        <v/>
      </c>
      <c r="BG135" s="75" t="inlineStr">
        <is>
          <t>Goldman Sachs (Asia) L.L.C; China International Capital Corporation Hong Kong Securities Limited</t>
        </is>
      </c>
      <c r="BH135" s="63" t="inlineStr">
        <is>
          <t>China International Capital Corporation Hong Kong Securities Limited; Goldman Sachs (Asia) L.L.C.</t>
        </is>
      </c>
      <c r="BI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7">
        <f>HYPERLINK("https://www1.hkexnews.hk/listedco/listconews/sehk/2022/0819/2022081900021.pdf","prospectus")</f>
        <v/>
      </c>
      <c r="BL135" s="77">
        <f>HYPERLINK("https://www1.hkexnews.hk/listedco/listconews/sehk/2022/0831/2022083100060.htm","allotment")</f>
        <v/>
      </c>
      <c r="BM135" s="77">
        <f>HYPERLINK("https://www1.hkexnews.hk/listedco/listconews/sehk/2022/0923/2022092301878.pdf","stabilisation")</f>
        <v/>
      </c>
      <c r="BN135" s="75" t="n"/>
      <c r="BO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7" t="n">
        <v>0.65</v>
      </c>
      <c r="W136" s="63" t="inlineStr">
        <is>
          <t>Harvest International Premium Value (Secondary Market) Fund SPC; Jumpcan International Co., Ltd; Sunshine Life Insurance Corporation Limited</t>
        </is>
      </c>
      <c r="X136" s="63" t="inlineStr">
        <is>
          <t>harvest;jumpcan;sunshine</t>
        </is>
      </c>
      <c r="Y136" s="67" t="n">
        <v>10</v>
      </c>
      <c r="Z136" s="63" t="inlineStr">
        <is>
          <t>lapsed</t>
        </is>
      </c>
      <c r="AA136" s="72" t="n">
        <v>0</v>
      </c>
      <c r="AB136" s="73" t="n">
        <v>2.83</v>
      </c>
      <c r="AC136" s="73" t="n">
        <v>-2.75</v>
      </c>
      <c r="AD136" s="73" t="n">
        <v>0.33</v>
      </c>
      <c r="AE136" s="73" t="n">
        <v>-1</v>
      </c>
      <c r="AF136" s="73" t="n">
        <v>0</v>
      </c>
      <c r="AG136" s="73" t="n">
        <v>0.33</v>
      </c>
      <c r="AH136" s="73" t="n">
        <v>-1</v>
      </c>
      <c r="AI136" s="73" t="n">
        <v>0</v>
      </c>
      <c r="AJ136" s="73" t="n">
        <v>8.640000000000001</v>
      </c>
      <c r="AK136" s="73" t="n">
        <v>3.13</v>
      </c>
      <c r="AL136" s="73" t="n">
        <v>-5.67</v>
      </c>
      <c r="AM136" s="73" t="n">
        <v>1.52</v>
      </c>
      <c r="AN136" s="73" t="n">
        <v>-4.13</v>
      </c>
      <c r="AO136" s="73" t="n">
        <v>-2.52</v>
      </c>
      <c r="AP136" s="63" t="inlineStr">
        <is>
          <t>China Biotech ETF (HS biotech proxy)</t>
        </is>
      </c>
      <c r="AQ136" s="73" t="n">
        <v>-93.33</v>
      </c>
      <c r="AR136" s="64" t="inlineStr">
        <is>
          <t>2026-08-20</t>
        </is>
      </c>
      <c r="AS136" s="65" t="n">
        <v>2451.4</v>
      </c>
      <c r="AT136" s="68" t="n">
        <v>-1.2</v>
      </c>
      <c r="AU136" s="63" t="inlineStr">
        <is>
          <t>N</t>
        </is>
      </c>
      <c r="AV136" s="63" t="inlineStr">
        <is>
          <t>n/m</t>
        </is>
      </c>
      <c r="AW136" s="74" t="n"/>
      <c r="AX136" s="74" t="n"/>
      <c r="AY136" s="74" t="n">
        <v>6.6</v>
      </c>
      <c r="AZ136" s="75" t="inlineStr">
        <is>
          <t>N</t>
        </is>
      </c>
      <c r="BA136" s="76">
        <f>IF('BBG Verify'!K136="","not filed — run on terminal",'BBG Verify'!K136)</f>
        <v/>
      </c>
      <c r="BB136" s="63" t="inlineStr">
        <is>
          <t>N/A</t>
        </is>
      </c>
      <c r="BC136" s="63" t="inlineStr">
        <is>
          <t>N/A</t>
        </is>
      </c>
      <c r="BD136" s="63" t="inlineStr">
        <is>
          <t>N/A</t>
        </is>
      </c>
      <c r="BE136" s="63" t="inlineStr">
        <is>
          <t>N/A</t>
        </is>
      </c>
      <c r="BF136" s="63" t="inlineStr">
        <is>
          <t>N/A</t>
        </is>
      </c>
      <c r="BG136" s="75" t="inlineStr">
        <is>
          <t>CMB International Capital Limited</t>
        </is>
      </c>
      <c r="BH136" s="63" t="inlineStr">
        <is>
          <t>China International Capital Corporation Hong Kong Securities Limited; CMB International Capital Corporation Limited</t>
        </is>
      </c>
      <c r="BI136" s="63" t="inlineStr">
        <is>
          <t>CMB International Capital Limited; China International Capital Corporation Hong Kong Securities Limited; Futu Securities International (Hong Kong) Limited</t>
        </is>
      </c>
      <c r="BJ136" s="63" t="inlineStr">
        <is>
          <t>China International Capital Corporation Hong Kong Securities Limited; CMB International Capital Corporation Limited; Futu Securities International (Hong Kong) Limited; Silverbricks Securities Company Limited</t>
        </is>
      </c>
      <c r="BK136" s="77">
        <f>HYPERLINK("https://www1.hkexnews.hk/listedco/listconews/sehk/2022/0901/2022090100013.pdf","prospectus")</f>
        <v/>
      </c>
      <c r="BL136" s="77">
        <f>HYPERLINK("https://www1.hkexnews.hk/listedco/listconews/sehk/2022/0913/2022091300006.htm","allotment")</f>
        <v/>
      </c>
      <c r="BM136" s="77">
        <f>HYPERLINK("https://www1.hkexnews.hk/listedco/listconews/sehk/2022/1006/2022100601196.pdf","stabilisation")</f>
        <v/>
      </c>
      <c r="BN136" s="75" t="n"/>
      <c r="BO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v>0.8</v>
      </c>
      <c r="L137" s="66" t="n">
        <v>0.86</v>
      </c>
      <c r="M137" s="66" t="n">
        <v>0.85</v>
      </c>
      <c r="N137" s="63" t="inlineStr">
        <is>
          <t>N</t>
        </is>
      </c>
      <c r="O137" s="67" t="n">
        <v>98.8</v>
      </c>
      <c r="P137" s="67" t="n">
        <v>83.3</v>
      </c>
      <c r="Q137" s="68" t="n">
        <v>478</v>
      </c>
      <c r="R137" s="63" t="inlineStr">
        <is>
          <t>derived:deal size / offer % of enlarged capital</t>
        </is>
      </c>
      <c r="S137" s="69" t="n">
        <v>151.3</v>
      </c>
      <c r="T137" s="70" t="n">
        <v>1.1</v>
      </c>
      <c r="U137" s="71" t="n">
        <v>27.6</v>
      </c>
      <c r="V137" s="67" t="n">
        <v>18.1</v>
      </c>
      <c r="W137" s="63" t="inlineStr">
        <is>
          <t>ATNT Group Management Limited; EC InfoTech Limited; Mr. Cheng Wan Wai; Mr. Hung Kwong Yee; Wong Cheuk Tim, Timothy</t>
        </is>
      </c>
      <c r="X137" s="63" t="inlineStr">
        <is>
          <t>atnt;ec;mr-cheng;mr-hung;wong</t>
        </is>
      </c>
      <c r="Y137" s="67" t="n">
        <v>15</v>
      </c>
      <c r="Z137" s="63" t="inlineStr">
        <is>
          <t>lapsed (no over-allocation)</t>
        </is>
      </c>
      <c r="AA137" s="72" t="n">
        <v>-27.06</v>
      </c>
      <c r="AB137" s="73" t="n">
        <v>5.88</v>
      </c>
      <c r="AC137" s="73" t="n">
        <v>-31.11</v>
      </c>
      <c r="AD137" s="73" t="n">
        <v>-34.12</v>
      </c>
      <c r="AE137" s="73" t="n">
        <v>-41.18</v>
      </c>
      <c r="AF137" s="73" t="n">
        <v>-54.12</v>
      </c>
      <c r="AG137" s="73" t="n">
        <v>-9.68</v>
      </c>
      <c r="AH137" s="73" t="n">
        <v>-19.36</v>
      </c>
      <c r="AI137" s="73" t="n">
        <v>-37.1</v>
      </c>
      <c r="AJ137" s="73" t="n">
        <v>-31.16</v>
      </c>
      <c r="AK137" s="73" t="n">
        <v>-25.58</v>
      </c>
      <c r="AL137" s="73" t="n">
        <v>-63.72</v>
      </c>
      <c r="AM137" s="73" t="n">
        <v>-2.79</v>
      </c>
      <c r="AN137" s="73" t="n">
        <v>-15.6</v>
      </c>
      <c r="AO137" s="73" t="n">
        <v>-16.57</v>
      </c>
      <c r="AP137" s="63" t="inlineStr">
        <is>
          <t>Hang Seng Commerce &amp; Industry sub-index</t>
        </is>
      </c>
      <c r="AQ137" s="73" t="n">
        <v>-22.35</v>
      </c>
      <c r="AR137" s="64" t="inlineStr">
        <is>
          <t>2026-08-21</t>
        </is>
      </c>
      <c r="AS137" s="65" t="n">
        <v>631.5</v>
      </c>
      <c r="AT137" s="68" t="n">
        <v>47.3</v>
      </c>
      <c r="AU137" s="63" t="inlineStr">
        <is>
          <t>Y</t>
        </is>
      </c>
      <c r="AV137" s="74" t="n">
        <v>10.1</v>
      </c>
      <c r="AW137" s="74" t="n"/>
      <c r="AX137" s="74" t="n"/>
      <c r="AY137" s="74" t="n">
        <v>0.8</v>
      </c>
      <c r="AZ137" s="75" t="inlineStr">
        <is>
          <t>N</t>
        </is>
      </c>
      <c r="BA137" s="76">
        <f>IF('BBG Verify'!K137="","not filed — run on terminal",'BBG Verify'!K137)</f>
        <v/>
      </c>
      <c r="BB137" s="63" t="inlineStr">
        <is>
          <t>N/A</t>
        </is>
      </c>
      <c r="BC137" s="63" t="inlineStr">
        <is>
          <t>N/A</t>
        </is>
      </c>
      <c r="BD137" s="63" t="inlineStr">
        <is>
          <t>N/A</t>
        </is>
      </c>
      <c r="BE137" s="63" t="inlineStr">
        <is>
          <t>N/A</t>
        </is>
      </c>
      <c r="BF137" s="63" t="inlineStr">
        <is>
          <t>N/A</t>
        </is>
      </c>
      <c r="BG137" s="75" t="inlineStr">
        <is>
          <t>Innovax Capital Limited</t>
        </is>
      </c>
      <c r="BH137" s="63" t="inlineStr">
        <is>
          <t>Innovax Capital Limited</t>
        </is>
      </c>
      <c r="BI137" s="63" t="inlineStr">
        <is>
          <t>and Innovax Securities Limited</t>
        </is>
      </c>
      <c r="BJ137" s="63" t="inlineStr">
        <is>
          <t>Canfield Securities Company Limited; China PA Securities (Hong Kong) Company Limited; Innovax Securities Limited; Sinomax Securities Limited</t>
        </is>
      </c>
      <c r="BK137" s="77">
        <f>HYPERLINK("https://www1.hkexnews.hk/listedco/listconews/sehk/2022/0913/2022091300024.htm","prospectus")</f>
        <v/>
      </c>
      <c r="BL137" s="77">
        <f>HYPERLINK("https://www1.hkexnews.hk/listedco/listconews/sehk/2022/0923/2022092300212.htm","allotment")</f>
        <v/>
      </c>
      <c r="BM137" s="77">
        <f>HYPERLINK("https://www1.hkexnews.hk/listedco/listconews/sehk/2022/1017/2022101700385.pdf","stabilisation")</f>
        <v/>
      </c>
      <c r="BN137" s="75" t="n"/>
      <c r="BO137" s="63" t="inlineStr">
        <is>
          <t>A/H: no A-share listing · returns: price returns exclude the entitlement value of: 2026-06-15 rights 2-for-5 @ HK$0.275 — Bloomberg's back-adjusted history divides by x1.246 · cornerstone: table parse read 100% but the institutional total implies 28% — parse rejected, the AAStocks institutional total used (27.6%)</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918.3</v>
      </c>
      <c r="J138" s="63" t="inlineStr">
        <is>
          <t>net proceeds</t>
        </is>
      </c>
      <c r="K138" s="66" t="n">
        <v>48</v>
      </c>
      <c r="L138" s="66" t="n">
        <v>62</v>
      </c>
      <c r="M138" s="66" t="n">
        <v>48</v>
      </c>
      <c r="N138" s="63" t="inlineStr">
        <is>
          <t>N</t>
        </is>
      </c>
      <c r="O138" s="67" t="n">
        <v>77.40000000000001</v>
      </c>
      <c r="P138" s="67" t="n">
        <v>0</v>
      </c>
      <c r="Q138" s="68" t="n">
        <v>67235.39999999999</v>
      </c>
      <c r="R138" s="63" t="inlineStr">
        <is>
          <t>aastocks:上市市值 at the struck price</t>
        </is>
      </c>
      <c r="S138" s="69" t="n">
        <v>0.16</v>
      </c>
      <c r="T138" s="70" t="n">
        <v>2.33</v>
      </c>
      <c r="U138" s="71" t="n">
        <v>29.6</v>
      </c>
      <c r="V138" s="67" t="n">
        <v>0.96</v>
      </c>
      <c r="W138" s="63" t="inlineStr">
        <is>
          <t>GF Fund Management Co., Ltd; Jinhua Industrial Fund Co., Ltd; Kwok Tai East International Group Limited; Zhejiang Industrial Fund</t>
        </is>
      </c>
      <c r="X138" s="63" t="inlineStr">
        <is>
          <t>gf;jinhua;kwok;zhejiang</t>
        </is>
      </c>
      <c r="Y138" s="67" t="n">
        <v>14.6</v>
      </c>
      <c r="Z138" s="63" t="inlineStr">
        <is>
          <t>lapsed</t>
        </is>
      </c>
      <c r="AA138" s="72" t="n">
        <v>-33.54</v>
      </c>
      <c r="AB138" s="73" t="n">
        <v>-14.58</v>
      </c>
      <c r="AC138" s="73" t="n">
        <v>-22.2</v>
      </c>
      <c r="AD138" s="73" t="n">
        <v>-48.33</v>
      </c>
      <c r="AE138" s="73" t="n">
        <v>-62.21</v>
      </c>
      <c r="AF138" s="73" t="n">
        <v>-37.08</v>
      </c>
      <c r="AG138" s="73" t="n">
        <v>-22.25</v>
      </c>
      <c r="AH138" s="73" t="n">
        <v>-43.14</v>
      </c>
      <c r="AI138" s="73" t="n">
        <v>-5.33</v>
      </c>
      <c r="AJ138" s="73" t="n">
        <v>-50.82</v>
      </c>
      <c r="AK138" s="73" t="n">
        <v>-44.05</v>
      </c>
      <c r="AL138" s="73" t="n">
        <v>-48.68</v>
      </c>
      <c r="AM138" s="73" t="n">
        <v>-25.2</v>
      </c>
      <c r="AN138" s="73" t="n">
        <v>-18.16</v>
      </c>
      <c r="AO138" s="73" t="n">
        <v>-17.94</v>
      </c>
      <c r="AP138" s="63" t="inlineStr">
        <is>
          <t>Hang Seng Commerce &amp; Industry sub-index</t>
        </is>
      </c>
      <c r="AQ138" s="73" t="n">
        <v>-12.83</v>
      </c>
      <c r="AR138" s="64" t="inlineStr">
        <is>
          <t>2026-08-20</t>
        </is>
      </c>
      <c r="AS138" s="65" t="n">
        <v>694.4</v>
      </c>
      <c r="AT138" s="68" t="n">
        <v>-3130.4</v>
      </c>
      <c r="AU138" s="63" t="inlineStr">
        <is>
          <t>N</t>
        </is>
      </c>
      <c r="AV138" s="63" t="inlineStr">
        <is>
          <t>n/m</t>
        </is>
      </c>
      <c r="AW138" s="74" t="n"/>
      <c r="AX138" s="74" t="n">
        <v>95.59999999999999</v>
      </c>
      <c r="AY138" s="74" t="n">
        <v>96.8</v>
      </c>
      <c r="AZ138" s="75" t="inlineStr">
        <is>
          <t>N</t>
        </is>
      </c>
      <c r="BA138" s="76">
        <f>IF('BBG Verify'!K138="","not filed — run on terminal",'BBG Verify'!K138)</f>
        <v/>
      </c>
      <c r="BB138" s="63" t="inlineStr">
        <is>
          <t>N/A</t>
        </is>
      </c>
      <c r="BC138" s="63" t="inlineStr">
        <is>
          <t>N/A</t>
        </is>
      </c>
      <c r="BD138" s="63" t="inlineStr">
        <is>
          <t>N/A</t>
        </is>
      </c>
      <c r="BE138" s="63" t="inlineStr">
        <is>
          <t>N/A</t>
        </is>
      </c>
      <c r="BF138" s="63" t="inlineStr">
        <is>
          <t>N/A</t>
        </is>
      </c>
      <c r="BG138" s="75" t="inlineStr">
        <is>
          <t>J.P . Morgan Securities (Far East) Limited; China International Capital Corporation Hong Kong Securities Limited; Citigroup Global Markets Asia Limited; CCB International Capital Limited</t>
        </is>
      </c>
      <c r="BH138" s="63" t="inlineStr">
        <is>
          <t>China International Capital Corporation Hong Kong Securities Limited; CCB International Capital Limited; J.P. Morgan Securities (Far East) Limited; Citigroup Global Markets Asia Limited</t>
        </is>
      </c>
      <c r="BI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7">
        <f>HYPERLINK("https://www1.hkexnews.hk/listedco/listconews/sehk/2022/0920/2022092000023.pdf","prospectus")</f>
        <v/>
      </c>
      <c r="BL138" s="77">
        <f>HYPERLINK("https://www1.hkexnews.hk/listedco/listconews/sehk/2022/0928/2022092800020.htm","allotment")</f>
        <v/>
      </c>
      <c r="BM138" s="77">
        <f>HYPERLINK("https://www1.hkexnews.hk/listedco/listconews/sehk/2022/1023/2022102300019.pdf","stabilisation")</f>
        <v/>
      </c>
      <c r="BN138" s="75" t="n"/>
      <c r="BO13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c r="L139" s="66" t="n">
        <v>52.7</v>
      </c>
      <c r="M139" s="66" t="n">
        <v>49.35</v>
      </c>
      <c r="N139" s="63" t="inlineStr">
        <is>
          <t>N</t>
        </is>
      </c>
      <c r="O139" s="67" t="n">
        <v>93.59999999999999</v>
      </c>
      <c r="P139" s="67" t="n"/>
      <c r="Q139" s="68" t="n">
        <v>61685.8</v>
      </c>
      <c r="R139" s="63" t="inlineStr">
        <is>
          <t>aastocks:上市市值 at the struck price</t>
        </is>
      </c>
      <c r="S139" s="69" t="n">
        <v>0.82</v>
      </c>
      <c r="T139" s="70" t="n">
        <v>3.3</v>
      </c>
      <c r="U139" s="71" t="n">
        <v>37.56</v>
      </c>
      <c r="V139" s="67" t="n">
        <v>5.83</v>
      </c>
      <c r="W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3" t="inlineStr">
        <is>
          <t>athos;cephei;chengtong;hhlr;yhg;state-owned;ubs</t>
        </is>
      </c>
      <c r="Y139" s="67" t="n">
        <v>10</v>
      </c>
      <c r="Z139" s="63" t="inlineStr">
        <is>
          <t>partial</t>
        </is>
      </c>
      <c r="AA139" s="72" t="n">
        <v>-6.79</v>
      </c>
      <c r="AB139" s="73" t="n">
        <v>-7.6</v>
      </c>
      <c r="AC139" s="73" t="n">
        <v>0.88</v>
      </c>
      <c r="AD139" s="73" t="n">
        <v>-11.65</v>
      </c>
      <c r="AE139" s="73" t="n">
        <v>-39.72</v>
      </c>
      <c r="AF139" s="73" t="n">
        <v>-0.61</v>
      </c>
      <c r="AG139" s="73" t="n">
        <v>-5.21</v>
      </c>
      <c r="AH139" s="73" t="n">
        <v>-35.33</v>
      </c>
      <c r="AI139" s="73" t="n">
        <v>6.63</v>
      </c>
      <c r="AJ139" s="73" t="n">
        <v>-12.68</v>
      </c>
      <c r="AK139" s="73" t="n">
        <v>-20.53</v>
      </c>
      <c r="AL139" s="73" t="n">
        <v>-13.61</v>
      </c>
      <c r="AM139" s="73" t="n">
        <v>-17.65</v>
      </c>
      <c r="AN139" s="73" t="n">
        <v>-19.19</v>
      </c>
      <c r="AO139" s="73" t="n">
        <v>-17.68</v>
      </c>
      <c r="AP139" s="63" t="inlineStr">
        <is>
          <t>Hang Seng Properties sub-index</t>
        </is>
      </c>
      <c r="AQ139" s="73" t="n">
        <v>-63.69</v>
      </c>
      <c r="AR139" s="64" t="inlineStr">
        <is>
          <t>2026-08-20</t>
        </is>
      </c>
      <c r="AS139" s="65" t="n">
        <v>26075</v>
      </c>
      <c r="AT139" s="68" t="n">
        <v>1885.7</v>
      </c>
      <c r="AU139" s="63" t="inlineStr">
        <is>
          <t>Y</t>
        </is>
      </c>
      <c r="AV139" s="74" t="n">
        <v>32.7</v>
      </c>
      <c r="AW139" s="74" t="n">
        <v>24.2</v>
      </c>
      <c r="AX139" s="74" t="n">
        <v>26</v>
      </c>
      <c r="AY139" s="74" t="n">
        <v>2.4</v>
      </c>
      <c r="AZ139" s="75" t="inlineStr">
        <is>
          <t>N</t>
        </is>
      </c>
      <c r="BA139" s="76">
        <f>IF('BBG Verify'!K139="","not filed — run on terminal",'BBG Verify'!K139)</f>
        <v/>
      </c>
      <c r="BB139" s="63" t="inlineStr">
        <is>
          <t>N/A</t>
        </is>
      </c>
      <c r="BC139" s="63" t="inlineStr">
        <is>
          <t>N/A</t>
        </is>
      </c>
      <c r="BD139" s="63" t="inlineStr">
        <is>
          <t>N/A</t>
        </is>
      </c>
      <c r="BE139" s="63" t="inlineStr">
        <is>
          <t>N/A</t>
        </is>
      </c>
      <c r="BF139" s="63" t="inlineStr">
        <is>
          <t>N/A</t>
        </is>
      </c>
      <c r="BG139" s="75" t="inlineStr">
        <is>
          <t>CLSA Capital Markets Limited; Citigroup Global Markets Asia Limited; Goldman Sachs (Asia) L.L.C; CLSA Limited</t>
        </is>
      </c>
      <c r="BH139" s="63" t="inlineStr">
        <is>
          <t>Goldman Sachs (Asia) L.L.C.; CLSA Capital Markets Limited; Citigroup Global Markets Asia Limited</t>
        </is>
      </c>
      <c r="BI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7">
        <f>HYPERLINK("https://www1.hkexnews.hk/listedco/listconews/sehk/2022/0919/2022091900009.pdf","prospectus")</f>
        <v/>
      </c>
      <c r="BL139" s="77">
        <f>HYPERLINK("https://www1.hkexnews.hk/listedco/listconews/sehk/2022/0928/2022092800042.htm","allotment")</f>
        <v/>
      </c>
      <c r="BM139" s="77">
        <f>HYPERLINK("https://www1.hkexnews.hk/listedco/listconews/sehk/2022/1023/2022102300033.pdf","stabilisation")</f>
        <v/>
      </c>
      <c r="BN139" s="75" t="n"/>
      <c r="BO139" s="63"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7" t="n">
        <v>0.8</v>
      </c>
      <c r="W140" s="63" t="n"/>
      <c r="X140" s="63" t="n"/>
      <c r="Y140" s="67" t="n">
        <v>20</v>
      </c>
      <c r="Z140" s="63" t="inlineStr">
        <is>
          <t>partial</t>
        </is>
      </c>
      <c r="AA140" s="72" t="n">
        <v>3.09</v>
      </c>
      <c r="AB140" s="73" t="n">
        <v>-7.18</v>
      </c>
      <c r="AC140" s="73" t="n">
        <v>11.06</v>
      </c>
      <c r="AD140" s="73" t="n">
        <v>3.71</v>
      </c>
      <c r="AE140" s="73" t="n">
        <v>77.59999999999999</v>
      </c>
      <c r="AF140" s="73" t="n">
        <v>54.7</v>
      </c>
      <c r="AG140" s="73" t="n">
        <v>0.6</v>
      </c>
      <c r="AH140" s="73" t="n">
        <v>72.28</v>
      </c>
      <c r="AI140" s="73" t="n">
        <v>50.06</v>
      </c>
      <c r="AJ140" s="73" t="n">
        <v>7.04</v>
      </c>
      <c r="AK140" s="73" t="n">
        <v>65.25</v>
      </c>
      <c r="AL140" s="73" t="n">
        <v>35.21</v>
      </c>
      <c r="AM140" s="73" t="n">
        <v>58.37</v>
      </c>
      <c r="AN140" s="73" t="n">
        <v>12.35</v>
      </c>
      <c r="AO140" s="73" t="n">
        <v>13.91</v>
      </c>
      <c r="AP140" s="63" t="inlineStr">
        <is>
          <t>China Biotech ETF (HS biotech proxy)</t>
        </is>
      </c>
      <c r="AQ140" s="73" t="n">
        <v>-89.48</v>
      </c>
      <c r="AR140" s="64" t="inlineStr">
        <is>
          <t>2026-08-20</t>
        </is>
      </c>
      <c r="AS140" s="65" t="n">
        <v>1727.1</v>
      </c>
      <c r="AT140" s="68" t="n">
        <v>-667.4</v>
      </c>
      <c r="AU140" s="63" t="inlineStr">
        <is>
          <t>N</t>
        </is>
      </c>
      <c r="AV140" s="63" t="inlineStr">
        <is>
          <t>n/m</t>
        </is>
      </c>
      <c r="AW140" s="74" t="n"/>
      <c r="AX140" s="74" t="n"/>
      <c r="AY140" s="74" t="n">
        <v>11.3</v>
      </c>
      <c r="AZ140" s="75" t="inlineStr">
        <is>
          <t>N</t>
        </is>
      </c>
      <c r="BA140" s="76">
        <f>IF('BBG Verify'!K140="","not filed — run on terminal",'BBG Verify'!K140)</f>
        <v/>
      </c>
      <c r="BB140" s="63" t="inlineStr">
        <is>
          <t>N/A</t>
        </is>
      </c>
      <c r="BC140" s="63" t="inlineStr">
        <is>
          <t>N/A</t>
        </is>
      </c>
      <c r="BD140" s="63" t="inlineStr">
        <is>
          <t>N/A</t>
        </is>
      </c>
      <c r="BE140" s="63" t="inlineStr">
        <is>
          <t>N/A</t>
        </is>
      </c>
      <c r="BF140" s="63" t="inlineStr">
        <is>
          <t>N/A</t>
        </is>
      </c>
      <c r="BG140" s="75" t="inlineStr">
        <is>
          <t>Goldman Sachs (Asia) L.L.C; China International Capital Corporation Hong Kong Securities Limited; China Securities (International) Corporate Finance Company Limited; Central, Hong Kong Macquarie Capital Limited</t>
        </is>
      </c>
      <c r="BH140" s="63" t="inlineStr">
        <is>
          <t>China International Capital Corporation Hong Kong Securities Limited; Goldman Sachs (Asia) L.L.C.; China Securities (International) Corporate Finance Company Limited; Macquarie Capital Limited</t>
        </is>
      </c>
      <c r="BI140" s="63"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7">
        <f>HYPERLINK("https://www1.hkexnews.hk/listedco/listconews/sehk/2022/0923/2022092300031.pdf","prospectus")</f>
        <v/>
      </c>
      <c r="BL140" s="77">
        <f>HYPERLINK("https://www1.hkexnews.hk/listedco/listconews/sehk/2022/1005/2022100500006.htm","allotment")</f>
        <v/>
      </c>
      <c r="BM140" s="77">
        <f>HYPERLINK("https://www1.hkexnews.hk/listedco/listconews/sehk/2022/1028/2022102802169.pdf","stabilisation")</f>
        <v/>
      </c>
      <c r="BN140" s="75" t="n"/>
      <c r="BO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7" t="n">
        <v>6.05</v>
      </c>
      <c r="W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3" t="inlineStr">
        <is>
          <t>changzhou;cngr;hans;hefei;jiangmen;jiangsu;lv;tianqi;tibet;tma;wang-sing;xing;xpeng;zhenshi</t>
        </is>
      </c>
      <c r="Y141" s="67" t="n">
        <v>14.32</v>
      </c>
      <c r="Z141" s="63" t="inlineStr">
        <is>
          <t>lapsed</t>
        </is>
      </c>
      <c r="AA141" s="72" t="n">
        <v>0</v>
      </c>
      <c r="AB141" s="73" t="n">
        <v>0</v>
      </c>
      <c r="AC141" s="73" t="n">
        <v>0</v>
      </c>
      <c r="AD141" s="73" t="n">
        <v>-2.63</v>
      </c>
      <c r="AE141" s="73" t="n">
        <v>-37.76</v>
      </c>
      <c r="AF141" s="73" t="n">
        <v>-45.79</v>
      </c>
      <c r="AG141" s="73" t="n">
        <v>-2.63</v>
      </c>
      <c r="AH141" s="73" t="n">
        <v>-37.76</v>
      </c>
      <c r="AI141" s="73" t="n">
        <v>-45.79</v>
      </c>
      <c r="AJ141" s="73" t="n">
        <v>8.5</v>
      </c>
      <c r="AK141" s="73" t="n">
        <v>-26.11</v>
      </c>
      <c r="AL141" s="73" t="n">
        <v>-60.24</v>
      </c>
      <c r="AM141" s="73" t="n">
        <v>-26.44</v>
      </c>
      <c r="AN141" s="73" t="n">
        <v>-11.65</v>
      </c>
      <c r="AO141" s="73" t="n">
        <v>-11.32</v>
      </c>
      <c r="AP141" s="63" t="inlineStr">
        <is>
          <t>Hang Seng Commerce &amp; Industry sub-index</t>
        </is>
      </c>
      <c r="AQ141" s="73" t="n">
        <v>-47.79</v>
      </c>
      <c r="AR141" s="64" t="inlineStr">
        <is>
          <t>2026-08-20</t>
        </is>
      </c>
      <c r="AS141" s="65" t="n">
        <v>7498.8</v>
      </c>
      <c r="AT141" s="68" t="n"/>
      <c r="AU141" s="63" t="inlineStr">
        <is>
          <t>Y</t>
        </is>
      </c>
      <c r="AV141" s="78">
        <f>IF('BBG Verify'!O141="","not filed — run on terminal",'BBG Verify'!O141)</f>
        <v/>
      </c>
      <c r="AW141" s="74" t="n"/>
      <c r="AX141" s="74" t="n">
        <v>20.7</v>
      </c>
      <c r="AY141" s="74" t="n">
        <v>9</v>
      </c>
      <c r="AZ141" s="75" t="inlineStr">
        <is>
          <t>N</t>
        </is>
      </c>
      <c r="BA141" s="76">
        <f>IF('BBG Verify'!K141="","not filed — run on terminal",'BBG Verify'!K141)</f>
        <v/>
      </c>
      <c r="BB141" s="63" t="inlineStr">
        <is>
          <t>N/A</t>
        </is>
      </c>
      <c r="BC141" s="63" t="inlineStr">
        <is>
          <t>N/A</t>
        </is>
      </c>
      <c r="BD141" s="63" t="inlineStr">
        <is>
          <t>N/A</t>
        </is>
      </c>
      <c r="BE141" s="63" t="inlineStr">
        <is>
          <t>N/A</t>
        </is>
      </c>
      <c r="BF141" s="63" t="inlineStr">
        <is>
          <t>N/A</t>
        </is>
      </c>
      <c r="BG141" s="75" t="inlineStr">
        <is>
          <t>OC Huatai Financial Holdings (Hong Kong) Limited</t>
        </is>
      </c>
      <c r="BH141" s="63" t="inlineStr">
        <is>
          <t>Huatai Financial Holdings (Hong Kong) Limited</t>
        </is>
      </c>
      <c r="BI141" s="63" t="inlineStr">
        <is>
          <t>Huatai Financial Holdings (Hong Kong) Limited; J.P. Morgan Securities (Asia Pacific) Limited; Citigroup Global Markets Asia Limited</t>
        </is>
      </c>
      <c r="BJ141" s="63" t="inlineStr">
        <is>
          <t>Citigroup Global Markets Asia Limited; Credit Suisse (Hong Kong) Limited; Futu Securities International (Hong Kong) Limited; Huatai Financial Holdings (Hong Kong) Limited; J.P. Morgan Securities (Asia Pacific) Limited</t>
        </is>
      </c>
      <c r="BK141" s="77">
        <f>HYPERLINK("https://www1.hkexnews.hk/listedco/listconews/sehk/2022/0923/2022092300035.pdf","prospectus")</f>
        <v/>
      </c>
      <c r="BL141" s="77">
        <f>HYPERLINK("https://www1.hkexnews.hk/listedco/listconews/sehk/2022/1005/2022100500028.htm","allotment")</f>
        <v/>
      </c>
      <c r="BM141" s="77">
        <f>HYPERLINK("https://www1.hkexnews.hk/listedco/listconews/sehk/2022/1028/2022102801659.pdf","stabilisation")</f>
        <v/>
      </c>
      <c r="BN141" s="75" t="n"/>
      <c r="BO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32</v>
      </c>
      <c r="J142" s="63" t="inlineStr">
        <is>
          <t>net proceeds</t>
        </is>
      </c>
      <c r="K142" s="66" t="n"/>
      <c r="L142" s="66" t="n">
        <v>28.8</v>
      </c>
      <c r="M142" s="66" t="n">
        <v>27.8</v>
      </c>
      <c r="N142" s="63" t="inlineStr">
        <is>
          <t>N</t>
        </is>
      </c>
      <c r="O142" s="67" t="n">
        <v>96.5</v>
      </c>
      <c r="P142" s="67" t="n"/>
      <c r="Q142" s="68" t="n">
        <v>11138.4</v>
      </c>
      <c r="R142" s="63" t="inlineStr">
        <is>
          <t>prospectus:stated market capitalisation</t>
        </is>
      </c>
      <c r="S142" s="69" t="n">
        <v>1.52</v>
      </c>
      <c r="T142" s="70" t="n">
        <v>1.19</v>
      </c>
      <c r="U142" s="71" t="n">
        <v>77.7</v>
      </c>
      <c r="V142" s="67" t="n">
        <v>0.06</v>
      </c>
      <c r="W142" s="63" t="inlineStr">
        <is>
          <t>LifeTech Scientific Corporation</t>
        </is>
      </c>
      <c r="X142" s="63" t="inlineStr">
        <is>
          <t>lifetech</t>
        </is>
      </c>
      <c r="Y142" s="67" t="n">
        <v>17.32</v>
      </c>
      <c r="Z142" s="63" t="inlineStr">
        <is>
          <t>lapsed</t>
        </is>
      </c>
      <c r="AA142" s="72" t="n">
        <v>1.62</v>
      </c>
      <c r="AB142" s="73" t="n">
        <v>0.72</v>
      </c>
      <c r="AC142" s="73" t="n">
        <v>0.89</v>
      </c>
      <c r="AD142" s="73" t="n">
        <v>0.54</v>
      </c>
      <c r="AE142" s="73" t="n">
        <v>11.51</v>
      </c>
      <c r="AF142" s="73" t="n">
        <v>28.42</v>
      </c>
      <c r="AG142" s="73" t="n">
        <v>-1.06</v>
      </c>
      <c r="AH142" s="73" t="n">
        <v>9.73</v>
      </c>
      <c r="AI142" s="73" t="n">
        <v>26.37</v>
      </c>
      <c r="AJ142" s="73" t="n">
        <v>-7.07</v>
      </c>
      <c r="AK142" s="73" t="n">
        <v>-4.32</v>
      </c>
      <c r="AL142" s="73" t="n">
        <v>4.05</v>
      </c>
      <c r="AM142" s="73" t="n">
        <v>-8.83</v>
      </c>
      <c r="AN142" s="73" t="n">
        <v>15.83</v>
      </c>
      <c r="AO142" s="73" t="n">
        <v>18.56</v>
      </c>
      <c r="AP142" s="63" t="inlineStr">
        <is>
          <t>China Biotech ETF (HS biotech proxy)</t>
        </is>
      </c>
      <c r="AQ142" s="73" t="n">
        <v>-73.98999999999999</v>
      </c>
      <c r="AR142" s="64" t="inlineStr">
        <is>
          <t>2026-08-21</t>
        </is>
      </c>
      <c r="AS142" s="65" t="n">
        <v>172.8</v>
      </c>
      <c r="AT142" s="68" t="n">
        <v>59.7</v>
      </c>
      <c r="AU142" s="63" t="inlineStr">
        <is>
          <t>Y</t>
        </is>
      </c>
      <c r="AV142" s="74" t="n">
        <v>186.6</v>
      </c>
      <c r="AW142" s="74" t="n"/>
      <c r="AX142" s="74" t="n"/>
      <c r="AY142" s="74" t="n">
        <v>64.5</v>
      </c>
      <c r="AZ142" s="75" t="inlineStr">
        <is>
          <t>N</t>
        </is>
      </c>
      <c r="BA142" s="76">
        <f>IF('BBG Verify'!K142="","not filed — run on terminal",'BBG Verify'!K142)</f>
        <v/>
      </c>
      <c r="BB142" s="63" t="inlineStr">
        <is>
          <t>N/A</t>
        </is>
      </c>
      <c r="BC142" s="63" t="inlineStr">
        <is>
          <t>N/A</t>
        </is>
      </c>
      <c r="BD142" s="63" t="inlineStr">
        <is>
          <t>N/A</t>
        </is>
      </c>
      <c r="BE142" s="63" t="inlineStr">
        <is>
          <t>N/A</t>
        </is>
      </c>
      <c r="BF142" s="63" t="inlineStr">
        <is>
          <t>N/A</t>
        </is>
      </c>
      <c r="BG142" s="75" t="inlineStr">
        <is>
          <t>China International Capital Corporation Hong Kong Securities Limited; Citigroup Global Markets Asia Limited</t>
        </is>
      </c>
      <c r="BH142" s="63" t="inlineStr">
        <is>
          <t>China International Capital Corporation Hong Kong Securities Limited; Citigroup Global Markets Asia Limited</t>
        </is>
      </c>
      <c r="BI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7">
        <f>HYPERLINK("https://www1.hkexnews.hk/listedco/listconews/sehk/2022/0923/2022092300017.pdf","prospectus")</f>
        <v/>
      </c>
      <c r="BL142" s="77">
        <f>HYPERLINK("https://www1.hkexnews.hk/listedco/listconews/sehk/2022/1007/2022100700012.htm","allotment")</f>
        <v/>
      </c>
      <c r="BM142" s="77">
        <f>HYPERLINK("https://www1.hkexnews.hk/listedco/listconews/sehk/2022/1031/2022103100005.pdf","stabilisation")</f>
        <v/>
      </c>
      <c r="BN142" s="75" t="n"/>
      <c r="BO142" s="63"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v>0.5</v>
      </c>
      <c r="L143" s="66" t="n">
        <v>0.54</v>
      </c>
      <c r="M143" s="66" t="n">
        <v>0.5</v>
      </c>
      <c r="N143" s="63" t="inlineStr">
        <is>
          <t>N</t>
        </is>
      </c>
      <c r="O143" s="67" t="n">
        <v>92.59999999999999</v>
      </c>
      <c r="P143" s="67" t="n">
        <v>0</v>
      </c>
      <c r="Q143" s="68" t="n">
        <v>537</v>
      </c>
      <c r="R143" s="63" t="inlineStr">
        <is>
          <t>aastocks:上市市值 at the struck price</t>
        </is>
      </c>
      <c r="S143" s="69" t="n">
        <v>7.58</v>
      </c>
      <c r="T143" s="70" t="n">
        <v>1.04</v>
      </c>
      <c r="U143" s="71" t="n">
        <v>16</v>
      </c>
      <c r="V143" s="67" t="n">
        <v>19.55</v>
      </c>
      <c r="W143" s="63" t="inlineStr">
        <is>
          <t>Chu Kin Lan; Infinitus Wealth Limited</t>
        </is>
      </c>
      <c r="X143" s="63" t="inlineStr">
        <is>
          <t>chu;infinitus</t>
        </is>
      </c>
      <c r="Y143" s="67" t="n">
        <v>15</v>
      </c>
      <c r="Z143" s="63" t="n"/>
      <c r="AA143" s="72" t="n">
        <v>10</v>
      </c>
      <c r="AB143" s="73" t="n">
        <v>24</v>
      </c>
      <c r="AC143" s="73" t="n">
        <v>-11.29</v>
      </c>
      <c r="AD143" s="73" t="n">
        <v>2</v>
      </c>
      <c r="AE143" s="73" t="n">
        <v>8</v>
      </c>
      <c r="AF143" s="73" t="n">
        <v>0</v>
      </c>
      <c r="AG143" s="73" t="n">
        <v>-7.27</v>
      </c>
      <c r="AH143" s="73" t="n">
        <v>-1.82</v>
      </c>
      <c r="AI143" s="73" t="n">
        <v>-9.09</v>
      </c>
      <c r="AJ143" s="73" t="n">
        <v>10.1</v>
      </c>
      <c r="AK143" s="73" t="n">
        <v>16.15</v>
      </c>
      <c r="AL143" s="73" t="n">
        <v>-20.19</v>
      </c>
      <c r="AM143" s="73" t="n">
        <v>2.81</v>
      </c>
      <c r="AN143" s="73" t="n">
        <v>-8.15</v>
      </c>
      <c r="AO143" s="73" t="n">
        <v>-4.63</v>
      </c>
      <c r="AP143" s="63" t="inlineStr">
        <is>
          <t>Hang Seng Commerce &amp; Industry sub-index</t>
        </is>
      </c>
      <c r="AQ143" s="73" t="n">
        <v>155</v>
      </c>
      <c r="AR143" s="64" t="inlineStr">
        <is>
          <t>2026-08-21</t>
        </is>
      </c>
      <c r="AS143" s="65" t="n">
        <v>440.4</v>
      </c>
      <c r="AT143" s="68" t="n">
        <v>46</v>
      </c>
      <c r="AU143" s="63" t="inlineStr">
        <is>
          <t>Y</t>
        </is>
      </c>
      <c r="AV143" s="74" t="n">
        <v>11.7</v>
      </c>
      <c r="AW143" s="74" t="n"/>
      <c r="AX143" s="74" t="n"/>
      <c r="AY143" s="74" t="n">
        <v>1.2</v>
      </c>
      <c r="AZ143" s="75" t="inlineStr">
        <is>
          <t>N</t>
        </is>
      </c>
      <c r="BA143" s="76">
        <f>IF('BBG Verify'!K143="","not filed — run on terminal",'BBG Verify'!K143)</f>
        <v/>
      </c>
      <c r="BB143" s="63" t="inlineStr">
        <is>
          <t>N/A</t>
        </is>
      </c>
      <c r="BC143" s="63" t="inlineStr">
        <is>
          <t>N/A</t>
        </is>
      </c>
      <c r="BD143" s="63" t="inlineStr">
        <is>
          <t>N/A</t>
        </is>
      </c>
      <c r="BE143" s="63" t="inlineStr">
        <is>
          <t>N/A</t>
        </is>
      </c>
      <c r="BF143" s="63" t="inlineStr">
        <is>
          <t>N/A</t>
        </is>
      </c>
      <c r="BG143" s="75" t="n"/>
      <c r="BH143" s="63" t="inlineStr">
        <is>
          <t>Grande Capital Limited</t>
        </is>
      </c>
      <c r="BI143" s="63" t="inlineStr">
        <is>
          <t>China Tonghai Securities Limited; Realord Asia Pacific Securities Limited</t>
        </is>
      </c>
      <c r="BJ143" s="63" t="inlineStr">
        <is>
          <t>China Tonghai Securities Limited; CSFG International Securities Limited; Chief Securities Limited; Realord Asia Pacific Securities Limited; Sinomax Securities Limited</t>
        </is>
      </c>
      <c r="BK143" s="77">
        <f>HYPERLINK("https://www1.hkexnews.hk/listedco/listconews/sehk/2022/0923/2022092300044.htm","prospectus")</f>
        <v/>
      </c>
      <c r="BL143" s="77">
        <f>HYPERLINK("https://www1.hkexnews.hk/listedco/listconews/sehk/2022/1007/2022100700042.htm","allotment")</f>
        <v/>
      </c>
      <c r="BM143" s="63" t="n"/>
      <c r="BN143" s="75" t="n"/>
      <c r="BO143" s="63" t="inlineStr">
        <is>
          <t>greenshoe: end-of-stabilisation notice not located · A/H: no A-share listing · sponsor: English name not in the filing text; AAStocks 保薦人 shown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7" t="n">
        <v>25.11</v>
      </c>
      <c r="W144" s="63" t="inlineStr">
        <is>
          <t>Fighton Asia Master Fund Limited</t>
        </is>
      </c>
      <c r="X144" s="63" t="inlineStr">
        <is>
          <t>fighton</t>
        </is>
      </c>
      <c r="Y144" s="67" t="n">
        <v>10</v>
      </c>
      <c r="Z144" s="63" t="inlineStr">
        <is>
          <t>lapsed (no over-allocation)</t>
        </is>
      </c>
      <c r="AA144" s="72" t="n">
        <v>110.94</v>
      </c>
      <c r="AB144" s="73" t="n">
        <v>103.12</v>
      </c>
      <c r="AC144" s="73" t="n">
        <v>3.85</v>
      </c>
      <c r="AD144" s="73" t="n">
        <v>218.75</v>
      </c>
      <c r="AE144" s="73" t="n">
        <v>314.06</v>
      </c>
      <c r="AF144" s="73" t="n">
        <v>284.38</v>
      </c>
      <c r="AG144" s="73" t="n">
        <v>51.11</v>
      </c>
      <c r="AH144" s="73" t="n">
        <v>96.29000000000001</v>
      </c>
      <c r="AI144" s="73" t="n">
        <v>82.22</v>
      </c>
      <c r="AJ144" s="73" t="n">
        <v>227.23</v>
      </c>
      <c r="AK144" s="73" t="n">
        <v>303.48</v>
      </c>
      <c r="AL144" s="73" t="n">
        <v>254.3</v>
      </c>
      <c r="AM144" s="73" t="n">
        <v>85.88</v>
      </c>
      <c r="AN144" s="73" t="n">
        <v>10.58</v>
      </c>
      <c r="AO144" s="73" t="n">
        <v>10.41</v>
      </c>
      <c r="AP144" s="63" t="inlineStr">
        <is>
          <t>Hang Seng Index</t>
        </is>
      </c>
      <c r="AQ144" s="73" t="n">
        <v>205.47</v>
      </c>
      <c r="AR144" s="64" t="inlineStr">
        <is>
          <t>2026-08-24</t>
        </is>
      </c>
      <c r="AS144" s="65" t="n">
        <v>241.5</v>
      </c>
      <c r="AT144" s="68" t="n">
        <v>55</v>
      </c>
      <c r="AU144" s="63" t="inlineStr">
        <is>
          <t>Y</t>
        </is>
      </c>
      <c r="AV144" s="74" t="n">
        <v>10.5</v>
      </c>
      <c r="AW144" s="74" t="n"/>
      <c r="AX144" s="74" t="n"/>
      <c r="AY144" s="74" t="n">
        <v>2.4</v>
      </c>
      <c r="AZ144" s="75" t="inlineStr">
        <is>
          <t>N</t>
        </is>
      </c>
      <c r="BA144" s="76">
        <f>IF('BBG Verify'!K144="","not filed — run on terminal",'BBG Verify'!K144)</f>
        <v/>
      </c>
      <c r="BB144" s="63" t="inlineStr">
        <is>
          <t>N/A</t>
        </is>
      </c>
      <c r="BC144" s="63" t="inlineStr">
        <is>
          <t>N/A</t>
        </is>
      </c>
      <c r="BD144" s="63" t="inlineStr">
        <is>
          <t>N/A</t>
        </is>
      </c>
      <c r="BE144" s="63" t="inlineStr">
        <is>
          <t>N/A</t>
        </is>
      </c>
      <c r="BF144" s="63" t="inlineStr">
        <is>
          <t>N/A</t>
        </is>
      </c>
      <c r="BG144" s="75" t="inlineStr">
        <is>
          <t>CMBC International Capital Limited</t>
        </is>
      </c>
      <c r="BH144" s="63" t="inlineStr">
        <is>
          <t>CMBC International Capital Limited</t>
        </is>
      </c>
      <c r="BI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7">
        <f>HYPERLINK("https://www1.hkexnews.hk/listedco/listconews/sehk/2022/0930/2022093000075.pdf","prospectus")</f>
        <v/>
      </c>
      <c r="BL144" s="77">
        <f>HYPERLINK("https://www1.hkexnews.hk/listedco/listconews/sehk/2022/1014/2022101400042.htm","allotment")</f>
        <v/>
      </c>
      <c r="BM144" s="77">
        <f>HYPERLINK("https://www1.hkexnews.hk/listedco/listconews/sehk/2022/1106/2022110600015.pdf","stabilisation")</f>
        <v/>
      </c>
      <c r="BN144" s="75" t="n"/>
      <c r="BO144" s="63" t="inlineStr">
        <is>
          <t>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c r="L145" s="66" t="n">
        <v>2.88</v>
      </c>
      <c r="M145" s="66" t="n">
        <v>2.21</v>
      </c>
      <c r="N145" s="63" t="inlineStr">
        <is>
          <t>N</t>
        </is>
      </c>
      <c r="O145" s="67" t="n">
        <v>76.7</v>
      </c>
      <c r="P145" s="67" t="n"/>
      <c r="Q145" s="68" t="n">
        <v>4930.7</v>
      </c>
      <c r="R145" s="63" t="inlineStr">
        <is>
          <t>aastocks:上市市值 at the struck price</t>
        </is>
      </c>
      <c r="S145" s="69" t="n">
        <v>1.05</v>
      </c>
      <c r="T145" s="70" t="n">
        <v>1.07</v>
      </c>
      <c r="U145" s="71" t="n">
        <v>14.7</v>
      </c>
      <c r="V145" s="67" t="n">
        <v>10.38</v>
      </c>
      <c r="W145" s="63" t="inlineStr">
        <is>
          <t>Anji Guorong Construction Co., Ltd; Anji Qicai Lingfeng Rural Tourism Investment Co., Ltd; SensePower Management Limited; TradeGo FinTech Limited; Zhejiang Tianzihu Industry Investment Co., Ltd</t>
        </is>
      </c>
      <c r="X145" s="63" t="inlineStr">
        <is>
          <t>anji;sensepower;tradego;zhejiang</t>
        </is>
      </c>
      <c r="Y145" s="67" t="n">
        <v>16.87</v>
      </c>
      <c r="Z145" s="63" t="inlineStr">
        <is>
          <t>lapsed</t>
        </is>
      </c>
      <c r="AA145" s="72" t="n">
        <v>-4.07</v>
      </c>
      <c r="AB145" s="73" t="n">
        <v>0</v>
      </c>
      <c r="AC145" s="73" t="n">
        <v>-4.07</v>
      </c>
      <c r="AD145" s="73" t="n">
        <v>3.62</v>
      </c>
      <c r="AE145" s="73" t="n">
        <v>47.96</v>
      </c>
      <c r="AF145" s="73" t="n">
        <v>89.59</v>
      </c>
      <c r="AG145" s="73" t="n">
        <v>8.02</v>
      </c>
      <c r="AH145" s="73" t="n">
        <v>54.24</v>
      </c>
      <c r="AI145" s="73" t="n">
        <v>97.63</v>
      </c>
      <c r="AJ145" s="73" t="n">
        <v>12.33</v>
      </c>
      <c r="AK145" s="73" t="n">
        <v>38.07</v>
      </c>
      <c r="AL145" s="73" t="n">
        <v>59.1</v>
      </c>
      <c r="AM145" s="73" t="n">
        <v>46.31</v>
      </c>
      <c r="AN145" s="73" t="n">
        <v>9.890000000000001</v>
      </c>
      <c r="AO145" s="73" t="n">
        <v>7.93</v>
      </c>
      <c r="AP145" s="63" t="inlineStr">
        <is>
          <t>Hang Seng Index</t>
        </is>
      </c>
      <c r="AQ145" s="73" t="n">
        <v>-98.23999999999999</v>
      </c>
      <c r="AR145" s="64" t="inlineStr">
        <is>
          <t>2026-08-24</t>
        </is>
      </c>
      <c r="AS145" s="65" t="n">
        <v>654.8</v>
      </c>
      <c r="AT145" s="68" t="n">
        <v>78.90000000000001</v>
      </c>
      <c r="AU145" s="63" t="inlineStr">
        <is>
          <t>Y</t>
        </is>
      </c>
      <c r="AV145" s="74" t="n">
        <v>62.5</v>
      </c>
      <c r="AW145" s="74" t="n"/>
      <c r="AX145" s="74" t="n"/>
      <c r="AY145" s="74" t="n">
        <v>7.5</v>
      </c>
      <c r="AZ145" s="75" t="inlineStr">
        <is>
          <t>N</t>
        </is>
      </c>
      <c r="BA145" s="76">
        <f>IF('BBG Verify'!K145="","not filed — run on terminal",'BBG Verify'!K145)</f>
        <v/>
      </c>
      <c r="BB145" s="63" t="inlineStr">
        <is>
          <t>N/A</t>
        </is>
      </c>
      <c r="BC145" s="63" t="inlineStr">
        <is>
          <t>N/A</t>
        </is>
      </c>
      <c r="BD145" s="63" t="inlineStr">
        <is>
          <t>N/A</t>
        </is>
      </c>
      <c r="BE145" s="63" t="inlineStr">
        <is>
          <t>N/A</t>
        </is>
      </c>
      <c r="BF145" s="63" t="inlineStr">
        <is>
          <t>N/A</t>
        </is>
      </c>
      <c r="BG145" s="75" t="inlineStr">
        <is>
          <t>Shenwan Hongyuan Capital (H.K.) Limited</t>
        </is>
      </c>
      <c r="BH145" s="63" t="inlineStr">
        <is>
          <t>Shenwan Hongyuan Capital (H.K.) Limited</t>
        </is>
      </c>
      <c r="BI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7">
        <f>HYPERLINK("https://www1.hkexnews.hk/listedco/listconews/sehk/2022/0929/2022092900133.pdf","prospectus")</f>
        <v/>
      </c>
      <c r="BL145" s="77">
        <f>HYPERLINK("https://www1.hkexnews.hk/listedco/listconews/sehk/2022/1017/2022101700012.htm","allotment")</f>
        <v/>
      </c>
      <c r="BM145" s="77">
        <f>HYPERLINK("https://www1.hkexnews.hk/listedco/listconews/sehk/2022/1107/2022110700440.pdf","stabilisation")</f>
        <v/>
      </c>
      <c r="BN145" s="75" t="n"/>
      <c r="BO145" s="63"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c r="L146" s="66" t="n">
        <v>27.7</v>
      </c>
      <c r="M146" s="66" t="n">
        <v>24.3</v>
      </c>
      <c r="N146" s="63" t="inlineStr">
        <is>
          <t>N</t>
        </is>
      </c>
      <c r="O146" s="67" t="n">
        <v>87.7</v>
      </c>
      <c r="P146" s="67" t="n"/>
      <c r="Q146" s="68" t="n">
        <v>24096</v>
      </c>
      <c r="R146" s="63" t="inlineStr">
        <is>
          <t>prospectus:stated market capitalisation</t>
        </is>
      </c>
      <c r="S146" s="69" t="n">
        <v>2.08</v>
      </c>
      <c r="T146" s="70" t="n">
        <v>4.22</v>
      </c>
      <c r="U146" s="71" t="n">
        <v>0</v>
      </c>
      <c r="V146" s="67" t="n">
        <v>2.28</v>
      </c>
      <c r="W146" s="63" t="n"/>
      <c r="X146" s="63" t="n"/>
      <c r="Y146" s="67" t="n">
        <v>10</v>
      </c>
      <c r="Z146" s="63" t="inlineStr">
        <is>
          <t>full</t>
        </is>
      </c>
      <c r="AA146" s="72" t="n">
        <v>9.880000000000001</v>
      </c>
      <c r="AB146" s="73" t="n">
        <v>7</v>
      </c>
      <c r="AC146" s="73" t="n">
        <v>2.69</v>
      </c>
      <c r="AD146" s="73" t="n">
        <v>37.45</v>
      </c>
      <c r="AE146" s="73" t="n">
        <v>24.28</v>
      </c>
      <c r="AF146" s="73" t="n">
        <v>106.38</v>
      </c>
      <c r="AG146" s="73" t="n">
        <v>25.09</v>
      </c>
      <c r="AH146" s="73" t="n">
        <v>13.11</v>
      </c>
      <c r="AI146" s="73" t="n">
        <v>87.81999999999999</v>
      </c>
      <c r="AJ146" s="73" t="n">
        <v>24.53</v>
      </c>
      <c r="AK146" s="73" t="n">
        <v>-4.9</v>
      </c>
      <c r="AL146" s="73" t="n">
        <v>62.73</v>
      </c>
      <c r="AM146" s="73" t="n">
        <v>-8.210000000000001</v>
      </c>
      <c r="AN146" s="73" t="n">
        <v>29.18</v>
      </c>
      <c r="AO146" s="73" t="n">
        <v>21.32</v>
      </c>
      <c r="AP146" s="63" t="inlineStr">
        <is>
          <t>Hang Seng Commerce &amp; Industry sub-index</t>
        </is>
      </c>
      <c r="AQ146" s="73" t="n">
        <v>21.81</v>
      </c>
      <c r="AR146" s="64" t="inlineStr">
        <is>
          <t>2026-08-20</t>
        </is>
      </c>
      <c r="AS146" s="65" t="n">
        <v>1707.7</v>
      </c>
      <c r="AT146" s="68" t="n">
        <v>910.9</v>
      </c>
      <c r="AU146" s="63" t="inlineStr">
        <is>
          <t>Y</t>
        </is>
      </c>
      <c r="AV146" s="74" t="n">
        <v>26.5</v>
      </c>
      <c r="AW146" s="74" t="n"/>
      <c r="AX146" s="74" t="n">
        <v>14</v>
      </c>
      <c r="AY146" s="74" t="n">
        <v>14.1</v>
      </c>
      <c r="AZ146" s="75" t="inlineStr">
        <is>
          <t>N</t>
        </is>
      </c>
      <c r="BA146" s="76">
        <f>IF('BBG Verify'!K146="","not filed — run on terminal",'BBG Verify'!K146)</f>
        <v/>
      </c>
      <c r="BB146" s="63" t="inlineStr">
        <is>
          <t>N/A</t>
        </is>
      </c>
      <c r="BC146" s="63" t="inlineStr">
        <is>
          <t>N/A</t>
        </is>
      </c>
      <c r="BD146" s="63" t="inlineStr">
        <is>
          <t>N/A</t>
        </is>
      </c>
      <c r="BE146" s="63" t="inlineStr">
        <is>
          <t>N/A</t>
        </is>
      </c>
      <c r="BF146" s="63" t="inlineStr">
        <is>
          <t>N/A</t>
        </is>
      </c>
      <c r="BG146" s="75" t="n"/>
      <c r="BH146" s="63" t="inlineStr">
        <is>
          <t>China International Capital Corporation Hong Kong Securities Limited; Goldman Sachs (Asia) L.L.C.</t>
        </is>
      </c>
      <c r="BI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7">
        <f>HYPERLINK("https://www1.hkexnews.hk/listedco/listconews/sehk/2022/1025/2022102500007.pdf","prospectus")</f>
        <v/>
      </c>
      <c r="BL146" s="77">
        <f>HYPERLINK("https://www1.hkexnews.hk/listedco/listconews/sehk/2022/1103/2022110300024.htm","allotment")</f>
        <v/>
      </c>
      <c r="BM146" s="77">
        <f>HYPERLINK("https://www1.hkexnews.hk/listedco/listconews/sehk/2022/1127/2022112700063.pdf","stabilisation")</f>
        <v/>
      </c>
      <c r="BN146" s="75" t="n"/>
      <c r="BO146" s="63"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7" t="n">
        <v>4.25</v>
      </c>
      <c r="W147" s="63" t="inlineStr">
        <is>
          <t>Harvest International Premium Value (Secondary Market) Fund SPC; Jointown International Group Company Limited</t>
        </is>
      </c>
      <c r="X147" s="63" t="inlineStr">
        <is>
          <t>harvest;jointown</t>
        </is>
      </c>
      <c r="Y147" s="67" t="n">
        <v>8.52</v>
      </c>
      <c r="Z147" s="63" t="inlineStr">
        <is>
          <t>lapsed</t>
        </is>
      </c>
      <c r="AA147" s="72" t="n">
        <v>0</v>
      </c>
      <c r="AB147" s="73" t="n">
        <v>2.23</v>
      </c>
      <c r="AC147" s="73" t="n">
        <v>-2.18</v>
      </c>
      <c r="AD147" s="73" t="n">
        <v>-5.49</v>
      </c>
      <c r="AE147" s="73" t="n">
        <v>-0.17</v>
      </c>
      <c r="AF147" s="73" t="n">
        <v>-0.51</v>
      </c>
      <c r="AG147" s="73" t="n">
        <v>-5.49</v>
      </c>
      <c r="AH147" s="73" t="n">
        <v>-0.17</v>
      </c>
      <c r="AI147" s="73" t="n">
        <v>-0.51</v>
      </c>
      <c r="AJ147" s="73" t="n">
        <v>-8.24</v>
      </c>
      <c r="AK147" s="73" t="n">
        <v>3.51</v>
      </c>
      <c r="AL147" s="73" t="n">
        <v>-7.17</v>
      </c>
      <c r="AM147" s="73" t="n">
        <v>2.2</v>
      </c>
      <c r="AN147" s="73" t="n">
        <v>-3.68</v>
      </c>
      <c r="AO147" s="73" t="n">
        <v>-2.37</v>
      </c>
      <c r="AP147" s="63" t="inlineStr">
        <is>
          <t>China Biotech ETF (HS biotech proxy)</t>
        </is>
      </c>
      <c r="AQ147" s="73" t="n">
        <v>-58.22</v>
      </c>
      <c r="AR147" s="64" t="inlineStr">
        <is>
          <t>2026-08-20</t>
        </is>
      </c>
      <c r="AS147" s="65" t="n">
        <v>244.8</v>
      </c>
      <c r="AT147" s="68" t="n">
        <v>64.59999999999999</v>
      </c>
      <c r="AU147" s="63" t="inlineStr">
        <is>
          <t>Y</t>
        </is>
      </c>
      <c r="AV147" s="74" t="n">
        <v>167.9</v>
      </c>
      <c r="AW147" s="74" t="n"/>
      <c r="AX147" s="74" t="n">
        <v>14</v>
      </c>
      <c r="AY147" s="74" t="n">
        <v>44.3</v>
      </c>
      <c r="AZ147" s="75" t="inlineStr">
        <is>
          <t>N</t>
        </is>
      </c>
      <c r="BA147" s="76">
        <f>IF('BBG Verify'!K147="","not filed — run on terminal",'BBG Verify'!K147)</f>
        <v/>
      </c>
      <c r="BB147" s="63" t="inlineStr">
        <is>
          <t>N/A</t>
        </is>
      </c>
      <c r="BC147" s="63" t="inlineStr">
        <is>
          <t>N/A</t>
        </is>
      </c>
      <c r="BD147" s="63" t="inlineStr">
        <is>
          <t>N/A</t>
        </is>
      </c>
      <c r="BE147" s="63" t="inlineStr">
        <is>
          <t>N/A</t>
        </is>
      </c>
      <c r="BF147" s="63" t="inlineStr">
        <is>
          <t>N/A</t>
        </is>
      </c>
      <c r="BG147" s="75" t="n"/>
      <c r="BH147" s="63" t="inlineStr">
        <is>
          <t>China International Capital Corporation Hong Kong Securities Limited</t>
        </is>
      </c>
      <c r="BI147" s="63" t="inlineStr">
        <is>
          <t>China International Capital Corporation Hong Kong Securities Limited; CLSA Limited; China Galaxy International Securities (Hong Kong) Co., Limited; Huatai Financial Holdings (Hong Kong) Limited; V aluable Capital Limited</t>
        </is>
      </c>
      <c r="BJ147" s="63" t="inlineStr">
        <is>
          <t>China Galaxy International Securities (Hong Kong) Company Limited; China International Capital Corporation Hong Kong Securities Limited; CLSA Limited; Huatai Financial Holdings (Hong Kong) Limited; Valuable Capital Limited</t>
        </is>
      </c>
      <c r="BK147" s="77">
        <f>HYPERLINK("https://www1.hkexnews.hk/listedco/listconews/sehk/2022/1027/2022102700013.pdf","prospectus")</f>
        <v/>
      </c>
      <c r="BL147" s="77">
        <f>HYPERLINK("https://www1.hkexnews.hk/listedco/listconews/sehk/2022/1107/2022110700010.htm","allotment")</f>
        <v/>
      </c>
      <c r="BM147" s="77">
        <f>HYPERLINK("https://www1.hkexnews.hk/listedco/listconews/sehk/2022/1201/2022120103355.pdf","stabilisation")</f>
        <v/>
      </c>
      <c r="BN147" s="75" t="n"/>
      <c r="BO147" s="63" t="inlineStr">
        <is>
          <t>A/H: no A-share listing · sponsor: English name not in the filing text; AAStocks 保薦人 shown · market cap: estimate from stated market capitalisation disagreed with the published listing cap — published figure adopted</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1704</v>
      </c>
      <c r="R148" s="63" t="inlineStr">
        <is>
          <t>aastocks:上市市值 at the struck price</t>
        </is>
      </c>
      <c r="S148" s="69" t="n">
        <v>2.81</v>
      </c>
      <c r="T148" s="70" t="n">
        <v>1.01</v>
      </c>
      <c r="U148" s="71" t="n">
        <v>3.32</v>
      </c>
      <c r="V148" s="67" t="n">
        <v>17.79</v>
      </c>
      <c r="W148" s="63" t="inlineStr">
        <is>
          <t>Lai Shixian</t>
        </is>
      </c>
      <c r="X148" s="63" t="inlineStr">
        <is>
          <t>lai</t>
        </is>
      </c>
      <c r="Y148" s="67" t="n">
        <v>15</v>
      </c>
      <c r="Z148" s="63" t="inlineStr">
        <is>
          <t>lapsed (no over-allocation)</t>
        </is>
      </c>
      <c r="AA148" s="72" t="n">
        <v>2.04</v>
      </c>
      <c r="AB148" s="73" t="n">
        <v>48.47</v>
      </c>
      <c r="AC148" s="73" t="n">
        <v>-31.27</v>
      </c>
      <c r="AD148" s="73" t="n">
        <v>-15.82</v>
      </c>
      <c r="AE148" s="73" t="n">
        <v>-64.29000000000001</v>
      </c>
      <c r="AF148" s="73" t="n">
        <v>-70.92</v>
      </c>
      <c r="AG148" s="73" t="n">
        <v>-17.5</v>
      </c>
      <c r="AH148" s="73" t="n">
        <v>-65</v>
      </c>
      <c r="AI148" s="73" t="n">
        <v>-71.5</v>
      </c>
      <c r="AJ148" s="73" t="n">
        <v>-26.08</v>
      </c>
      <c r="AK148" s="73" t="n">
        <v>-81.76000000000001</v>
      </c>
      <c r="AL148" s="73" t="n">
        <v>-98.44</v>
      </c>
      <c r="AM148" s="73" t="n">
        <v>-83.90000000000001</v>
      </c>
      <c r="AN148" s="73" t="n">
        <v>17.47</v>
      </c>
      <c r="AO148" s="73" t="n">
        <v>18.9</v>
      </c>
      <c r="AP148" s="63" t="inlineStr">
        <is>
          <t>Hang Seng Index</t>
        </is>
      </c>
      <c r="AQ148" s="73" t="n">
        <v>-92.5</v>
      </c>
      <c r="AR148" s="64" t="inlineStr">
        <is>
          <t>2026-03-30</t>
        </is>
      </c>
      <c r="AS148" s="65" t="n">
        <v>388.6</v>
      </c>
      <c r="AT148" s="68" t="n">
        <v>71.2</v>
      </c>
      <c r="AU148" s="63" t="inlineStr">
        <is>
          <t>Y</t>
        </is>
      </c>
      <c r="AV148" s="74" t="n">
        <v>23.9</v>
      </c>
      <c r="AW148" s="74" t="n"/>
      <c r="AX148" s="74" t="n"/>
      <c r="AY148" s="74" t="n">
        <v>4.4</v>
      </c>
      <c r="AZ148" s="75" t="inlineStr">
        <is>
          <t>N</t>
        </is>
      </c>
      <c r="BA148" s="76">
        <f>IF('BBG Verify'!K148="","not filed — run on terminal",'BBG Verify'!K148)</f>
        <v/>
      </c>
      <c r="BB148" s="63" t="inlineStr">
        <is>
          <t>N/A</t>
        </is>
      </c>
      <c r="BC148" s="63" t="inlineStr">
        <is>
          <t>N/A</t>
        </is>
      </c>
      <c r="BD148" s="63" t="inlineStr">
        <is>
          <t>N/A</t>
        </is>
      </c>
      <c r="BE148" s="63" t="inlineStr">
        <is>
          <t>N/A</t>
        </is>
      </c>
      <c r="BF148" s="63" t="inlineStr">
        <is>
          <t>N/A</t>
        </is>
      </c>
      <c r="BG148" s="75" t="inlineStr">
        <is>
          <t>Zhongtai International Capital Limited</t>
        </is>
      </c>
      <c r="BH148" s="63" t="inlineStr">
        <is>
          <t>Zhongtai International Capital Limited</t>
        </is>
      </c>
      <c r="BI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7">
        <f>HYPERLINK("https://www1.hkexnews.hk/listedco/listconews/sehk/2022/1028/2022102800015.pdf","prospectus")</f>
        <v/>
      </c>
      <c r="BL148" s="77">
        <f>HYPERLINK("https://www1.hkexnews.hk/listedco/listconews/sehk/2022/1108/2022110800012.htm","allotment")</f>
        <v/>
      </c>
      <c r="BM148" s="77">
        <f>HYPERLINK("https://www1.hkexnews.hk/listedco/listconews/sehk/2022/1202/2022120200787.pdf","stabilisation")</f>
        <v/>
      </c>
      <c r="BN148" s="75" t="n"/>
      <c r="BO148" s="63" t="inlineStr">
        <is>
          <t>A/H: no A-share listing · returns: price returns exclude the entitlement value of: 2024-03-12 open offer 1-for-2 @ HK$0.15; 2025-11-26 rights 6-for-1 @ HK$0.4753 (post-consolidation) — Bloomberg's back-adjusted history divides by x1.242</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3930</v>
      </c>
      <c r="R149" s="63" t="inlineStr">
        <is>
          <t>prospectus:stated market capitalisation</t>
        </is>
      </c>
      <c r="S149" s="69" t="n">
        <v>1.91</v>
      </c>
      <c r="T149" s="70" t="n">
        <v>1.56</v>
      </c>
      <c r="U149" s="71" t="n">
        <v>37.9</v>
      </c>
      <c r="V149" s="67" t="n">
        <v>3.63</v>
      </c>
      <c r="W149" s="63" t="inlineStr">
        <is>
          <t>De Well Group Singapore Pte. Ltd; GF Fund Management Co., Ltd; Zhejiang Eifini Industrial Co., Ltd</t>
        </is>
      </c>
      <c r="X149" s="63" t="inlineStr">
        <is>
          <t>de;gf;zhejiang</t>
        </is>
      </c>
      <c r="Y149" s="67" t="n"/>
      <c r="Z149" s="63" t="n"/>
      <c r="AA149" s="72" t="n">
        <v>5.47</v>
      </c>
      <c r="AB149" s="73" t="n">
        <v>6.36</v>
      </c>
      <c r="AC149" s="73" t="n">
        <v>-0.84</v>
      </c>
      <c r="AD149" s="73" t="n">
        <v>-16.41</v>
      </c>
      <c r="AE149" s="73" t="n">
        <v>-20.87</v>
      </c>
      <c r="AF149" s="73" t="n">
        <v>-33.84</v>
      </c>
      <c r="AG149" s="73" t="n">
        <v>-20.75</v>
      </c>
      <c r="AH149" s="73" t="n">
        <v>-24.97</v>
      </c>
      <c r="AI149" s="73" t="n">
        <v>-37.27</v>
      </c>
      <c r="AJ149" s="73" t="n">
        <v>-34.21</v>
      </c>
      <c r="AK149" s="73" t="n">
        <v>-52.69</v>
      </c>
      <c r="AL149" s="73" t="n">
        <v>-71.23</v>
      </c>
      <c r="AM149" s="73" t="n">
        <v>-44.55</v>
      </c>
      <c r="AN149" s="73" t="n">
        <v>31.82</v>
      </c>
      <c r="AO149" s="73" t="n">
        <v>19.58</v>
      </c>
      <c r="AP149" s="63" t="inlineStr">
        <is>
          <t>HSTECH (Hang Seng TECH ETF)</t>
        </is>
      </c>
      <c r="AQ149" s="73" t="n">
        <v>-51.15</v>
      </c>
      <c r="AR149" s="64" t="inlineStr">
        <is>
          <t>2026-08-20</t>
        </is>
      </c>
      <c r="AS149" s="65" t="n">
        <v>2581.2</v>
      </c>
      <c r="AT149" s="68" t="n">
        <v>89.2</v>
      </c>
      <c r="AU149" s="63" t="inlineStr">
        <is>
          <t>Y</t>
        </is>
      </c>
      <c r="AV149" s="74" t="n">
        <v>44.1</v>
      </c>
      <c r="AW149" s="74" t="n"/>
      <c r="AX149" s="74" t="n">
        <v>5.9</v>
      </c>
      <c r="AY149" s="74" t="n">
        <v>1.5</v>
      </c>
      <c r="AZ149" s="75" t="inlineStr">
        <is>
          <t>N</t>
        </is>
      </c>
      <c r="BA149" s="76">
        <f>IF('BBG Verify'!K149="","not filed — run on terminal",'BBG Verify'!K149)</f>
        <v/>
      </c>
      <c r="BB149" s="63" t="inlineStr">
        <is>
          <t>N/A</t>
        </is>
      </c>
      <c r="BC149" s="63" t="inlineStr">
        <is>
          <t>N/A</t>
        </is>
      </c>
      <c r="BD149" s="63" t="inlineStr">
        <is>
          <t>N/A</t>
        </is>
      </c>
      <c r="BE149" s="63" t="inlineStr">
        <is>
          <t>N/A</t>
        </is>
      </c>
      <c r="BF149" s="63" t="inlineStr">
        <is>
          <t>N/A</t>
        </is>
      </c>
      <c r="BG149" s="75" t="inlineStr">
        <is>
          <t>and Sponsor-OC Huatai Financial Holdings (Hong Kong) Limited; ABCI Capital Limited</t>
        </is>
      </c>
      <c r="BH149" s="63" t="inlineStr">
        <is>
          <t>Huatai Financial Holdings (Hong Kong) Limited; ABCI Capital Limited</t>
        </is>
      </c>
      <c r="BI149" s="63" t="inlineStr">
        <is>
          <t>Huatai Financial Holdings (Hong Kong) Limited; ABCI Capital Limited; Shenwan Hongyuan Securities (H.K.) Limited; BOCOM International Securities Limited</t>
        </is>
      </c>
      <c r="BJ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7">
        <f>HYPERLINK("https://www1.hkexnews.hk/listedco/listconews/sehk/2022/1031/2022103100013.pdf","prospectus")</f>
        <v/>
      </c>
      <c r="BL149" s="77">
        <f>HYPERLINK("https://www1.hkexnews.hk/listedco/listconews/sehk/2022/1110/2022111000034.htm","allotment")</f>
        <v/>
      </c>
      <c r="BM149" s="63" t="n"/>
      <c r="BN149" s="75" t="n"/>
      <c r="BO149" s="63"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7" t="n">
        <v>22.25</v>
      </c>
      <c r="W150" s="63" t="n"/>
      <c r="X150" s="63" t="n"/>
      <c r="Y150" s="67" t="n">
        <v>10</v>
      </c>
      <c r="Z150" s="63" t="inlineStr">
        <is>
          <t>lapsed (no over-allocation)</t>
        </is>
      </c>
      <c r="AA150" s="72" t="n">
        <v>0</v>
      </c>
      <c r="AB150" s="73" t="n">
        <v>7.04</v>
      </c>
      <c r="AC150" s="73" t="n">
        <v>-6.58</v>
      </c>
      <c r="AD150" s="73" t="n">
        <v>-5.63</v>
      </c>
      <c r="AE150" s="73" t="n">
        <v>-25.35</v>
      </c>
      <c r="AF150" s="73" t="n">
        <v>-47.89</v>
      </c>
      <c r="AG150" s="73" t="n">
        <v>-5.63</v>
      </c>
      <c r="AH150" s="73" t="n">
        <v>-25.35</v>
      </c>
      <c r="AI150" s="73" t="n">
        <v>-47.89</v>
      </c>
      <c r="AJ150" s="73" t="n">
        <v>0.57</v>
      </c>
      <c r="AK150" s="73" t="n">
        <v>-30.25</v>
      </c>
      <c r="AL150" s="73" t="n">
        <v>-58.57</v>
      </c>
      <c r="AM150" s="73" t="n">
        <v>-30.56</v>
      </c>
      <c r="AN150" s="73" t="n">
        <v>4.9</v>
      </c>
      <c r="AO150" s="73" t="n">
        <v>5.21</v>
      </c>
      <c r="AP150" s="63" t="inlineStr">
        <is>
          <t>Hang Seng Commerce &amp; Industry sub-index</t>
        </is>
      </c>
      <c r="AQ150" s="73" t="n">
        <v>-57.04</v>
      </c>
      <c r="AR150" s="64" t="inlineStr">
        <is>
          <t>2026-08-20</t>
        </is>
      </c>
      <c r="AS150" s="65" t="n">
        <v>485</v>
      </c>
      <c r="AT150" s="68" t="n">
        <v>75.2</v>
      </c>
      <c r="AU150" s="63" t="inlineStr">
        <is>
          <t>Y</t>
        </is>
      </c>
      <c r="AV150" s="74" t="n">
        <v>9.300000000000001</v>
      </c>
      <c r="AW150" s="74" t="n"/>
      <c r="AX150" s="74" t="n">
        <v>8.1</v>
      </c>
      <c r="AY150" s="74" t="n">
        <v>1.4</v>
      </c>
      <c r="AZ150" s="75" t="inlineStr">
        <is>
          <t>N</t>
        </is>
      </c>
      <c r="BA150" s="76">
        <f>IF('BBG Verify'!K150="","not filed — run on terminal",'BBG Verify'!K150)</f>
        <v/>
      </c>
      <c r="BB150" s="63" t="inlineStr">
        <is>
          <t>N/A</t>
        </is>
      </c>
      <c r="BC150" s="63" t="inlineStr">
        <is>
          <t>N/A</t>
        </is>
      </c>
      <c r="BD150" s="63" t="inlineStr">
        <is>
          <t>N/A</t>
        </is>
      </c>
      <c r="BE150" s="63" t="inlineStr">
        <is>
          <t>N/A</t>
        </is>
      </c>
      <c r="BF150" s="63" t="inlineStr">
        <is>
          <t>N/A</t>
        </is>
      </c>
      <c r="BG150" s="75" t="inlineStr">
        <is>
          <t>China Industrial Securities International Capital Limited</t>
        </is>
      </c>
      <c r="BH150" s="63" t="inlineStr">
        <is>
          <t>China Industrial Securities International Capital Limited</t>
        </is>
      </c>
      <c r="BI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7">
        <f>HYPERLINK("https://www1.hkexnews.hk/listedco/listconews/sehk/2022/1031/2022103100007.pdf","prospectus")</f>
        <v/>
      </c>
      <c r="BL150" s="77">
        <f>HYPERLINK("https://www1.hkexnews.hk/listedco/listconews/sehk/2022/1115/2022111500160.htm","allotment")</f>
        <v/>
      </c>
      <c r="BM150" s="77">
        <f>HYPERLINK("https://www1.hkexnews.hk/listedco/listconews/sehk/2022/1208/2022120800587.pdf","stabilisation")</f>
        <v/>
      </c>
      <c r="BN150" s="75" t="n"/>
      <c r="BO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c r="L151" s="66" t="n">
        <v>8.74</v>
      </c>
      <c r="M151" s="66" t="n">
        <v>7.6</v>
      </c>
      <c r="N151" s="63" t="inlineStr">
        <is>
          <t>N</t>
        </is>
      </c>
      <c r="O151" s="67" t="n">
        <v>87</v>
      </c>
      <c r="P151" s="67" t="n"/>
      <c r="Q151" s="68" t="n">
        <v>2684.4</v>
      </c>
      <c r="R151" s="63" t="inlineStr">
        <is>
          <t>derived:deal size / offer % of enlarged capital</t>
        </is>
      </c>
      <c r="S151" s="69" t="n">
        <v>15</v>
      </c>
      <c r="T151" s="70" t="n">
        <v>1.12</v>
      </c>
      <c r="U151" s="71" t="n">
        <v>0</v>
      </c>
      <c r="V151" s="67" t="n">
        <v>15.08</v>
      </c>
      <c r="W151" s="63" t="n"/>
      <c r="X151" s="63" t="n"/>
      <c r="Y151" s="67" t="n">
        <v>5.06</v>
      </c>
      <c r="Z151" s="63" t="n"/>
      <c r="AA151" s="72" t="n">
        <v>2.63</v>
      </c>
      <c r="AB151" s="73" t="n">
        <v>3.95</v>
      </c>
      <c r="AC151" s="73" t="n">
        <v>-1.27</v>
      </c>
      <c r="AD151" s="73" t="n">
        <v>18.29</v>
      </c>
      <c r="AE151" s="73" t="n">
        <v>43.42</v>
      </c>
      <c r="AF151" s="73" t="n">
        <v>77.37</v>
      </c>
      <c r="AG151" s="73" t="n">
        <v>15.26</v>
      </c>
      <c r="AH151" s="73" t="n">
        <v>39.74</v>
      </c>
      <c r="AI151" s="73" t="n">
        <v>72.81999999999999</v>
      </c>
      <c r="AJ151" s="73" t="n">
        <v>10.48</v>
      </c>
      <c r="AK151" s="73" t="n">
        <v>27.34</v>
      </c>
      <c r="AL151" s="73" t="n">
        <v>59.87</v>
      </c>
      <c r="AM151" s="73" t="n">
        <v>24.58</v>
      </c>
      <c r="AN151" s="73" t="n">
        <v>16.08</v>
      </c>
      <c r="AO151" s="73" t="n">
        <v>15.16</v>
      </c>
      <c r="AP151" s="63" t="inlineStr">
        <is>
          <t>HSTECH (Hang Seng TECH ETF)</t>
        </is>
      </c>
      <c r="AQ151" s="73" t="n">
        <v>166.32</v>
      </c>
      <c r="AR151" s="64" t="inlineStr">
        <is>
          <t>2026-08-20</t>
        </is>
      </c>
      <c r="AS151" s="65" t="n">
        <v>1463.4</v>
      </c>
      <c r="AT151" s="68" t="n">
        <v>-493.6</v>
      </c>
      <c r="AU151" s="63" t="inlineStr">
        <is>
          <t>N</t>
        </is>
      </c>
      <c r="AV151" s="63" t="inlineStr">
        <is>
          <t>n/m</t>
        </is>
      </c>
      <c r="AW151" s="74" t="n"/>
      <c r="AX151" s="74" t="n">
        <v>360.2</v>
      </c>
      <c r="AY151" s="74" t="n">
        <v>1.8</v>
      </c>
      <c r="AZ151" s="75" t="inlineStr">
        <is>
          <t>N</t>
        </is>
      </c>
      <c r="BA151" s="76">
        <f>IF('BBG Verify'!K151="","not filed — run on terminal",'BBG Verify'!K151)</f>
        <v/>
      </c>
      <c r="BB151" s="63" t="inlineStr">
        <is>
          <t>N/A</t>
        </is>
      </c>
      <c r="BC151" s="63" t="inlineStr">
        <is>
          <t>N/A</t>
        </is>
      </c>
      <c r="BD151" s="63" t="inlineStr">
        <is>
          <t>N/A</t>
        </is>
      </c>
      <c r="BE151" s="63" t="inlineStr">
        <is>
          <t>N/A</t>
        </is>
      </c>
      <c r="BF151" s="63" t="inlineStr">
        <is>
          <t>N/A</t>
        </is>
      </c>
      <c r="BG151" s="75" t="inlineStr">
        <is>
          <t>Haitong International Capital Limited</t>
        </is>
      </c>
      <c r="BH151" s="63" t="inlineStr">
        <is>
          <t>Haitong International Capital Limited</t>
        </is>
      </c>
      <c r="BI151" s="63" t="inlineStr">
        <is>
          <t>Haitong International Securities Company Limited; Futu Securities International (Hong Kong) Limited; Tiger Brokers (HK) Global Limited; Dragonstone Capital Management Limited</t>
        </is>
      </c>
      <c r="BJ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7">
        <f>HYPERLINK("https://www1.hkexnews.hk/listedco/listconews/sehk/2022/1114/2022111400005.pdf","prospectus")</f>
        <v/>
      </c>
      <c r="BL151" s="77">
        <f>HYPERLINK("https://www1.hkexnews.hk/listedco/listconews/sehk/2022/1123/2022112300038.htm","allotment")</f>
        <v/>
      </c>
      <c r="BM151" s="63" t="n"/>
      <c r="BN151" s="75" t="n"/>
      <c r="BO151"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7" t="n">
        <v>0.98</v>
      </c>
      <c r="W152" s="63" t="n"/>
      <c r="X152" s="63" t="n"/>
      <c r="Y152" s="67" t="n">
        <v>10</v>
      </c>
      <c r="Z152" s="63" t="n"/>
      <c r="AA152" s="72" t="n">
        <v>3.44</v>
      </c>
      <c r="AB152" s="73" t="n">
        <v>1.14</v>
      </c>
      <c r="AC152" s="73" t="n">
        <v>2.27</v>
      </c>
      <c r="AD152" s="73" t="n">
        <v>33.82</v>
      </c>
      <c r="AE152" s="73" t="n">
        <v>57.31</v>
      </c>
      <c r="AF152" s="73" t="n">
        <v>67.90000000000001</v>
      </c>
      <c r="AG152" s="73" t="n">
        <v>29.37</v>
      </c>
      <c r="AH152" s="73" t="n">
        <v>52.08</v>
      </c>
      <c r="AI152" s="73" t="n">
        <v>62.32</v>
      </c>
      <c r="AJ152" s="73" t="n">
        <v>12.92</v>
      </c>
      <c r="AK152" s="73" t="n">
        <v>37.06</v>
      </c>
      <c r="AL152" s="73" t="n">
        <v>46.65</v>
      </c>
      <c r="AM152" s="73" t="n">
        <v>40.83</v>
      </c>
      <c r="AN152" s="73" t="n">
        <v>20.25</v>
      </c>
      <c r="AO152" s="73" t="n">
        <v>11.25</v>
      </c>
      <c r="AP152" s="63" t="inlineStr">
        <is>
          <t>HSTECH (Hang Seng TECH ETF)</t>
        </is>
      </c>
      <c r="AQ152" s="73" t="n">
        <v>-6.06</v>
      </c>
      <c r="AR152" s="64" t="inlineStr">
        <is>
          <t>2026-08-20</t>
        </is>
      </c>
      <c r="AS152" s="65" t="n">
        <v>18299.2</v>
      </c>
      <c r="AT152" s="68" t="n">
        <v>6359.9</v>
      </c>
      <c r="AU152" s="63" t="inlineStr">
        <is>
          <t>Y</t>
        </is>
      </c>
      <c r="AV152" s="74" t="n">
        <v>4.4</v>
      </c>
      <c r="AW152" s="74" t="n"/>
      <c r="AX152" s="74" t="n"/>
      <c r="AY152" s="74" t="n">
        <v>1.5</v>
      </c>
      <c r="AZ152" s="75" t="inlineStr">
        <is>
          <t>N</t>
        </is>
      </c>
      <c r="BA152" s="76">
        <f>IF('BBG Verify'!K152="","not filed — run on terminal",'BBG Verify'!K152)</f>
        <v/>
      </c>
      <c r="BB152" s="63" t="inlineStr">
        <is>
          <t>N/A</t>
        </is>
      </c>
      <c r="BC152" s="63" t="inlineStr">
        <is>
          <t>N/A</t>
        </is>
      </c>
      <c r="BD152" s="63" t="inlineStr">
        <is>
          <t>N/A</t>
        </is>
      </c>
      <c r="BE152" s="63" t="inlineStr">
        <is>
          <t>N/A</t>
        </is>
      </c>
      <c r="BF152" s="63" t="inlineStr">
        <is>
          <t>N/A</t>
        </is>
      </c>
      <c r="BG152" s="75" t="inlineStr">
        <is>
          <t>Citigroup Global Markets Asia Limited; China International Capital Corporation Hong Kong Securities Limited</t>
        </is>
      </c>
      <c r="BH152" s="63" t="inlineStr">
        <is>
          <t>China International Capital Corporation Hong Kong Securities Limited; Citigroup Global Markets Asia Limited</t>
        </is>
      </c>
      <c r="BI152" s="63"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7">
        <f>HYPERLINK("https://www1.hkexnews.hk/listedco/listconews/sehk/2022/1118/2022111800030.htm","prospectus")</f>
        <v/>
      </c>
      <c r="BL152" s="77">
        <f>HYPERLINK("https://www1.hkexnews.hk/listedco/listconews/sehk/2022/1128/2022112800016.htm","allotment")</f>
        <v/>
      </c>
      <c r="BM152" s="63" t="n"/>
      <c r="BN152" s="75" t="n"/>
      <c r="BO152" s="63"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19.96</v>
      </c>
      <c r="M153" s="66" t="n">
        <v>15.8</v>
      </c>
      <c r="N153" s="63" t="inlineStr">
        <is>
          <t>N</t>
        </is>
      </c>
      <c r="O153" s="67" t="n">
        <v>79.2</v>
      </c>
      <c r="P153" s="67" t="n"/>
      <c r="Q153" s="68" t="n">
        <v>27664.5</v>
      </c>
      <c r="R153" s="63" t="inlineStr">
        <is>
          <t>aastocks:上市市值 at the struck price</t>
        </is>
      </c>
      <c r="S153" s="69" t="n">
        <v>1.47</v>
      </c>
      <c r="T153" s="70" t="n">
        <v>1.4</v>
      </c>
      <c r="U153" s="71" t="n">
        <v>70.3</v>
      </c>
      <c r="V153" s="67" t="n">
        <v>3.94</v>
      </c>
      <c r="W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3" t="inlineStr">
        <is>
          <t>state-owned;gem;hongkong;hubei;ningbo</t>
        </is>
      </c>
      <c r="Y153" s="67" t="n">
        <v>15</v>
      </c>
      <c r="Z153" s="63" t="inlineStr">
        <is>
          <t>partial</t>
        </is>
      </c>
      <c r="AA153" s="72" t="n">
        <v>0</v>
      </c>
      <c r="AB153" s="73" t="n">
        <v>0</v>
      </c>
      <c r="AC153" s="73" t="n">
        <v>0</v>
      </c>
      <c r="AD153" s="73" t="n">
        <v>-3.67</v>
      </c>
      <c r="AE153" s="73" t="n">
        <v>1.14</v>
      </c>
      <c r="AF153" s="73" t="n">
        <v>-19.37</v>
      </c>
      <c r="AG153" s="73" t="n">
        <v>-3.67</v>
      </c>
      <c r="AH153" s="73" t="n">
        <v>1.14</v>
      </c>
      <c r="AI153" s="73" t="n">
        <v>-19.37</v>
      </c>
      <c r="AJ153" s="73" t="n">
        <v>-10.02</v>
      </c>
      <c r="AK153" s="73" t="n">
        <v>-11.5</v>
      </c>
      <c r="AL153" s="73" t="n">
        <v>-25.92</v>
      </c>
      <c r="AM153" s="73" t="n">
        <v>-10.42</v>
      </c>
      <c r="AN153" s="73" t="n">
        <v>12.64</v>
      </c>
      <c r="AO153" s="73" t="n">
        <v>11.56</v>
      </c>
      <c r="AP153" s="63" t="inlineStr">
        <is>
          <t>Hang Seng Commerce &amp; Industry sub-index</t>
        </is>
      </c>
      <c r="AQ153" s="73" t="n">
        <v>6.65</v>
      </c>
      <c r="AR153" s="64" t="inlineStr">
        <is>
          <t>2026-08-20</t>
        </is>
      </c>
      <c r="AS153" s="65" t="n">
        <v>13694.2</v>
      </c>
      <c r="AT153" s="68" t="n">
        <v>1386</v>
      </c>
      <c r="AU153" s="63" t="inlineStr">
        <is>
          <t>Y</t>
        </is>
      </c>
      <c r="AV153" s="74" t="n">
        <v>20</v>
      </c>
      <c r="AW153" s="74" t="n">
        <v>3.4</v>
      </c>
      <c r="AX153" s="74" t="n">
        <v>7.2</v>
      </c>
      <c r="AY153" s="74" t="n">
        <v>2</v>
      </c>
      <c r="AZ153" s="75" t="inlineStr">
        <is>
          <t>N</t>
        </is>
      </c>
      <c r="BA153" s="76">
        <f>IF('BBG Verify'!K153="","not filed — run on terminal",'BBG Verify'!K153)</f>
        <v/>
      </c>
      <c r="BB153" s="63" t="inlineStr">
        <is>
          <t>N/A</t>
        </is>
      </c>
      <c r="BC153" s="63" t="inlineStr">
        <is>
          <t>N/A</t>
        </is>
      </c>
      <c r="BD153" s="63" t="inlineStr">
        <is>
          <t>N/A</t>
        </is>
      </c>
      <c r="BE153" s="63" t="inlineStr">
        <is>
          <t>N/A</t>
        </is>
      </c>
      <c r="BF153" s="63" t="inlineStr">
        <is>
          <t>N/A</t>
        </is>
      </c>
      <c r="BG153" s="75" t="inlineStr">
        <is>
          <t>China International Capital Corporation Hong Kong Securities Limited; CMB International Capital Limited</t>
        </is>
      </c>
      <c r="BH153" s="63" t="inlineStr">
        <is>
          <t>China International Capital Corporation Hong Kong Securities Limited; CMB International Capital Limited</t>
        </is>
      </c>
      <c r="BI153" s="63" t="inlineStr">
        <is>
          <t>China International Capital Corporation Hong Kong Securities Limited; CMB International Capital Limited; Central, Hong Kong BOCI Asia Limited; Central, Hong Kong DBS Asia Capital Limited; ABCI Capital Limited; BNP Paribas Securities (Asia) Limited</t>
        </is>
      </c>
      <c r="BJ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7">
        <f>HYPERLINK("https://www1.hkexnews.hk/listedco/listconews/sehk/2022/1121/2022112100023.htm","prospectus")</f>
        <v/>
      </c>
      <c r="BL153" s="77">
        <f>HYPERLINK("https://www1.hkexnews.hk/listedco/listconews/sehk/2022/1130/2022113000304.htm","allotment")</f>
        <v/>
      </c>
      <c r="BM153" s="77">
        <f>HYPERLINK("https://www1.hkexnews.hk/listedco/listconews/sehk/2022/1228/2022122801241.pdf","stabilisation")</f>
        <v/>
      </c>
      <c r="BN153" s="75" t="n"/>
      <c r="BO153" s="63"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7" t="n">
        <v>11.33</v>
      </c>
      <c r="W154" s="63" t="n"/>
      <c r="X154" s="63" t="n"/>
      <c r="Y154" s="67" t="n">
        <v>10</v>
      </c>
      <c r="Z154" s="63" t="inlineStr">
        <is>
          <t>lapsed</t>
        </is>
      </c>
      <c r="AA154" s="72" t="n">
        <v>0</v>
      </c>
      <c r="AB154" s="73" t="n">
        <v>0</v>
      </c>
      <c r="AC154" s="73" t="n">
        <v>0</v>
      </c>
      <c r="AD154" s="73" t="n">
        <v>-27.27</v>
      </c>
      <c r="AE154" s="73" t="n">
        <v>-12.86</v>
      </c>
      <c r="AF154" s="73" t="n">
        <v>-30.02</v>
      </c>
      <c r="AG154" s="73" t="n">
        <v>-27.27</v>
      </c>
      <c r="AH154" s="73" t="n">
        <v>-12.86</v>
      </c>
      <c r="AI154" s="73" t="n">
        <v>-30.02</v>
      </c>
      <c r="AJ154" s="73" t="n">
        <v>-27.83</v>
      </c>
      <c r="AK154" s="73" t="n">
        <v>-23.24</v>
      </c>
      <c r="AL154" s="73" t="n">
        <v>-33.01</v>
      </c>
      <c r="AM154" s="73" t="n">
        <v>-21.54</v>
      </c>
      <c r="AN154" s="73" t="n">
        <v>10.38</v>
      </c>
      <c r="AO154" s="73" t="n">
        <v>8.68</v>
      </c>
      <c r="AP154" s="63" t="inlineStr">
        <is>
          <t>Hang Seng Finance sub-index</t>
        </is>
      </c>
      <c r="AQ154" s="73" t="n">
        <v>-42.71</v>
      </c>
      <c r="AR154" s="64" t="inlineStr">
        <is>
          <t>2026-08-20</t>
        </is>
      </c>
      <c r="AS154" s="65" t="n">
        <v>108190.5</v>
      </c>
      <c r="AT154" s="68" t="n">
        <v>6471.3</v>
      </c>
      <c r="AU154" s="63" t="inlineStr">
        <is>
          <t>Y</t>
        </is>
      </c>
      <c r="AV154" s="74" t="n">
        <v>9.1</v>
      </c>
      <c r="AW154" s="74" t="n">
        <v>7.9</v>
      </c>
      <c r="AX154" s="74" t="n">
        <v>5.4</v>
      </c>
      <c r="AY154" s="74" t="n">
        <v>0.5</v>
      </c>
      <c r="AZ154" s="75" t="inlineStr">
        <is>
          <t>N</t>
        </is>
      </c>
      <c r="BA154" s="76">
        <f>IF('BBG Verify'!K154="","not filed — run on terminal",'BBG Verify'!K154)</f>
        <v/>
      </c>
      <c r="BB154" s="63" t="inlineStr">
        <is>
          <t>N/A</t>
        </is>
      </c>
      <c r="BC154" s="63" t="inlineStr">
        <is>
          <t>N/A</t>
        </is>
      </c>
      <c r="BD154" s="63" t="inlineStr">
        <is>
          <t>N/A</t>
        </is>
      </c>
      <c r="BE154" s="63" t="inlineStr">
        <is>
          <t>N/A</t>
        </is>
      </c>
      <c r="BF154" s="63" t="inlineStr">
        <is>
          <t>N/A</t>
        </is>
      </c>
      <c r="BG154" s="75" t="inlineStr">
        <is>
          <t>Huatai Financial Holdings (Hong Kong) Limited; China International Capital Corporation Hong Kong Securities Limited; UBS Securities Hong Kong Limited; CCB International Capital Limited</t>
        </is>
      </c>
      <c r="BH154" s="63" t="inlineStr">
        <is>
          <t>China International Capital Corporation Hong Kong Securities Limited; CCB International Capital Limited; UBS Securities Hong Kong Limited; Huatai Financial Holdings (Hong Kong) Limited</t>
        </is>
      </c>
      <c r="BI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7">
        <f>HYPERLINK("https://www1.hkexnews.hk/listedco/listconews/sehk/2022/1130/2022113000027.pdf","prospectus")</f>
        <v/>
      </c>
      <c r="BL154" s="77">
        <f>HYPERLINK("https://www1.hkexnews.hk/listedco/listconews/sehk/2022/1208/2022120800048.htm","allotment")</f>
        <v/>
      </c>
      <c r="BM154" s="77">
        <f>HYPERLINK("https://www1.hkexnews.hk/listedco/listconews/sehk/2023/0105/2023010500005.pdf","stabilisation")</f>
        <v/>
      </c>
      <c r="BN154" s="75" t="n"/>
      <c r="BO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7" t="n">
        <v>0.55</v>
      </c>
      <c r="W155" s="63" t="inlineStr">
        <is>
          <t>CL Kiwi Holding Ltd; Jiangsu Sino-German Services Trade Industry Investment Fund L.P; Wuxi Gaoshi Venture Capital L.P; Wuxi Shigao Equity Investment L.P</t>
        </is>
      </c>
      <c r="X155" s="63" t="inlineStr">
        <is>
          <t>cl;jiangsu;wuxi</t>
        </is>
      </c>
      <c r="Y155" s="67" t="n">
        <v>8.83</v>
      </c>
      <c r="Z155" s="63" t="inlineStr">
        <is>
          <t>partial</t>
        </is>
      </c>
      <c r="AA155" s="72" t="n">
        <v>0</v>
      </c>
      <c r="AB155" s="73" t="n">
        <v>-0.39</v>
      </c>
      <c r="AC155" s="73" t="n">
        <v>0.39</v>
      </c>
      <c r="AD155" s="73" t="n">
        <v>0</v>
      </c>
      <c r="AE155" s="73" t="n">
        <v>-2.72</v>
      </c>
      <c r="AF155" s="73" t="n">
        <v>-4.28</v>
      </c>
      <c r="AG155" s="73" t="n">
        <v>0</v>
      </c>
      <c r="AH155" s="73" t="n">
        <v>-2.72</v>
      </c>
      <c r="AI155" s="73" t="n">
        <v>-4.28</v>
      </c>
      <c r="AJ155" s="73" t="n">
        <v>5.08</v>
      </c>
      <c r="AK155" s="73" t="n">
        <v>-13.03</v>
      </c>
      <c r="AL155" s="73" t="n">
        <v>-1.41</v>
      </c>
      <c r="AM155" s="73" t="n">
        <v>-12.83</v>
      </c>
      <c r="AN155" s="73" t="n">
        <v>10.31</v>
      </c>
      <c r="AO155" s="73" t="n">
        <v>10.11</v>
      </c>
      <c r="AP155" s="63" t="inlineStr">
        <is>
          <t>China Biotech ETF (HS biotech proxy)</t>
        </is>
      </c>
      <c r="AQ155" s="73" t="n">
        <v>-91.44</v>
      </c>
      <c r="AR155" s="64" t="inlineStr">
        <is>
          <t>2026-08-21</t>
        </is>
      </c>
      <c r="AS155" s="65" t="n">
        <v>1428</v>
      </c>
      <c r="AT155" s="68" t="n">
        <v>-151.8</v>
      </c>
      <c r="AU155" s="63" t="inlineStr">
        <is>
          <t>N</t>
        </is>
      </c>
      <c r="AV155" s="63" t="inlineStr">
        <is>
          <t>n/m</t>
        </is>
      </c>
      <c r="AW155" s="74" t="n"/>
      <c r="AX155" s="74" t="n">
        <v>6</v>
      </c>
      <c r="AY155" s="74" t="n">
        <v>2</v>
      </c>
      <c r="AZ155" s="75" t="inlineStr">
        <is>
          <t>N</t>
        </is>
      </c>
      <c r="BA155" s="76">
        <f>IF('BBG Verify'!K155="","not filed — run on terminal",'BBG Verify'!K155)</f>
        <v/>
      </c>
      <c r="BB155" s="63" t="inlineStr">
        <is>
          <t>N/A</t>
        </is>
      </c>
      <c r="BC155" s="63" t="inlineStr">
        <is>
          <t>N/A</t>
        </is>
      </c>
      <c r="BD155" s="63" t="inlineStr">
        <is>
          <t>N/A</t>
        </is>
      </c>
      <c r="BE155" s="63" t="inlineStr">
        <is>
          <t>N/A</t>
        </is>
      </c>
      <c r="BF155" s="63" t="inlineStr">
        <is>
          <t>N/A</t>
        </is>
      </c>
      <c r="BG155" s="75" t="inlineStr">
        <is>
          <t>Morgan Stanley Asia Limited; Haitong International Capital Limited</t>
        </is>
      </c>
      <c r="BH155" s="63" t="inlineStr">
        <is>
          <t>Morgan Stanley Asia Limited; Haitong International Capital Limited</t>
        </is>
      </c>
      <c r="BI155" s="63" t="inlineStr">
        <is>
          <t>Morgan Stanley Asia Limited; Haitong International Securities Company Limited</t>
        </is>
      </c>
      <c r="BJ155" s="63" t="inlineStr">
        <is>
          <t>Daiwa Capital Markets Hong Kong Limited; Futu Securities International (Hong Kong) Limited; Haitong International Securities Company Limited; Maxa Capital Limited; Morgan Stanley Asia Limited; Sinomax Securities Limited; Tiger Brokers (HK) Global Limited</t>
        </is>
      </c>
      <c r="BK155" s="77">
        <f>HYPERLINK("https://www1.hkexnews.hk/listedco/listconews/sehk/2022/1130/2022113000167.pdf","prospectus")</f>
        <v/>
      </c>
      <c r="BL155" s="77">
        <f>HYPERLINK("https://www1.hkexnews.hk/listedco/listconews/sehk/2022/1209/2022120900012.htm","allotment")</f>
        <v/>
      </c>
      <c r="BM155" s="77">
        <f>HYPERLINK("https://www1.hkexnews.hk/listedco/listconews/sehk/2023/0104/2023010402177.pdf","stabilisation")</f>
        <v/>
      </c>
      <c r="BN155" s="75" t="n"/>
      <c r="BO155" s="63" t="inlineStr">
        <is>
          <t>P/E: n/m — loss-making at IPO (use P/S) · range low: cap-only pricing — the filing publishes a Maximum Offer Price and no indicative floor · A/H: no A-share listing</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7" t="n">
        <v>6.67</v>
      </c>
      <c r="W156" s="63" t="inlineStr">
        <is>
          <t>Anji Jize LLP; Anji Kaize LLP</t>
        </is>
      </c>
      <c r="X156" s="63" t="inlineStr">
        <is>
          <t>anji</t>
        </is>
      </c>
      <c r="Y156" s="67" t="n">
        <v>9.333</v>
      </c>
      <c r="Z156" s="63" t="n"/>
      <c r="AA156" s="72" t="n">
        <v>-26.74</v>
      </c>
      <c r="AB156" s="73" t="n">
        <v>-18.68</v>
      </c>
      <c r="AC156" s="73" t="n">
        <v>-9.91</v>
      </c>
      <c r="AD156" s="73" t="n">
        <v>-41.76</v>
      </c>
      <c r="AE156" s="73" t="n">
        <v>-47.25</v>
      </c>
      <c r="AF156" s="73" t="n">
        <v>-44.69</v>
      </c>
      <c r="AG156" s="73" t="n">
        <v>-20.5</v>
      </c>
      <c r="AH156" s="73" t="n">
        <v>-28</v>
      </c>
      <c r="AI156" s="73" t="n">
        <v>-24.5</v>
      </c>
      <c r="AJ156" s="73" t="n">
        <v>-35.87</v>
      </c>
      <c r="AK156" s="73" t="n">
        <v>-51.43</v>
      </c>
      <c r="AL156" s="73" t="n">
        <v>-35.55</v>
      </c>
      <c r="AM156" s="73" t="n">
        <v>-37.03</v>
      </c>
      <c r="AN156" s="73" t="n">
        <v>4.18</v>
      </c>
      <c r="AO156" s="73" t="n">
        <v>9.029999999999999</v>
      </c>
      <c r="AP156" s="63" t="inlineStr">
        <is>
          <t>HSTECH (Hang Seng TECH ETF)</t>
        </is>
      </c>
      <c r="AQ156" s="73" t="n">
        <v>-64.09999999999999</v>
      </c>
      <c r="AR156" s="64" t="inlineStr">
        <is>
          <t>2026-08-21</t>
        </is>
      </c>
      <c r="AS156" s="65" t="n">
        <v>208.5</v>
      </c>
      <c r="AT156" s="68" t="n">
        <v>37.8</v>
      </c>
      <c r="AU156" s="63" t="inlineStr">
        <is>
          <t>Y</t>
        </is>
      </c>
      <c r="AV156" s="74" t="n">
        <v>16.3</v>
      </c>
      <c r="AW156" s="74" t="n"/>
      <c r="AX156" s="74" t="n"/>
      <c r="AY156" s="74" t="n">
        <v>2.9</v>
      </c>
      <c r="AZ156" s="75" t="inlineStr">
        <is>
          <t>N</t>
        </is>
      </c>
      <c r="BA156" s="76">
        <f>IF('BBG Verify'!K156="","not filed — run on terminal",'BBG Verify'!K156)</f>
        <v/>
      </c>
      <c r="BB156" s="63" t="inlineStr">
        <is>
          <t>N/A</t>
        </is>
      </c>
      <c r="BC156" s="63" t="inlineStr">
        <is>
          <t>N/A</t>
        </is>
      </c>
      <c r="BD156" s="63" t="inlineStr">
        <is>
          <t>N/A</t>
        </is>
      </c>
      <c r="BE156" s="63" t="inlineStr">
        <is>
          <t>N/A</t>
        </is>
      </c>
      <c r="BF156" s="63" t="inlineStr">
        <is>
          <t>N/A</t>
        </is>
      </c>
      <c r="BG156" s="75" t="inlineStr">
        <is>
          <t>Ping An of China Capital (Hong Kong) Company Limited</t>
        </is>
      </c>
      <c r="BH156" s="63" t="inlineStr">
        <is>
          <t>Ping An of China Capital (Hong Kong) Company Limited</t>
        </is>
      </c>
      <c r="BI156" s="63" t="inlineStr">
        <is>
          <t>China PA Securities (Hong Kong) Company Limited; Innovax Securities Limited; CMBC Securities Company Limited; Valuable Capital Limited</t>
        </is>
      </c>
      <c r="BJ156" s="63" t="inlineStr">
        <is>
          <t>Central China International Capital Limited; CMBC Securities Company Limited; China PA Securities (Hong Kong) Company Limited; Innovax Securities Limited; Lego Securities Limited; Tiger Brokers (HK) Global Limited; Valuable Capital Limited</t>
        </is>
      </c>
      <c r="BK156" s="77">
        <f>HYPERLINK("https://www1.hkexnews.hk/listedco/listconews/sehk/2022/1130/2022113000131.pdf","prospectus")</f>
        <v/>
      </c>
      <c r="BL156" s="77">
        <f>HYPERLINK("https://www1.hkexnews.hk/listedco/listconews/sehk/2022/1209/2022120900148.htm","allotment")</f>
        <v/>
      </c>
      <c r="BM156" s="63" t="n"/>
      <c r="BN156" s="75" t="n"/>
      <c r="BO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c r="L157" s="66" t="n">
        <v>1</v>
      </c>
      <c r="M157" s="66" t="n">
        <v>0.84</v>
      </c>
      <c r="N157" s="63" t="inlineStr">
        <is>
          <t>N</t>
        </is>
      </c>
      <c r="O157" s="67" t="n">
        <v>84</v>
      </c>
      <c r="P157" s="67" t="n"/>
      <c r="Q157" s="68" t="n">
        <v>560</v>
      </c>
      <c r="R157" s="63" t="inlineStr">
        <is>
          <t>derived:deal size / offer % of enlarged capital</t>
        </is>
      </c>
      <c r="S157" s="69" t="n">
        <v>41.31</v>
      </c>
      <c r="T157" s="70" t="n">
        <v>1.37</v>
      </c>
      <c r="U157" s="71" t="n">
        <v>0</v>
      </c>
      <c r="V157" s="67" t="n">
        <v>22.5</v>
      </c>
      <c r="W157" s="63" t="n"/>
      <c r="X157" s="63" t="n"/>
      <c r="Y157" s="67" t="n">
        <v>10</v>
      </c>
      <c r="Z157" s="63" t="inlineStr">
        <is>
          <t>lapsed (no over-allocation)</t>
        </is>
      </c>
      <c r="AA157" s="72" t="n">
        <v>-14.29</v>
      </c>
      <c r="AB157" s="73" t="n">
        <v>-9.52</v>
      </c>
      <c r="AC157" s="73" t="n">
        <v>-5.27</v>
      </c>
      <c r="AD157" s="73" t="n">
        <v>-39.29</v>
      </c>
      <c r="AE157" s="73" t="n">
        <v>-36.9</v>
      </c>
      <c r="AF157" s="73" t="n">
        <v>-40.48</v>
      </c>
      <c r="AG157" s="73" t="n">
        <v>-29.17</v>
      </c>
      <c r="AH157" s="73" t="n">
        <v>-26.38</v>
      </c>
      <c r="AI157" s="73" t="n">
        <v>-30.56</v>
      </c>
      <c r="AJ157" s="73" t="n">
        <v>-33.66</v>
      </c>
      <c r="AK157" s="73" t="n">
        <v>-46.59</v>
      </c>
      <c r="AL157" s="73" t="n">
        <v>-37.97</v>
      </c>
      <c r="AM157" s="73" t="n">
        <v>-36.39</v>
      </c>
      <c r="AN157" s="73" t="n">
        <v>9.69</v>
      </c>
      <c r="AO157" s="73" t="n">
        <v>10.01</v>
      </c>
      <c r="AP157" s="63" t="inlineStr">
        <is>
          <t>China Biotech ETF (HS biotech proxy)</t>
        </is>
      </c>
      <c r="AQ157" s="73" t="n">
        <v>-34.52</v>
      </c>
      <c r="AR157" s="64" t="inlineStr">
        <is>
          <t>2026-08-20</t>
        </is>
      </c>
      <c r="AS157" s="65" t="n">
        <v>115.8</v>
      </c>
      <c r="AT157" s="68" t="n">
        <v>35.4</v>
      </c>
      <c r="AU157" s="63" t="inlineStr">
        <is>
          <t>Y</t>
        </is>
      </c>
      <c r="AV157" s="74" t="n">
        <v>15.8</v>
      </c>
      <c r="AW157" s="74" t="n"/>
      <c r="AX157" s="74" t="n"/>
      <c r="AY157" s="74" t="n">
        <v>4.8</v>
      </c>
      <c r="AZ157" s="75" t="inlineStr">
        <is>
          <t>N</t>
        </is>
      </c>
      <c r="BA157" s="76">
        <f>IF('BBG Verify'!K157="","not filed — run on terminal",'BBG Verify'!K157)</f>
        <v/>
      </c>
      <c r="BB157" s="63" t="inlineStr">
        <is>
          <t>N/A</t>
        </is>
      </c>
      <c r="BC157" s="63" t="inlineStr">
        <is>
          <t>N/A</t>
        </is>
      </c>
      <c r="BD157" s="63" t="inlineStr">
        <is>
          <t>N/A</t>
        </is>
      </c>
      <c r="BE157" s="63" t="inlineStr">
        <is>
          <t>N/A</t>
        </is>
      </c>
      <c r="BF157" s="63" t="inlineStr">
        <is>
          <t>N/A</t>
        </is>
      </c>
      <c r="BG157" s="75" t="inlineStr">
        <is>
          <t>Innovax Capital Limited; Sinolink Securities (Hong Kong) Company Limited</t>
        </is>
      </c>
      <c r="BH157" s="63" t="inlineStr">
        <is>
          <t>Innovax Capital Limited; Sinolink Securities (Hong Kong) Company Limited</t>
        </is>
      </c>
      <c r="BI157" s="63"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7">
        <f>HYPERLINK("https://www1.hkexnews.hk/listedco/listconews/sehk/2022/1130/2022113000017.pdf","prospectus")</f>
        <v/>
      </c>
      <c r="BL157" s="77">
        <f>HYPERLINK("https://www1.hkexnews.hk/listedco/listconews/sehk/2022/1213/2022121300028.htm","allotment")</f>
        <v/>
      </c>
      <c r="BM157" s="77">
        <f>HYPERLINK("https://www1.hkexnews.hk/listedco/listconews/sehk/2023/0105/2023010501561.pdf","stabilisation")</f>
        <v/>
      </c>
      <c r="BN157" s="75" t="n"/>
      <c r="BO157" s="63" t="inlineStr">
        <is>
          <t>range low: cap-only pricing — the filing publishes a Maximum Offer Price and no indicative floor · 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7" t="n">
        <v>1.41</v>
      </c>
      <c r="W158" s="63" t="inlineStr">
        <is>
          <t>Harvest International Premium Value (Secondary Market) Fund SPC; Mobilewise Limited; TradArt Investment SP</t>
        </is>
      </c>
      <c r="X158" s="63" t="inlineStr">
        <is>
          <t>harvest;mobilewise;tradart</t>
        </is>
      </c>
      <c r="Y158" s="67" t="n">
        <v>7.29</v>
      </c>
      <c r="Z158" s="63" t="inlineStr">
        <is>
          <t>partial</t>
        </is>
      </c>
      <c r="AA158" s="72" t="n">
        <v>25.9</v>
      </c>
      <c r="AB158" s="73" t="n">
        <v>16.09</v>
      </c>
      <c r="AC158" s="73" t="n">
        <v>8.449999999999999</v>
      </c>
      <c r="AD158" s="73" t="n">
        <v>66.13</v>
      </c>
      <c r="AE158" s="73" t="n">
        <v>139.39</v>
      </c>
      <c r="AF158" s="73" t="n">
        <v>167.21</v>
      </c>
      <c r="AG158" s="73" t="n">
        <v>31.95</v>
      </c>
      <c r="AH158" s="73" t="n">
        <v>90.14</v>
      </c>
      <c r="AI158" s="73" t="n">
        <v>112.24</v>
      </c>
      <c r="AJ158" s="73" t="n">
        <v>70.7</v>
      </c>
      <c r="AK158" s="73" t="n">
        <v>129.95</v>
      </c>
      <c r="AL158" s="73" t="n">
        <v>169.24</v>
      </c>
      <c r="AM158" s="73" t="n">
        <v>78.67</v>
      </c>
      <c r="AN158" s="73" t="n">
        <v>9.44</v>
      </c>
      <c r="AO158" s="73" t="n">
        <v>11.47</v>
      </c>
      <c r="AP158" s="63" t="inlineStr">
        <is>
          <t>China Biotech ETF (HS biotech proxy)</t>
        </is>
      </c>
      <c r="AQ158" s="73" t="n">
        <v>-86.31</v>
      </c>
      <c r="AR158" s="64" t="inlineStr">
        <is>
          <t>2026-08-20</t>
        </is>
      </c>
      <c r="AS158" s="65" t="n">
        <v>177.2</v>
      </c>
      <c r="AT158" s="68" t="n">
        <v>-1577.5</v>
      </c>
      <c r="AU158" s="63" t="inlineStr">
        <is>
          <t>N</t>
        </is>
      </c>
      <c r="AV158" s="63" t="inlineStr">
        <is>
          <t>n/m</t>
        </is>
      </c>
      <c r="AW158" s="74" t="n"/>
      <c r="AX158" s="74" t="n"/>
      <c r="AY158" s="74" t="n">
        <v>37.7</v>
      </c>
      <c r="AZ158" s="75" t="inlineStr">
        <is>
          <t>N</t>
        </is>
      </c>
      <c r="BA158" s="76">
        <f>IF('BBG Verify'!K158="","not filed — run on terminal",'BBG Verify'!K158)</f>
        <v/>
      </c>
      <c r="BB158" s="63" t="inlineStr">
        <is>
          <t>N/A</t>
        </is>
      </c>
      <c r="BC158" s="63" t="inlineStr">
        <is>
          <t>N/A</t>
        </is>
      </c>
      <c r="BD158" s="63" t="inlineStr">
        <is>
          <t>N/A</t>
        </is>
      </c>
      <c r="BE158" s="63" t="inlineStr">
        <is>
          <t>N/A</t>
        </is>
      </c>
      <c r="BF158" s="63" t="inlineStr">
        <is>
          <t>N/A</t>
        </is>
      </c>
      <c r="BG158" s="75" t="inlineStr">
        <is>
          <t>China International Capital Corporation Hong Kong Securities Limited; China Securities (International) Corporate Finance Company Limited</t>
        </is>
      </c>
      <c r="BH158" s="63" t="inlineStr">
        <is>
          <t>China International Capital Corporation Hong Kong Securities Limited; China Securities (International) Corporate Finance Company Limited</t>
        </is>
      </c>
      <c r="BI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7">
        <f>HYPERLINK("https://www1.hkexnews.hk/listedco/listconews/sehk/2022/1129/2022112900013.pdf","prospectus")</f>
        <v/>
      </c>
      <c r="BL158" s="77">
        <f>HYPERLINK("https://www1.hkexnews.hk/listedco/listconews/sehk/2022/1214/2022121400036.htm","allotment")</f>
        <v/>
      </c>
      <c r="BM158" s="77">
        <f>HYPERLINK("https://www1.hkexnews.hk/listedco/listconews/sehk/2023/0109/2023010900027.pdf","stabilisation")</f>
        <v/>
      </c>
      <c r="BN158" s="75" t="n"/>
      <c r="BO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7" t="n">
        <v>1.74</v>
      </c>
      <c r="W159" s="63" t="inlineStr">
        <is>
          <t>Media Global Management Limited; Prospect Bridge Value L.P; Sunshine Life Insurance Corporation Limited</t>
        </is>
      </c>
      <c r="X159" s="63" t="inlineStr">
        <is>
          <t>media;prospect;sunshine</t>
        </is>
      </c>
      <c r="Y159" s="67" t="n">
        <v>17.06</v>
      </c>
      <c r="Z159" s="63" t="inlineStr">
        <is>
          <t>lapsed</t>
        </is>
      </c>
      <c r="AA159" s="72" t="n">
        <v>-5.11</v>
      </c>
      <c r="AB159" s="73" t="n">
        <v>-3.41</v>
      </c>
      <c r="AC159" s="73" t="n">
        <v>-1.76</v>
      </c>
      <c r="AD159" s="73" t="n">
        <v>-12.12</v>
      </c>
      <c r="AE159" s="73" t="n">
        <v>-0.57</v>
      </c>
      <c r="AF159" s="73" t="n">
        <v>7.95</v>
      </c>
      <c r="AG159" s="73" t="n">
        <v>-7.39</v>
      </c>
      <c r="AH159" s="73" t="n">
        <v>4.78</v>
      </c>
      <c r="AI159" s="73" t="n">
        <v>13.76</v>
      </c>
      <c r="AJ159" s="73" t="n">
        <v>-12.16</v>
      </c>
      <c r="AK159" s="73" t="n">
        <v>-11.74</v>
      </c>
      <c r="AL159" s="73" t="n">
        <v>10.29</v>
      </c>
      <c r="AM159" s="73" t="n">
        <v>-8.859999999999999</v>
      </c>
      <c r="AN159" s="73" t="n">
        <v>11.17</v>
      </c>
      <c r="AO159" s="73" t="n">
        <v>13.64</v>
      </c>
      <c r="AP159" s="63" t="inlineStr">
        <is>
          <t>Hang Seng Commerce &amp; Industry sub-index</t>
        </is>
      </c>
      <c r="AQ159" s="73" t="n">
        <v>-19.03</v>
      </c>
      <c r="AR159" s="64" t="inlineStr">
        <is>
          <t>2026-08-20</t>
        </is>
      </c>
      <c r="AS159" s="65" t="n">
        <v>5280.2</v>
      </c>
      <c r="AT159" s="68" t="n">
        <v>1206.3</v>
      </c>
      <c r="AU159" s="63" t="inlineStr">
        <is>
          <t>Y</t>
        </is>
      </c>
      <c r="AV159" s="74" t="n">
        <v>20.6</v>
      </c>
      <c r="AW159" s="74" t="n"/>
      <c r="AX159" s="74" t="n">
        <v>12.1</v>
      </c>
      <c r="AY159" s="74" t="n">
        <v>4.7</v>
      </c>
      <c r="AZ159" s="75" t="inlineStr">
        <is>
          <t>N</t>
        </is>
      </c>
      <c r="BA159" s="76">
        <f>IF('BBG Verify'!K159="","not filed — run on terminal",'BBG Verify'!K159)</f>
        <v/>
      </c>
      <c r="BB159" s="63" t="inlineStr">
        <is>
          <t>N/A</t>
        </is>
      </c>
      <c r="BC159" s="63" t="inlineStr">
        <is>
          <t>N/A</t>
        </is>
      </c>
      <c r="BD159" s="63" t="inlineStr">
        <is>
          <t>N/A</t>
        </is>
      </c>
      <c r="BE159" s="63" t="inlineStr">
        <is>
          <t>N/A</t>
        </is>
      </c>
      <c r="BF159" s="63" t="inlineStr">
        <is>
          <t>N/A</t>
        </is>
      </c>
      <c r="BG159" s="75" t="inlineStr">
        <is>
          <t>Morgan Stanley Asia Limited; China International Capital Corporation Hong Kong Securities Limited</t>
        </is>
      </c>
      <c r="BH159" s="63" t="inlineStr">
        <is>
          <t>China International Capital Corporation Hong Kong Securities Limited; Morgan Stanley Asia Limited; UBS Securities Hong Kong Limited</t>
        </is>
      </c>
      <c r="BI159" s="63" t="inlineStr">
        <is>
          <t>UBS AG Hong Kong Branch; Morgan Stanley Asia Limited; China International Capital Corporation Hong Kong Securities Limited; Futu Securities International (Hong Kong) Limited</t>
        </is>
      </c>
      <c r="BJ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7">
        <f>HYPERLINK("https://www1.hkexnews.hk/listedco/listconews/sehk/2022/1205/2022120500015.pdf","prospectus")</f>
        <v/>
      </c>
      <c r="BL159" s="77">
        <f>HYPERLINK("https://www1.hkexnews.hk/listedco/listconews/sehk/2022/1214/2022121400094.htm","allotment")</f>
        <v/>
      </c>
      <c r="BM159" s="77">
        <f>HYPERLINK("https://www1.hkexnews.hk/listedco/listconews/sehk/2023/0109/2023010900033.pdf","stabilisation")</f>
        <v/>
      </c>
      <c r="BN159" s="75" t="n"/>
      <c r="BO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v>0.5</v>
      </c>
      <c r="L160" s="66" t="n">
        <v>0.6</v>
      </c>
      <c r="M160" s="66" t="n">
        <v>0.5</v>
      </c>
      <c r="N160" s="63" t="inlineStr">
        <is>
          <t>N</t>
        </is>
      </c>
      <c r="O160" s="67" t="n">
        <v>83.3</v>
      </c>
      <c r="P160" s="67" t="n">
        <v>0</v>
      </c>
      <c r="Q160" s="68" t="n">
        <v>550</v>
      </c>
      <c r="R160" s="63" t="inlineStr">
        <is>
          <t>aastocks:上市市值 at the struck price</t>
        </is>
      </c>
      <c r="S160" s="69" t="n">
        <v>51.22</v>
      </c>
      <c r="T160" s="70" t="n">
        <v>1.19</v>
      </c>
      <c r="U160" s="71" t="n">
        <v>24</v>
      </c>
      <c r="V160" s="67" t="n">
        <v>17.27</v>
      </c>
      <c r="W160" s="63" t="inlineStr">
        <is>
          <t>Arda (HK) Investment Co., Limited</t>
        </is>
      </c>
      <c r="X160" s="63" t="inlineStr">
        <is>
          <t>arda</t>
        </is>
      </c>
      <c r="Y160" s="67" t="n">
        <v>6</v>
      </c>
      <c r="Z160" s="63" t="inlineStr">
        <is>
          <t>lapsed (no over-allocation)</t>
        </is>
      </c>
      <c r="AA160" s="72" t="n">
        <v>-40</v>
      </c>
      <c r="AB160" s="73" t="n">
        <v>-29</v>
      </c>
      <c r="AC160" s="73" t="n">
        <v>-15.49</v>
      </c>
      <c r="AD160" s="73" t="n">
        <v>-25</v>
      </c>
      <c r="AE160" s="73" t="n">
        <v>-15</v>
      </c>
      <c r="AF160" s="73" t="n">
        <v>-31</v>
      </c>
      <c r="AG160" s="73" t="n">
        <v>25</v>
      </c>
      <c r="AH160" s="73" t="n">
        <v>41.67</v>
      </c>
      <c r="AI160" s="73" t="n">
        <v>15</v>
      </c>
      <c r="AJ160" s="73" t="n">
        <v>-25.04</v>
      </c>
      <c r="AK160" s="73" t="n">
        <v>-26.17</v>
      </c>
      <c r="AL160" s="73" t="n">
        <v>-28.66</v>
      </c>
      <c r="AM160" s="73" t="n">
        <v>28.03</v>
      </c>
      <c r="AN160" s="73" t="n">
        <v>11.17</v>
      </c>
      <c r="AO160" s="73" t="n">
        <v>13.64</v>
      </c>
      <c r="AP160" s="63" t="inlineStr">
        <is>
          <t>Hang Seng Commerce &amp; Industry sub-index</t>
        </is>
      </c>
      <c r="AQ160" s="73" t="n">
        <v>-26</v>
      </c>
      <c r="AR160" s="64" t="inlineStr">
        <is>
          <t>2026-08-20</t>
        </is>
      </c>
      <c r="AS160" s="65" t="n">
        <v>484.4</v>
      </c>
      <c r="AT160" s="68" t="n">
        <v>41.4</v>
      </c>
      <c r="AU160" s="63" t="inlineStr">
        <is>
          <t>Y</t>
        </is>
      </c>
      <c r="AV160" s="74" t="n">
        <v>13.3</v>
      </c>
      <c r="AW160" s="74" t="n"/>
      <c r="AX160" s="74" t="n">
        <v>28.6</v>
      </c>
      <c r="AY160" s="74" t="n">
        <v>1.1</v>
      </c>
      <c r="AZ160" s="75" t="inlineStr">
        <is>
          <t>N</t>
        </is>
      </c>
      <c r="BA160" s="76">
        <f>IF('BBG Verify'!K160="","not filed — run on terminal",'BBG Verify'!K160)</f>
        <v/>
      </c>
      <c r="BB160" s="63" t="inlineStr">
        <is>
          <t>N/A</t>
        </is>
      </c>
      <c r="BC160" s="63" t="inlineStr">
        <is>
          <t>N/A</t>
        </is>
      </c>
      <c r="BD160" s="63" t="inlineStr">
        <is>
          <t>N/A</t>
        </is>
      </c>
      <c r="BE160" s="63" t="inlineStr">
        <is>
          <t>N/A</t>
        </is>
      </c>
      <c r="BF160" s="63" t="inlineStr">
        <is>
          <t>N/A</t>
        </is>
      </c>
      <c r="BG160" s="75" t="inlineStr">
        <is>
          <t>Zhongtai International Capital Limited; OC Zhongtai International Securities Limited</t>
        </is>
      </c>
      <c r="BH160" s="63" t="inlineStr">
        <is>
          <t>Zhongtai International Capital Limited</t>
        </is>
      </c>
      <c r="BI160" s="63"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7">
        <f>HYPERLINK("https://www1.hkexnews.hk/listedco/listconews/sehk/2022/1129/2022112900024.htm","prospectus")</f>
        <v/>
      </c>
      <c r="BL160" s="77">
        <f>HYPERLINK("https://www1.hkexnews.hk/listedco/listconews/sehk/2022/1214/2022121400106.htm","allotment")</f>
        <v/>
      </c>
      <c r="BM160" s="77">
        <f>HYPERLINK("https://www1.hkexnews.hk/listedco/listconews/sehk/2023/0106/2023010600817.pdf","stabilisation")</f>
        <v/>
      </c>
      <c r="BN160" s="75" t="n"/>
      <c r="BO160" s="63" t="inlineStr">
        <is>
          <t>A/H: no A-share listing</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136.2</v>
      </c>
      <c r="J161" s="63" t="inlineStr">
        <is>
          <t>net proceeds</t>
        </is>
      </c>
      <c r="K161" s="66" t="n"/>
      <c r="L161" s="66" t="n">
        <v>29.8</v>
      </c>
      <c r="M161" s="66" t="n">
        <v>25.2</v>
      </c>
      <c r="N161" s="63" t="inlineStr">
        <is>
          <t>N</t>
        </is>
      </c>
      <c r="O161" s="67" t="n">
        <v>84.59999999999999</v>
      </c>
      <c r="P161" s="67" t="n"/>
      <c r="Q161" s="68" t="n">
        <v>11576.5</v>
      </c>
      <c r="R161" s="63" t="inlineStr">
        <is>
          <t>aastocks:上市市值 at the struck price</t>
        </is>
      </c>
      <c r="S161" s="69" t="n">
        <v>0.48</v>
      </c>
      <c r="T161" s="70" t="n">
        <v>1.42</v>
      </c>
      <c r="U161" s="71" t="n">
        <v>0</v>
      </c>
      <c r="V161" s="67" t="n">
        <v>1.18</v>
      </c>
      <c r="W161" s="63" t="n"/>
      <c r="X161" s="63" t="n"/>
      <c r="Y161" s="67" t="n">
        <v>10.6</v>
      </c>
      <c r="Z161" s="63" t="inlineStr">
        <is>
          <t>partial</t>
        </is>
      </c>
      <c r="AA161" s="72" t="n">
        <v>0</v>
      </c>
      <c r="AB161" s="73" t="n">
        <v>0</v>
      </c>
      <c r="AC161" s="73" t="n">
        <v>0</v>
      </c>
      <c r="AD161" s="73" t="n">
        <v>19.05</v>
      </c>
      <c r="AE161" s="73" t="n">
        <v>20.63</v>
      </c>
      <c r="AF161" s="73" t="n">
        <v>0.79</v>
      </c>
      <c r="AG161" s="73" t="n">
        <v>19.05</v>
      </c>
      <c r="AH161" s="73" t="n">
        <v>20.63</v>
      </c>
      <c r="AI161" s="73" t="n">
        <v>0.79</v>
      </c>
      <c r="AJ161" s="73" t="n">
        <v>13.54</v>
      </c>
      <c r="AK161" s="73" t="n">
        <v>3.49</v>
      </c>
      <c r="AL161" s="73" t="n">
        <v>-5.67</v>
      </c>
      <c r="AM161" s="73" t="n">
        <v>7.85</v>
      </c>
      <c r="AN161" s="73" t="n">
        <v>17.14</v>
      </c>
      <c r="AO161" s="73" t="n">
        <v>12.78</v>
      </c>
      <c r="AP161" s="63" t="inlineStr">
        <is>
          <t>Hang Seng Commerce &amp; Industry sub-index</t>
        </is>
      </c>
      <c r="AQ161" s="73" t="n">
        <v>-3.81</v>
      </c>
      <c r="AR161" s="64" t="inlineStr">
        <is>
          <t>2026-08-20</t>
        </is>
      </c>
      <c r="AS161" s="65" t="n">
        <v>3980.8</v>
      </c>
      <c r="AT161" s="68" t="n">
        <v>372.7</v>
      </c>
      <c r="AU161" s="63" t="inlineStr">
        <is>
          <t>Y</t>
        </is>
      </c>
      <c r="AV161" s="74" t="n">
        <v>31.1</v>
      </c>
      <c r="AW161" s="74" t="n"/>
      <c r="AX161" s="74" t="n">
        <v>9</v>
      </c>
      <c r="AY161" s="74" t="n">
        <v>2.9</v>
      </c>
      <c r="AZ161" s="75" t="inlineStr">
        <is>
          <t>N</t>
        </is>
      </c>
      <c r="BA161" s="76">
        <f>IF('BBG Verify'!K161="","not filed — run on terminal",'BBG Verify'!K161)</f>
        <v/>
      </c>
      <c r="BB161" s="63" t="inlineStr">
        <is>
          <t>N/A</t>
        </is>
      </c>
      <c r="BC161" s="63" t="inlineStr">
        <is>
          <t>N/A</t>
        </is>
      </c>
      <c r="BD161" s="63" t="inlineStr">
        <is>
          <t>N/A</t>
        </is>
      </c>
      <c r="BE161" s="63" t="inlineStr">
        <is>
          <t>N/A</t>
        </is>
      </c>
      <c r="BF161" s="63" t="inlineStr">
        <is>
          <t>N/A</t>
        </is>
      </c>
      <c r="BG161" s="75" t="inlineStr">
        <is>
          <t>J.P. Morgan Securities (Far East) Limited; China International Capital Corporation Hong Kong Securities Limited; CLSA Capital Markets Limited</t>
        </is>
      </c>
      <c r="BH161" s="63" t="inlineStr">
        <is>
          <t>China International Capital Corporation Hong Kong Securities Limited; J.P. Morgan Securities (Far East) Limited; CLSA Capital Markets Limited</t>
        </is>
      </c>
      <c r="BI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7">
        <f>HYPERLINK("https://www1.hkexnews.hk/listedco/listconews/sehk/2022/1212/2022121200011.pdf","prospectus")</f>
        <v/>
      </c>
      <c r="BL161" s="77">
        <f>HYPERLINK("https://www1.hkexnews.hk/listedco/listconews/sehk/2022/1221/2022122100048.htm","allotment")</f>
        <v/>
      </c>
      <c r="BM161" s="77">
        <f>HYPERLINK("https://www1.hkexnews.hk/listedco/listconews/sehk/2023/0116/2023011600073.pdf","stabilisation")</f>
        <v/>
      </c>
      <c r="BN161" s="75" t="n"/>
      <c r="BO161"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68" t="n">
        <v>4000</v>
      </c>
      <c r="R162" s="63" t="inlineStr">
        <is>
          <t>prospectus:stated market capitalisation</t>
        </is>
      </c>
      <c r="S162" s="69" t="n">
        <v>8.27</v>
      </c>
      <c r="T162" s="70" t="n">
        <v>1.41</v>
      </c>
      <c r="U162" s="71" t="n">
        <v>0</v>
      </c>
      <c r="V162" s="67" t="n">
        <v>4.61</v>
      </c>
      <c r="W162" s="63" t="n"/>
      <c r="X162" s="63" t="n"/>
      <c r="Y162" s="67" t="n">
        <v>12.94</v>
      </c>
      <c r="Z162" s="63" t="inlineStr">
        <is>
          <t>lapsed</t>
        </is>
      </c>
      <c r="AA162" s="72" t="n">
        <v>34.41</v>
      </c>
      <c r="AB162" s="73" t="n">
        <v>27.42</v>
      </c>
      <c r="AC162" s="73" t="n">
        <v>5.49</v>
      </c>
      <c r="AD162" s="73" t="n">
        <v>0</v>
      </c>
      <c r="AE162" s="73" t="n">
        <v>7.42</v>
      </c>
      <c r="AF162" s="73" t="n">
        <v>97.84999999999999</v>
      </c>
      <c r="AG162" s="73" t="n">
        <v>-25.6</v>
      </c>
      <c r="AH162" s="73" t="n">
        <v>-20.08</v>
      </c>
      <c r="AI162" s="73" t="n">
        <v>47.2</v>
      </c>
      <c r="AJ162" s="73" t="n">
        <v>-8.31</v>
      </c>
      <c r="AK162" s="73" t="n">
        <v>-5.25</v>
      </c>
      <c r="AL162" s="73" t="n">
        <v>97.47</v>
      </c>
      <c r="AM162" s="73" t="n">
        <v>-32.06</v>
      </c>
      <c r="AN162" s="73" t="n">
        <v>12.67</v>
      </c>
      <c r="AO162" s="73" t="n">
        <v>11.98</v>
      </c>
      <c r="AP162" s="63" t="inlineStr">
        <is>
          <t>China Biotech ETF (HS biotech proxy)</t>
        </is>
      </c>
      <c r="AQ162" s="73" t="n">
        <v>-91.95999999999999</v>
      </c>
      <c r="AR162" s="64" t="inlineStr">
        <is>
          <t>2026-08-20</t>
        </is>
      </c>
      <c r="AS162" s="65" t="n">
        <v>3821.3</v>
      </c>
      <c r="AT162" s="68" t="n">
        <v>-4114.5</v>
      </c>
      <c r="AU162" s="63" t="inlineStr">
        <is>
          <t>N</t>
        </is>
      </c>
      <c r="AV162" s="63" t="inlineStr">
        <is>
          <t>n/m</t>
        </is>
      </c>
      <c r="AW162" s="74" t="n"/>
      <c r="AX162" s="74" t="n"/>
      <c r="AY162" s="74" t="n">
        <v>1</v>
      </c>
      <c r="AZ162" s="75" t="inlineStr">
        <is>
          <t>N</t>
        </is>
      </c>
      <c r="BA162" s="76">
        <f>IF('BBG Verify'!K162="","not filed — run on terminal",'BBG Verify'!K162)</f>
        <v/>
      </c>
      <c r="BB162" s="63" t="inlineStr">
        <is>
          <t>N/A</t>
        </is>
      </c>
      <c r="BC162" s="63" t="inlineStr">
        <is>
          <t>N/A</t>
        </is>
      </c>
      <c r="BD162" s="63" t="inlineStr">
        <is>
          <t>N/A</t>
        </is>
      </c>
      <c r="BE162" s="63" t="inlineStr">
        <is>
          <t>N/A</t>
        </is>
      </c>
      <c r="BF162" s="63" t="inlineStr">
        <is>
          <t>N/A</t>
        </is>
      </c>
      <c r="BG162" s="75" t="inlineStr">
        <is>
          <t>Morgan Stanley Asia Limited; Haitong International Capital Limited; Haitong International Securities Company Limited</t>
        </is>
      </c>
      <c r="BH162" s="63" t="inlineStr">
        <is>
          <t>Morgan Stanley Asia Limited; Haitong International Capital Limited</t>
        </is>
      </c>
      <c r="BI162" s="63" t="inlineStr">
        <is>
          <t>Futu Securities International (Hong Kong) Limited; Haitong International Securities Company Limited; I Win Securities Limited; Maxa Capital Limited; Morgan Stanley Asia Limited</t>
        </is>
      </c>
      <c r="BJ162" s="63" t="inlineStr">
        <is>
          <t>Futu Securities International (Hong Kong) Limited; Haitong International Securities Company Limited; I Win Securities Limited; Maxa Capital Limited; Morgan Stanley Asia Limited</t>
        </is>
      </c>
      <c r="BK162" s="77">
        <f>HYPERLINK("https://www1.hkexnews.hk/listedco/listconews/sehk/2022/1212/2022121200024.htm","prospectus")</f>
        <v/>
      </c>
      <c r="BL162" s="77">
        <f>HYPERLINK("https://www1.hkexnews.hk/listedco/listconews/sehk/2022/1222/2022122200018.htm","allotment")</f>
        <v/>
      </c>
      <c r="BM162" s="77">
        <f>HYPERLINK("https://www1.hkexnews.hk/listedco/listconews/sehk/2023/0115/2023011500007.pdf","stabilisation")</f>
        <v/>
      </c>
      <c r="BN162" s="75" t="n"/>
      <c r="BO162"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7" t="n">
        <v>1.81</v>
      </c>
      <c r="W163" s="63" t="inlineStr">
        <is>
          <t>Hangzhou Fuyang Industrial Fund Investment Management Co., Ltd</t>
        </is>
      </c>
      <c r="X163" s="63" t="inlineStr">
        <is>
          <t>hangzhou-fuyang</t>
        </is>
      </c>
      <c r="Y163" s="67" t="n"/>
      <c r="Z163" s="63" t="n"/>
      <c r="AA163" s="72" t="n">
        <v>3.98</v>
      </c>
      <c r="AB163" s="73" t="n">
        <v>0</v>
      </c>
      <c r="AC163" s="73" t="n">
        <v>3.98</v>
      </c>
      <c r="AD163" s="73" t="n">
        <v>-5.11</v>
      </c>
      <c r="AE163" s="73" t="n">
        <v>-6.25</v>
      </c>
      <c r="AF163" s="73" t="n">
        <v>45.68</v>
      </c>
      <c r="AG163" s="73" t="n">
        <v>-8.74</v>
      </c>
      <c r="AH163" s="73" t="n">
        <v>-9.84</v>
      </c>
      <c r="AI163" s="73" t="n">
        <v>40.1</v>
      </c>
      <c r="AJ163" s="73" t="n">
        <v>-13.42</v>
      </c>
      <c r="AK163" s="73" t="n">
        <v>-18.92</v>
      </c>
      <c r="AL163" s="73" t="n">
        <v>45.3</v>
      </c>
      <c r="AM163" s="73" t="n">
        <v>-21.82</v>
      </c>
      <c r="AN163" s="73" t="n">
        <v>12.67</v>
      </c>
      <c r="AO163" s="73" t="n">
        <v>11.98</v>
      </c>
      <c r="AP163" s="63" t="inlineStr">
        <is>
          <t>China Biotech ETF (HS biotech proxy)</t>
        </is>
      </c>
      <c r="AQ163" s="73" t="n">
        <v>-53.92</v>
      </c>
      <c r="AR163" s="64" t="inlineStr">
        <is>
          <t>2026-08-20</t>
        </is>
      </c>
      <c r="AS163" s="65" t="n">
        <v>908.4</v>
      </c>
      <c r="AT163" s="68" t="n">
        <v>-10.3</v>
      </c>
      <c r="AU163" s="63" t="inlineStr">
        <is>
          <t>N</t>
        </is>
      </c>
      <c r="AV163" s="63" t="inlineStr">
        <is>
          <t>n/m</t>
        </is>
      </c>
      <c r="AW163" s="74" t="n"/>
      <c r="AX163" s="74" t="n">
        <v>9.699999999999999</v>
      </c>
      <c r="AY163" s="74" t="n">
        <v>8</v>
      </c>
      <c r="AZ163" s="75" t="inlineStr">
        <is>
          <t>N</t>
        </is>
      </c>
      <c r="BA163" s="76">
        <f>IF('BBG Verify'!K163="","not filed — run on terminal",'BBG Verify'!K163)</f>
        <v/>
      </c>
      <c r="BB163" s="63" t="inlineStr">
        <is>
          <t>N/A</t>
        </is>
      </c>
      <c r="BC163" s="63" t="inlineStr">
        <is>
          <t>N/A</t>
        </is>
      </c>
      <c r="BD163" s="63" t="inlineStr">
        <is>
          <t>N/A</t>
        </is>
      </c>
      <c r="BE163" s="63" t="inlineStr">
        <is>
          <t>N/A</t>
        </is>
      </c>
      <c r="BF163" s="63" t="inlineStr">
        <is>
          <t>N/A</t>
        </is>
      </c>
      <c r="BG163" s="75" t="inlineStr">
        <is>
          <t>China International Capital Corporation Hong Kong Securities Limited; CCB International Capital Limited</t>
        </is>
      </c>
      <c r="BH163" s="63" t="inlineStr">
        <is>
          <t>CCB International Capital Limited; China International Capital Corporation (HK) Ltd</t>
        </is>
      </c>
      <c r="BI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7">
        <f>HYPERLINK("https://www1.hkexnews.hk/listedco/listconews/sehk/2022/1213/2022121300009.pdf","prospectus")</f>
        <v/>
      </c>
      <c r="BL163" s="77">
        <f>HYPERLINK("https://www1.hkexnews.hk/listedco/listconews/sehk/2022/1222/2022122200034.htm","allotment")</f>
        <v/>
      </c>
      <c r="BM163" s="63" t="n"/>
      <c r="BN163" s="75" t="n"/>
      <c r="BO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583.4</v>
      </c>
      <c r="R164" s="63" t="inlineStr">
        <is>
          <t>aastocks:上市市值 at the struck price</t>
        </is>
      </c>
      <c r="S164" s="69" t="n">
        <v>14.23</v>
      </c>
      <c r="T164" s="70" t="n">
        <v>1.2</v>
      </c>
      <c r="U164" s="71" t="n">
        <v>24</v>
      </c>
      <c r="V164" s="67" t="n">
        <v>13.31</v>
      </c>
      <c r="W164" s="63" t="inlineStr">
        <is>
          <t>Carsonlin Investment Ltd; Mu Min; Yang Xinyun</t>
        </is>
      </c>
      <c r="X164" s="63" t="inlineStr">
        <is>
          <t>carsonlin;mu;yang-xinyun</t>
        </is>
      </c>
      <c r="Y164" s="67" t="n">
        <v>10</v>
      </c>
      <c r="Z164" s="63" t="inlineStr">
        <is>
          <t>lapsed (no over-allocation)</t>
        </is>
      </c>
      <c r="AA164" s="72" t="n">
        <v>230.19</v>
      </c>
      <c r="AB164" s="73" t="n">
        <v>126.42</v>
      </c>
      <c r="AC164" s="73" t="n">
        <v>45.83</v>
      </c>
      <c r="AD164" s="73" t="n">
        <v>281.13</v>
      </c>
      <c r="AE164" s="73" t="n">
        <v>196.23</v>
      </c>
      <c r="AF164" s="73" t="n">
        <v>696.23</v>
      </c>
      <c r="AG164" s="73" t="n">
        <v>15.43</v>
      </c>
      <c r="AH164" s="73" t="n">
        <v>-10.28</v>
      </c>
      <c r="AI164" s="73" t="n">
        <v>141.14</v>
      </c>
      <c r="AJ164" s="73" t="n">
        <v>273.69</v>
      </c>
      <c r="AK164" s="73" t="n">
        <v>182.72</v>
      </c>
      <c r="AL164" s="73" t="n">
        <v>699.04</v>
      </c>
      <c r="AM164" s="73" t="n">
        <v>-20.57</v>
      </c>
      <c r="AN164" s="73" t="n">
        <v>13.51</v>
      </c>
      <c r="AO164" s="73" t="n">
        <v>10.29</v>
      </c>
      <c r="AP164" s="63" t="inlineStr">
        <is>
          <t>China Biotech ETF (HS biotech proxy)</t>
        </is>
      </c>
      <c r="AQ164" s="73" t="n">
        <v>333.96</v>
      </c>
      <c r="AR164" s="64" t="inlineStr">
        <is>
          <t>2026-08-20</t>
        </is>
      </c>
      <c r="AS164" s="65" t="n">
        <v>232.1</v>
      </c>
      <c r="AT164" s="68" t="n">
        <v>25.4</v>
      </c>
      <c r="AU164" s="63" t="inlineStr">
        <is>
          <t>Y</t>
        </is>
      </c>
      <c r="AV164" s="74" t="n">
        <v>23</v>
      </c>
      <c r="AW164" s="74" t="n"/>
      <c r="AX164" s="74" t="n"/>
      <c r="AY164" s="74" t="n">
        <v>2.5</v>
      </c>
      <c r="AZ164" s="75" t="inlineStr">
        <is>
          <t>N</t>
        </is>
      </c>
      <c r="BA164" s="76">
        <f>IF('BBG Verify'!K164="","not filed — run on terminal",'BBG Verify'!K164)</f>
        <v/>
      </c>
      <c r="BB164" s="63" t="inlineStr">
        <is>
          <t>N/A</t>
        </is>
      </c>
      <c r="BC164" s="63" t="inlineStr">
        <is>
          <t>N/A</t>
        </is>
      </c>
      <c r="BD164" s="63" t="inlineStr">
        <is>
          <t>N/A</t>
        </is>
      </c>
      <c r="BE164" s="63" t="inlineStr">
        <is>
          <t>N/A</t>
        </is>
      </c>
      <c r="BF164" s="63" t="inlineStr">
        <is>
          <t>N/A</t>
        </is>
      </c>
      <c r="BG164" s="75" t="inlineStr">
        <is>
          <t>Southwest Securities (HK) Capital Limited</t>
        </is>
      </c>
      <c r="BH164" s="63" t="inlineStr">
        <is>
          <t>Southwest Securities (HK) Capital Limited</t>
        </is>
      </c>
      <c r="BI164" s="63"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7">
        <f>HYPERLINK("https://www1.hkexnews.hk/listedco/listconews/sehk/2022/1215/2022121500017.pdf","prospectus")</f>
        <v/>
      </c>
      <c r="BL164" s="77">
        <f>HYPERLINK("https://www1.hkexnews.hk/listedco/listconews/sehk/2022/1228/2022122800004.htm","allotment")</f>
        <v/>
      </c>
      <c r="BM164" s="77">
        <f>HYPERLINK("https://www1.hkexnews.hk/listedco/listconews/sehk/2023/0119/2023011900669.pdf","stabilisation")</f>
        <v/>
      </c>
      <c r="BN164" s="75" t="n"/>
      <c r="BO164" s="63" t="inlineStr">
        <is>
          <t>A/H: no A-share listing · market cap: estimate from deal size / offer % of enlarged capital disagreed with the published listing cap — published figure adopted</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c r="L165" s="66" t="n">
        <v>32.5</v>
      </c>
      <c r="M165" s="66" t="n">
        <v>26.5</v>
      </c>
      <c r="N165" s="63" t="inlineStr">
        <is>
          <t>N</t>
        </is>
      </c>
      <c r="O165" s="67" t="n">
        <v>81.5</v>
      </c>
      <c r="P165" s="67" t="n"/>
      <c r="Q165" s="68" t="n">
        <v>10551.4</v>
      </c>
      <c r="R165" s="63" t="inlineStr">
        <is>
          <t>derived:deal size / offer % of enlarged capital</t>
        </is>
      </c>
      <c r="S165" s="69" t="n">
        <v>5.12</v>
      </c>
      <c r="T165" s="70" t="n">
        <v>1.47</v>
      </c>
      <c r="U165" s="71" t="n">
        <v>10</v>
      </c>
      <c r="V165" s="67" t="n">
        <v>3.33</v>
      </c>
      <c r="W165" s="63" t="inlineStr">
        <is>
          <t>TradArt Investment SP</t>
        </is>
      </c>
      <c r="X165" s="63" t="inlineStr">
        <is>
          <t>tradart</t>
        </is>
      </c>
      <c r="Y165" s="67" t="n">
        <v>15</v>
      </c>
      <c r="Z165" s="63" t="inlineStr">
        <is>
          <t>partial</t>
        </is>
      </c>
      <c r="AA165" s="72" t="n">
        <v>70.56999999999999</v>
      </c>
      <c r="AB165" s="73" t="n">
        <v>22.83</v>
      </c>
      <c r="AC165" s="73" t="n">
        <v>38.87</v>
      </c>
      <c r="AD165" s="73" t="n">
        <v>76.59999999999999</v>
      </c>
      <c r="AE165" s="73" t="n">
        <v>198.3</v>
      </c>
      <c r="AF165" s="73" t="n">
        <v>277.36</v>
      </c>
      <c r="AG165" s="73" t="n">
        <v>3.54</v>
      </c>
      <c r="AH165" s="73" t="n">
        <v>74.88</v>
      </c>
      <c r="AI165" s="73" t="n">
        <v>121.23</v>
      </c>
      <c r="AJ165" s="73" t="n">
        <v>71.11</v>
      </c>
      <c r="AK165" s="73" t="n">
        <v>187.95</v>
      </c>
      <c r="AL165" s="73" t="n">
        <v>274.8</v>
      </c>
      <c r="AM165" s="73" t="n">
        <v>63.65</v>
      </c>
      <c r="AN165" s="73" t="n">
        <v>10.35</v>
      </c>
      <c r="AO165" s="73" t="n">
        <v>11.23</v>
      </c>
      <c r="AP165" s="63" t="inlineStr">
        <is>
          <t>Hang Seng Index</t>
        </is>
      </c>
      <c r="AQ165" s="73" t="n">
        <v>-96.79000000000001</v>
      </c>
      <c r="AR165" s="64" t="inlineStr">
        <is>
          <t>2026-08-20</t>
        </is>
      </c>
      <c r="AS165" s="65" t="n">
        <v>960.8</v>
      </c>
      <c r="AT165" s="68" t="n">
        <v>95.59999999999999</v>
      </c>
      <c r="AU165" s="63" t="inlineStr">
        <is>
          <t>Y</t>
        </is>
      </c>
      <c r="AV165" s="74" t="n">
        <v>110.4</v>
      </c>
      <c r="AW165" s="74" t="n"/>
      <c r="AX165" s="74" t="n"/>
      <c r="AY165" s="74" t="n">
        <v>11</v>
      </c>
      <c r="AZ165" s="75" t="inlineStr">
        <is>
          <t>N</t>
        </is>
      </c>
      <c r="BA165" s="76">
        <f>IF('BBG Verify'!K165="","not filed — run on terminal",'BBG Verify'!K165)</f>
        <v/>
      </c>
      <c r="BB165" s="63" t="inlineStr">
        <is>
          <t>N/A</t>
        </is>
      </c>
      <c r="BC165" s="63" t="inlineStr">
        <is>
          <t>N/A</t>
        </is>
      </c>
      <c r="BD165" s="63" t="inlineStr">
        <is>
          <t>N/A</t>
        </is>
      </c>
      <c r="BE165" s="63" t="inlineStr">
        <is>
          <t>N/A</t>
        </is>
      </c>
      <c r="BF165" s="63" t="inlineStr">
        <is>
          <t>N/A</t>
        </is>
      </c>
      <c r="BG165" s="75" t="inlineStr">
        <is>
          <t>China International Capital Corporation Hong Kong Securities Limited; China Securities (International) Corporate Finance Company Limited</t>
        </is>
      </c>
      <c r="BH165" s="63" t="inlineStr">
        <is>
          <t>China International Capital Corporation Hong Kong Securities Limited; China Securities (International) Corporate Finance Company Limited</t>
        </is>
      </c>
      <c r="BI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7">
        <f>HYPERLINK("https://www1.hkexnews.hk/listedco/listconews/sehk/2022/1215/2022121500027.pdf","prospectus")</f>
        <v/>
      </c>
      <c r="BL165" s="77">
        <f>HYPERLINK("https://www1.hkexnews.hk/listedco/listconews/sehk/2022/1228/2022122800022.htm","allotment")</f>
        <v/>
      </c>
      <c r="BM165" s="77">
        <f>HYPERLINK("https://www1.hkexnews.hk/listedco/listconews/sehk/2023/0119/2023011901155.pdf","stabilisation")</f>
        <v/>
      </c>
      <c r="BN165" s="75" t="n"/>
      <c r="BO165" s="63"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4476.5</v>
      </c>
      <c r="R166" s="63" t="inlineStr">
        <is>
          <t>prospectus:stated market capitalisation</t>
        </is>
      </c>
      <c r="S166" s="69" t="n">
        <v>2.08</v>
      </c>
      <c r="T166" s="70" t="n">
        <v>1.16</v>
      </c>
      <c r="U166" s="71" t="n">
        <v>44.1</v>
      </c>
      <c r="V166" s="67" t="n">
        <v>2.45</v>
      </c>
      <c r="W166" s="63" t="inlineStr">
        <is>
          <t>Proterra Asia Food Fund 3 VCC; Well Alliance Investment Holdings Limited</t>
        </is>
      </c>
      <c r="X166" s="63" t="inlineStr">
        <is>
          <t>proterra;well</t>
        </is>
      </c>
      <c r="Y166" s="67" t="n">
        <v>15</v>
      </c>
      <c r="Z166" s="63" t="inlineStr">
        <is>
          <t>partial</t>
        </is>
      </c>
      <c r="AA166" s="72" t="n">
        <v>-0.47</v>
      </c>
      <c r="AB166" s="73" t="n">
        <v>-4.69</v>
      </c>
      <c r="AC166" s="73" t="n">
        <v>4.43</v>
      </c>
      <c r="AD166" s="73" t="n">
        <v>-5.78</v>
      </c>
      <c r="AE166" s="73" t="n">
        <v>-22.97</v>
      </c>
      <c r="AF166" s="73" t="n">
        <v>-47.81</v>
      </c>
      <c r="AG166" s="73" t="n">
        <v>-5.34</v>
      </c>
      <c r="AH166" s="73" t="n">
        <v>-22.61</v>
      </c>
      <c r="AI166" s="73" t="n">
        <v>-47.56</v>
      </c>
      <c r="AJ166" s="73" t="n">
        <v>-15.78</v>
      </c>
      <c r="AK166" s="73" t="n">
        <v>-35.62</v>
      </c>
      <c r="AL166" s="73" t="n">
        <v>-51.22</v>
      </c>
      <c r="AM166" s="73" t="n">
        <v>-35.63</v>
      </c>
      <c r="AN166" s="73" t="n">
        <v>12.65</v>
      </c>
      <c r="AO166" s="73" t="n">
        <v>13.02</v>
      </c>
      <c r="AP166" s="63" t="inlineStr">
        <is>
          <t>Hang Seng Commerce &amp; Industry sub-index</t>
        </is>
      </c>
      <c r="AQ166" s="73" t="n">
        <v>-71.88</v>
      </c>
      <c r="AR166" s="64" t="inlineStr">
        <is>
          <t>2026-08-20</t>
        </is>
      </c>
      <c r="AS166" s="65" t="n">
        <v>4183.2</v>
      </c>
      <c r="AT166" s="68" t="n">
        <v>173.9</v>
      </c>
      <c r="AU166" s="63" t="inlineStr">
        <is>
          <t>Y</t>
        </is>
      </c>
      <c r="AV166" s="74" t="n">
        <v>25.7</v>
      </c>
      <c r="AW166" s="74" t="n">
        <v>5</v>
      </c>
      <c r="AX166" s="74" t="n"/>
      <c r="AY166" s="74" t="n">
        <v>1.1</v>
      </c>
      <c r="AZ166" s="75" t="inlineStr">
        <is>
          <t>N</t>
        </is>
      </c>
      <c r="BA166" s="76">
        <f>IF('BBG Verify'!K166="","not filed — run on terminal",'BBG Verify'!K166)</f>
        <v/>
      </c>
      <c r="BB166" s="63" t="inlineStr">
        <is>
          <t>N/A</t>
        </is>
      </c>
      <c r="BC166" s="63" t="inlineStr">
        <is>
          <t>N/A</t>
        </is>
      </c>
      <c r="BD166" s="63" t="inlineStr">
        <is>
          <t>N/A</t>
        </is>
      </c>
      <c r="BE166" s="63" t="inlineStr">
        <is>
          <t>N/A</t>
        </is>
      </c>
      <c r="BF166" s="63" t="inlineStr">
        <is>
          <t>N/A</t>
        </is>
      </c>
      <c r="BG166" s="75" t="inlineStr">
        <is>
          <t>China International Capital Corporation Hong Kong Securities Limited; DBS Asia Capital Limited</t>
        </is>
      </c>
      <c r="BH166" s="63" t="inlineStr">
        <is>
          <t>China International Capital Corporation Hong Kong Securities Limited; DBS Asia Capital Limited</t>
        </is>
      </c>
      <c r="BI166" s="63" t="inlineStr">
        <is>
          <t>China International Capital Corporation Hong Kong Securities Limited; DBS Asia Capital Limited; Daiwa Capital Markets Hong Kong Limited; ABCI Capital Limited; BOCOM International Securities Limited; Futu Securities International (Hong Kong) Limited</t>
        </is>
      </c>
      <c r="BJ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7">
        <f>HYPERLINK("https://www1.hkexnews.hk/listedco/listconews/sehk/2022/1216/2022121600017.pdf","prospectus")</f>
        <v/>
      </c>
      <c r="BL166" s="77">
        <f>HYPERLINK("https://www1.hkexnews.hk/listedco/listconews/sehk/2022/1229/2022122900092.htm","allotment")</f>
        <v/>
      </c>
      <c r="BM166" s="77">
        <f>HYPERLINK("https://www1.hkexnews.hk/listedco/listconews/sehk/2023/0120/2023012001115.pdf","stabilisation")</f>
        <v/>
      </c>
      <c r="BN166" s="75" t="n"/>
      <c r="BO166" s="63"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7" t="n">
        <v>4.65</v>
      </c>
      <c r="W167" s="63" t="n"/>
      <c r="X167" s="63" t="n"/>
      <c r="Y167" s="67" t="n"/>
      <c r="Z167" s="63" t="n"/>
      <c r="AA167" s="72" t="n">
        <v>-6.56</v>
      </c>
      <c r="AB167" s="73" t="n">
        <v>-2.12</v>
      </c>
      <c r="AC167" s="73" t="n">
        <v>-4.54</v>
      </c>
      <c r="AD167" s="73" t="n">
        <v>-9.84</v>
      </c>
      <c r="AE167" s="73" t="n">
        <v>-19.05</v>
      </c>
      <c r="AF167" s="73" t="n">
        <v>-12.7</v>
      </c>
      <c r="AG167" s="73" t="n">
        <v>-3.51</v>
      </c>
      <c r="AH167" s="73" t="n">
        <v>-13.37</v>
      </c>
      <c r="AI167" s="73" t="n">
        <v>-6.57</v>
      </c>
      <c r="AJ167" s="73" t="n">
        <v>-15.15</v>
      </c>
      <c r="AK167" s="73" t="n">
        <v>-28.32</v>
      </c>
      <c r="AL167" s="73" t="n">
        <v>-7.74</v>
      </c>
      <c r="AM167" s="73" t="n">
        <v>-23.17</v>
      </c>
      <c r="AN167" s="73" t="n">
        <v>9.27</v>
      </c>
      <c r="AO167" s="73" t="n">
        <v>9.800000000000001</v>
      </c>
      <c r="AP167" s="63" t="inlineStr">
        <is>
          <t>China Biotech ETF (HS biotech proxy)</t>
        </is>
      </c>
      <c r="AQ167" s="73" t="n">
        <v>-81.72</v>
      </c>
      <c r="AR167" s="64" t="inlineStr">
        <is>
          <t>2026-08-20</t>
        </is>
      </c>
      <c r="AS167" s="65" t="n">
        <v>13.3</v>
      </c>
      <c r="AT167" s="68" t="n">
        <v>-101.7</v>
      </c>
      <c r="AU167" s="63" t="inlineStr">
        <is>
          <t>N</t>
        </is>
      </c>
      <c r="AV167" s="63" t="inlineStr">
        <is>
          <t>n/m</t>
        </is>
      </c>
      <c r="AW167" s="74" t="n"/>
      <c r="AX167" s="74" t="n"/>
      <c r="AY167" s="74" t="n">
        <v>339.6</v>
      </c>
      <c r="AZ167" s="75" t="inlineStr">
        <is>
          <t>N</t>
        </is>
      </c>
      <c r="BA167" s="76">
        <f>IF('BBG Verify'!K167="","not filed — run on terminal",'BBG Verify'!K167)</f>
        <v/>
      </c>
      <c r="BB167" s="63" t="inlineStr">
        <is>
          <t>N/A</t>
        </is>
      </c>
      <c r="BC167" s="63" t="inlineStr">
        <is>
          <t>N/A</t>
        </is>
      </c>
      <c r="BD167" s="63" t="inlineStr">
        <is>
          <t>N/A</t>
        </is>
      </c>
      <c r="BE167" s="63" t="inlineStr">
        <is>
          <t>N/A</t>
        </is>
      </c>
      <c r="BF167" s="63" t="inlineStr">
        <is>
          <t>N/A</t>
        </is>
      </c>
      <c r="BG167" s="75" t="inlineStr">
        <is>
          <t>Citigroup Global Markets Asia Limited; Huatai Financial Holdings (Hong Kong) Limited</t>
        </is>
      </c>
      <c r="BH167" s="63" t="inlineStr">
        <is>
          <t>Huatai Financial Holdings (Hong Kong) Limited; Citigroup Global Markets Asia Limited</t>
        </is>
      </c>
      <c r="BI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7">
        <f>HYPERLINK("https://www1.hkexnews.hk/listedco/listconews/sehk/2022/1216/2022121600015.pdf","prospectus")</f>
        <v/>
      </c>
      <c r="BL167" s="77">
        <f>HYPERLINK("https://www1.hkexnews.hk/listedco/listconews/sehk/2022/1229/2022122900114.htm","allotment")</f>
        <v/>
      </c>
      <c r="BM167" s="63" t="n"/>
      <c r="BN167" s="75" t="n"/>
      <c r="BO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29.1</v>
      </c>
      <c r="J168" s="63" t="inlineStr">
        <is>
          <t>net proceeds</t>
        </is>
      </c>
      <c r="K168" s="66" t="n"/>
      <c r="L168" s="66" t="n">
        <v>19.8</v>
      </c>
      <c r="M168" s="66" t="n">
        <v>19.8</v>
      </c>
      <c r="N168" s="63" t="inlineStr">
        <is>
          <t>Y</t>
        </is>
      </c>
      <c r="O168" s="67" t="n">
        <v>100</v>
      </c>
      <c r="P168" s="67" t="n"/>
      <c r="Q168" s="68" t="n">
        <v>1212.5</v>
      </c>
      <c r="R168" s="63" t="inlineStr">
        <is>
          <t>derived:deal size / offer % of enlarged capital</t>
        </is>
      </c>
      <c r="S168" s="69" t="n">
        <v>2.12</v>
      </c>
      <c r="T168" s="70" t="n">
        <v>1.52</v>
      </c>
      <c r="U168" s="71" t="n">
        <v>71.01000000000001</v>
      </c>
      <c r="V168" s="67" t="n">
        <v>0.7</v>
      </c>
      <c r="W168" s="63" t="inlineStr">
        <is>
          <t>Fu Heliang; Harvest Great Bay Investment SP; Sino Biopharmaceutical Limited</t>
        </is>
      </c>
      <c r="X168" s="63" t="inlineStr">
        <is>
          <t>fu;harvest;sino-biopharmaceutical</t>
        </is>
      </c>
      <c r="Y168" s="67" t="n">
        <v>18.14</v>
      </c>
      <c r="Z168" s="63" t="inlineStr">
        <is>
          <t>lapsed</t>
        </is>
      </c>
      <c r="AA168" s="72" t="n">
        <v>0</v>
      </c>
      <c r="AB168" s="73" t="n">
        <v>0.51</v>
      </c>
      <c r="AC168" s="73" t="n">
        <v>-0.51</v>
      </c>
      <c r="AD168" s="73" t="n">
        <v>-17.17</v>
      </c>
      <c r="AE168" s="73" t="n">
        <v>-22.02</v>
      </c>
      <c r="AF168" s="73" t="n">
        <v>-2.32</v>
      </c>
      <c r="AG168" s="73" t="n">
        <v>-17.17</v>
      </c>
      <c r="AH168" s="73" t="n">
        <v>-22.02</v>
      </c>
      <c r="AI168" s="73" t="n">
        <v>-2.32</v>
      </c>
      <c r="AJ168" s="73" t="n">
        <v>-22.48</v>
      </c>
      <c r="AK168" s="73" t="n">
        <v>-31.29</v>
      </c>
      <c r="AL168" s="73" t="n">
        <v>2.64</v>
      </c>
      <c r="AM168" s="73" t="n">
        <v>-31.82</v>
      </c>
      <c r="AN168" s="73" t="n">
        <v>9.27</v>
      </c>
      <c r="AO168" s="73" t="n">
        <v>9.800000000000001</v>
      </c>
      <c r="AP168" s="63" t="inlineStr">
        <is>
          <t>China Biotech ETF (HS biotech proxy)</t>
        </is>
      </c>
      <c r="AQ168" s="73" t="n">
        <v>-78.28</v>
      </c>
      <c r="AR168" s="64" t="inlineStr">
        <is>
          <t>2026-08-20</t>
        </is>
      </c>
      <c r="AS168" s="65" t="n">
        <v>242.8</v>
      </c>
      <c r="AT168" s="68" t="n">
        <v>-364.9</v>
      </c>
      <c r="AU168" s="63" t="inlineStr">
        <is>
          <t>N</t>
        </is>
      </c>
      <c r="AV168" s="63" t="inlineStr">
        <is>
          <t>n/m</t>
        </is>
      </c>
      <c r="AW168" s="74" t="n"/>
      <c r="AX168" s="74" t="n">
        <v>196.1</v>
      </c>
      <c r="AY168" s="74" t="n">
        <v>5</v>
      </c>
      <c r="AZ168" s="75" t="inlineStr">
        <is>
          <t>N</t>
        </is>
      </c>
      <c r="BA168" s="76">
        <f>IF('BBG Verify'!K168="","not filed — run on terminal",'BBG Verify'!K168)</f>
        <v/>
      </c>
      <c r="BB168" s="63" t="inlineStr">
        <is>
          <t>N/A</t>
        </is>
      </c>
      <c r="BC168" s="63" t="inlineStr">
        <is>
          <t>N/A</t>
        </is>
      </c>
      <c r="BD168" s="63" t="inlineStr">
        <is>
          <t>N/A</t>
        </is>
      </c>
      <c r="BE168" s="63" t="inlineStr">
        <is>
          <t>N/A</t>
        </is>
      </c>
      <c r="BF168" s="63" t="inlineStr">
        <is>
          <t>N/A</t>
        </is>
      </c>
      <c r="BG168" s="75" t="inlineStr">
        <is>
          <t>UBS Securities Hong Kong Limited; Essence Corporate Finance (Hong Kong) Limited</t>
        </is>
      </c>
      <c r="BH168" s="63" t="inlineStr">
        <is>
          <t>UBS Securities Hong Kong Limited; Essence Corporate Finance (Hong Kong) Limited</t>
        </is>
      </c>
      <c r="BI168" s="63" t="inlineStr">
        <is>
          <t>UBS AG Hong Kong Branch; Essence International Securities (Hong Kong) Limited</t>
        </is>
      </c>
      <c r="BJ168" s="63" t="inlineStr">
        <is>
          <t>Essence International Securities (Hong Kong) Limited; Futu Securities International (Hong Kong) Limited; Livermore Holdings Limited; Silverbricks Securities Company Limited; UBS AG Hong Kong Branch</t>
        </is>
      </c>
      <c r="BK168" s="77">
        <f>HYPERLINK("https://www1.hkexnews.hk/listedco/listconews/sehk/2022/1219/2022121900009.pdf","prospectus")</f>
        <v/>
      </c>
      <c r="BL168" s="77">
        <f>HYPERLINK("https://www1.hkexnews.hk/listedco/listconews/sehk/2022/1229/2022122900320.htm","allotment")</f>
        <v/>
      </c>
      <c r="BM168" s="77">
        <f>HYPERLINK("https://www1.hkexnews.hk/listedco/listconews/sehk/2023/0125/2023012500003.pdf","stabilisation")</f>
        <v/>
      </c>
      <c r="BN168" s="75" t="n"/>
      <c r="BO168"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c r="L169" s="66" t="n">
        <v>9.9</v>
      </c>
      <c r="M169" s="66" t="n">
        <v>9.9</v>
      </c>
      <c r="N169" s="63" t="inlineStr">
        <is>
          <t>Y</t>
        </is>
      </c>
      <c r="O169" s="67" t="n">
        <v>100</v>
      </c>
      <c r="P169" s="67" t="n"/>
      <c r="Q169" s="68" t="n">
        <v>20763.3</v>
      </c>
      <c r="R169" s="63" t="inlineStr">
        <is>
          <t>aastocks:上市市值 at the struck price</t>
        </is>
      </c>
      <c r="S169" s="69" t="n">
        <v>33.8</v>
      </c>
      <c r="T169" s="70" t="n">
        <v>2.32</v>
      </c>
      <c r="U169" s="71" t="n">
        <v>0</v>
      </c>
      <c r="V169" s="67" t="n">
        <v>0.95</v>
      </c>
      <c r="W169" s="63" t="n"/>
      <c r="X169" s="63" t="n"/>
      <c r="Y169" s="67" t="n">
        <v>10.42</v>
      </c>
      <c r="Z169" s="63" t="inlineStr">
        <is>
          <t>lapsed</t>
        </is>
      </c>
      <c r="AA169" s="72" t="n">
        <v>12.12</v>
      </c>
      <c r="AB169" s="73" t="n">
        <v>6.06</v>
      </c>
      <c r="AC169" s="73" t="n">
        <v>5.71</v>
      </c>
      <c r="AD169" s="73" t="n">
        <v>5.05</v>
      </c>
      <c r="AE169" s="73" t="n">
        <v>24.65</v>
      </c>
      <c r="AF169" s="73" t="n">
        <v>22.83</v>
      </c>
      <c r="AG169" s="73" t="n">
        <v>-6.31</v>
      </c>
      <c r="AH169" s="73" t="n">
        <v>11.18</v>
      </c>
      <c r="AI169" s="73" t="n">
        <v>9.550000000000001</v>
      </c>
      <c r="AJ169" s="73" t="n">
        <v>0.8</v>
      </c>
      <c r="AK169" s="73" t="n">
        <v>23.48</v>
      </c>
      <c r="AL169" s="73" t="n">
        <v>26.53</v>
      </c>
      <c r="AM169" s="73" t="n">
        <v>12.68</v>
      </c>
      <c r="AN169" s="73" t="n">
        <v>1.17</v>
      </c>
      <c r="AO169" s="73" t="n">
        <v>-1.5</v>
      </c>
      <c r="AP169" s="63" t="inlineStr">
        <is>
          <t>Hang Seng Commerce &amp; Industry sub-index</t>
        </is>
      </c>
      <c r="AQ169" s="73" t="n">
        <v>-96.26000000000001</v>
      </c>
      <c r="AR169" s="64" t="inlineStr">
        <is>
          <t>2026-08-21</t>
        </is>
      </c>
      <c r="AS169" s="65" t="n">
        <v>3771.4</v>
      </c>
      <c r="AT169" s="68" t="n">
        <v>-2263.7</v>
      </c>
      <c r="AU169" s="63" t="inlineStr">
        <is>
          <t>N</t>
        </is>
      </c>
      <c r="AV169" s="63" t="inlineStr">
        <is>
          <t>n/m</t>
        </is>
      </c>
      <c r="AW169" s="74" t="n"/>
      <c r="AX169" s="74" t="n">
        <v>3.2</v>
      </c>
      <c r="AY169" s="74" t="n">
        <v>5.5</v>
      </c>
      <c r="AZ169" s="75" t="inlineStr">
        <is>
          <t>N</t>
        </is>
      </c>
      <c r="BA169" s="76">
        <f>IF('BBG Verify'!K169="","not filed — run on terminal",'BBG Verify'!K169)</f>
        <v/>
      </c>
      <c r="BB169" s="63" t="inlineStr">
        <is>
          <t>N/A</t>
        </is>
      </c>
      <c r="BC169" s="63" t="inlineStr">
        <is>
          <t>N/A</t>
        </is>
      </c>
      <c r="BD169" s="63" t="inlineStr">
        <is>
          <t>N/A</t>
        </is>
      </c>
      <c r="BE169" s="63" t="inlineStr">
        <is>
          <t>N/A</t>
        </is>
      </c>
      <c r="BF169" s="63" t="inlineStr">
        <is>
          <t>N/A</t>
        </is>
      </c>
      <c r="BG169" s="75" t="n"/>
      <c r="BH169" s="63" t="inlineStr">
        <is>
          <t>China International Capital Corporation Hong Kong Securities Limited; Merrill Lynch (Asia Pacific) Limited; Citigroup Global Markets Asia Limited</t>
        </is>
      </c>
      <c r="BI169" s="63"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7">
        <f>HYPERLINK("https://www1.hkexnews.hk/listedco/listconews/sehk/2022/1223/2022122300005.pdf","prospectus")</f>
        <v/>
      </c>
      <c r="BL169" s="77">
        <f>HYPERLINK("https://www1.hkexnews.hk/listedco/listconews/sehk/2023/0106/2023010600010.htm","allotment")</f>
        <v/>
      </c>
      <c r="BM169" s="77">
        <f>HYPERLINK("https://www1.hkexnews.hk/listedco/listconews/sehk/2023/0129/2023012900007.pdf","stabilisation")</f>
        <v/>
      </c>
      <c r="BN169" s="75" t="n"/>
      <c r="BO169" s="63"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7" t="n">
        <v>9.51</v>
      </c>
      <c r="W170" s="63" t="inlineStr">
        <is>
          <t>Astonish Investment Pte. Ltd; Harvest International Premium Value (Secondary Market) Fund SPC</t>
        </is>
      </c>
      <c r="X170" s="63" t="inlineStr">
        <is>
          <t>astonish;harvest</t>
        </is>
      </c>
      <c r="Y170" s="67" t="n">
        <v>15.8</v>
      </c>
      <c r="Z170" s="63" t="inlineStr">
        <is>
          <t>partial</t>
        </is>
      </c>
      <c r="AA170" s="72" t="n">
        <v>0</v>
      </c>
      <c r="AB170" s="73" t="n">
        <v>0</v>
      </c>
      <c r="AC170" s="73" t="n">
        <v>0</v>
      </c>
      <c r="AD170" s="73" t="n">
        <v>0</v>
      </c>
      <c r="AE170" s="73" t="n">
        <v>8.25</v>
      </c>
      <c r="AF170" s="73" t="n">
        <v>-0.5</v>
      </c>
      <c r="AG170" s="73" t="n">
        <v>0</v>
      </c>
      <c r="AH170" s="73" t="n">
        <v>8.25</v>
      </c>
      <c r="AI170" s="73" t="n">
        <v>-0.5</v>
      </c>
      <c r="AJ170" s="73" t="n">
        <v>-0.09</v>
      </c>
      <c r="AK170" s="73" t="n">
        <v>12.29</v>
      </c>
      <c r="AL170" s="73" t="n">
        <v>7.22</v>
      </c>
      <c r="AM170" s="73" t="n">
        <v>12</v>
      </c>
      <c r="AN170" s="73" t="n">
        <v>-4.04</v>
      </c>
      <c r="AO170" s="73" t="n">
        <v>-3.75</v>
      </c>
      <c r="AP170" s="63" t="inlineStr">
        <is>
          <t>Hang Seng Commerce &amp; Industry sub-index</t>
        </is>
      </c>
      <c r="AQ170" s="73" t="n">
        <v>-61.29</v>
      </c>
      <c r="AR170" s="64" t="inlineStr">
        <is>
          <t>2026-08-24</t>
        </is>
      </c>
      <c r="AS170" s="65" t="n">
        <v>692.3</v>
      </c>
      <c r="AT170" s="68" t="n">
        <v>-203.9</v>
      </c>
      <c r="AU170" s="63" t="inlineStr">
        <is>
          <t>N</t>
        </is>
      </c>
      <c r="AV170" s="63" t="inlineStr">
        <is>
          <t>n/m</t>
        </is>
      </c>
      <c r="AW170" s="74" t="n"/>
      <c r="AX170" s="74" t="n"/>
      <c r="AY170" s="74" t="n">
        <v>10.2</v>
      </c>
      <c r="AZ170" s="75" t="inlineStr">
        <is>
          <t>Y</t>
        </is>
      </c>
      <c r="BA170" s="63" t="inlineStr">
        <is>
          <t>688339.SS</t>
        </is>
      </c>
      <c r="BB170" s="73" t="n">
        <v>54.15</v>
      </c>
      <c r="BC170" s="66" t="n">
        <v>92.48820000000001</v>
      </c>
      <c r="BD170" s="80" t="n">
        <v>0.6351</v>
      </c>
      <c r="BE170" s="78">
        <f>IF('BBG Verify'!Q170="","run on terminal",'BBG Verify'!Q170)</f>
        <v/>
      </c>
      <c r="BF170" s="78">
        <f>IF('BBG Verify'!R170="","run on terminal",'BBG Verify'!R170)</f>
        <v/>
      </c>
      <c r="BG170" s="75" t="inlineStr">
        <is>
          <t>Guotai Junan Capital Limited; Giraffe Capital Limited</t>
        </is>
      </c>
      <c r="BH170" s="63" t="inlineStr">
        <is>
          <t>Guotai Junan Capital Limited; Giraffe Capital Limited</t>
        </is>
      </c>
      <c r="BI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7">
        <f>HYPERLINK("https://www1.hkexnews.hk/listedco/listconews/sehk/2022/1229/2022122900013.pdf","prospectus")</f>
        <v/>
      </c>
      <c r="BL170" s="77">
        <f>HYPERLINK("https://www1.hkexnews.hk/listedco/listconews/sehk/2023/0111/2023011100006.htm","allotment")</f>
        <v/>
      </c>
      <c r="BM170" s="77">
        <f>HYPERLINK("https://www1.hkexnews.hk/listedco/listconews/sehk/2023/0206/2023020600005.pdf","stabilisation")</f>
        <v/>
      </c>
      <c r="BN170" s="75" t="n"/>
      <c r="BO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v>0</v>
      </c>
      <c r="V171" s="67" t="n">
        <v>16.22</v>
      </c>
      <c r="W171" s="63" t="n"/>
      <c r="X171" s="63" t="n"/>
      <c r="Y171" s="67" t="n">
        <v>15</v>
      </c>
      <c r="Z171" s="63" t="inlineStr">
        <is>
          <t>lapsed (no over-allocation)</t>
        </is>
      </c>
      <c r="AA171" s="72" t="n">
        <v>-17.65</v>
      </c>
      <c r="AB171" s="73" t="n">
        <v>8.82</v>
      </c>
      <c r="AC171" s="73" t="n">
        <v>-24.32</v>
      </c>
      <c r="AD171" s="73" t="n">
        <v>-29.41</v>
      </c>
      <c r="AE171" s="73" t="n">
        <v>-30.88</v>
      </c>
      <c r="AF171" s="73" t="n">
        <v>-1.47</v>
      </c>
      <c r="AG171" s="73" t="n">
        <v>-14.28</v>
      </c>
      <c r="AH171" s="73" t="n">
        <v>-16.07</v>
      </c>
      <c r="AI171" s="73" t="n">
        <v>19.65</v>
      </c>
      <c r="AJ171" s="73" t="n">
        <v>-32.28</v>
      </c>
      <c r="AK171" s="73" t="n">
        <v>-28.04</v>
      </c>
      <c r="AL171" s="73" t="n">
        <v>5.72</v>
      </c>
      <c r="AM171" s="73" t="n">
        <v>-12.04</v>
      </c>
      <c r="AN171" s="73" t="n">
        <v>-2.84</v>
      </c>
      <c r="AO171" s="73" t="n">
        <v>-4.03</v>
      </c>
      <c r="AP171" s="63" t="inlineStr">
        <is>
          <t>Hang Seng Commerce &amp; Industry sub-index</t>
        </is>
      </c>
      <c r="AQ171" s="73" t="n">
        <v>-95.78</v>
      </c>
      <c r="AR171" s="64" t="inlineStr">
        <is>
          <t>2026-08-24</t>
        </is>
      </c>
      <c r="AS171" s="65" t="n">
        <v>376.2</v>
      </c>
      <c r="AT171" s="68" t="n">
        <v>53.1</v>
      </c>
      <c r="AU171" s="63" t="inlineStr">
        <is>
          <t>Y</t>
        </is>
      </c>
      <c r="AV171" s="74" t="n">
        <v>11.3</v>
      </c>
      <c r="AW171" s="74" t="n">
        <v>6</v>
      </c>
      <c r="AX171" s="74" t="n"/>
      <c r="AY171" s="74" t="n">
        <v>1.6</v>
      </c>
      <c r="AZ171" s="75" t="inlineStr">
        <is>
          <t>N</t>
        </is>
      </c>
      <c r="BA171" s="76">
        <f>IF('BBG Verify'!K171="","not filed — run on terminal",'BBG Verify'!K171)</f>
        <v/>
      </c>
      <c r="BB171" s="63" t="inlineStr">
        <is>
          <t>N/A</t>
        </is>
      </c>
      <c r="BC171" s="63" t="inlineStr">
        <is>
          <t>N/A</t>
        </is>
      </c>
      <c r="BD171" s="63" t="inlineStr">
        <is>
          <t>N/A</t>
        </is>
      </c>
      <c r="BE171" s="63" t="inlineStr">
        <is>
          <t>N/A</t>
        </is>
      </c>
      <c r="BF171" s="63" t="inlineStr">
        <is>
          <t>N/A</t>
        </is>
      </c>
      <c r="BG171" s="75" t="inlineStr">
        <is>
          <t>Grand Moore Capital Limited</t>
        </is>
      </c>
      <c r="BH171" s="63" t="inlineStr">
        <is>
          <t>Grand Moore Capital Limited</t>
        </is>
      </c>
      <c r="BI171" s="63" t="inlineStr">
        <is>
          <t>Grand Moore Capital Limited; Valuable Capital Limited; China PA Securities (Hong Kong) Company Limited; Cinda International Capital Limited; Fortune (HK) Securities Limited; Guotai Junan Securities (Hong Kong) Limited; Zhong Y ang Securities Limited</t>
        </is>
      </c>
      <c r="BJ171" s="63" t="inlineStr">
        <is>
          <t>Cinda International Capital Limited; China PA Securities (Hong Kong) Company Limited; Fortune (HK) Securities Limited; Guotai Junan Securities (Hong Kong) Limited; Grand Moore Capital Limited; Valuable Capital Limited; Zhong Yang Securities Limited</t>
        </is>
      </c>
      <c r="BK171" s="77">
        <f>HYPERLINK("https://www1.hkexnews.hk/listedco/listconews/sehk/2022/1230/2022123000080.htm","prospectus")</f>
        <v/>
      </c>
      <c r="BL171" s="77">
        <f>HYPERLINK("https://www1.hkexnews.hk/listedco/listconews/sehk/2023/0112/2023011200014.htm","allotment")</f>
        <v/>
      </c>
      <c r="BM171" s="77">
        <f>HYPERLINK("https://www1.hkexnews.hk/listedco/listconews/sehk/2023/0210/2023021001132.pdf","stabilisation")</f>
        <v/>
      </c>
      <c r="BN171" s="75" t="n"/>
      <c r="BO17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v>5</v>
      </c>
      <c r="L172" s="66" t="n">
        <v>6.2</v>
      </c>
      <c r="M172" s="66" t="n">
        <v>5.6</v>
      </c>
      <c r="N172" s="63" t="inlineStr">
        <is>
          <t>N</t>
        </is>
      </c>
      <c r="O172" s="67" t="n">
        <v>90.3</v>
      </c>
      <c r="P172" s="67" t="n">
        <v>50</v>
      </c>
      <c r="Q172" s="68" t="n">
        <v>7756.1</v>
      </c>
      <c r="R172" s="63" t="inlineStr">
        <is>
          <t>derived:deal size / offer % of enlarged capital</t>
        </is>
      </c>
      <c r="S172" s="69" t="n">
        <v>12.2</v>
      </c>
      <c r="T172" s="70" t="n">
        <v>2.8</v>
      </c>
      <c r="U172" s="71" t="n">
        <v>5.32</v>
      </c>
      <c r="V172" s="67" t="n">
        <v>5.4</v>
      </c>
      <c r="W172" s="63" t="inlineStr">
        <is>
          <t>HONG KONG BAIJIADA NEW MATERIAL LIMITED; Nantong Douson Drilling and Production Equipment Co., Ltd; Yip Wing Kui</t>
        </is>
      </c>
      <c r="X172" s="63" t="inlineStr">
        <is>
          <t>baijiada;nantong;yip</t>
        </is>
      </c>
      <c r="Y172" s="67" t="n">
        <v>15</v>
      </c>
      <c r="Z172" s="63" t="inlineStr">
        <is>
          <t>partial</t>
        </is>
      </c>
      <c r="AA172" s="72" t="n">
        <v>7.14</v>
      </c>
      <c r="AB172" s="73" t="n">
        <v>16.43</v>
      </c>
      <c r="AC172" s="73" t="n">
        <v>-7.98</v>
      </c>
      <c r="AD172" s="73" t="n">
        <v>1.07</v>
      </c>
      <c r="AE172" s="73" t="n">
        <v>0.71</v>
      </c>
      <c r="AF172" s="73" t="n">
        <v>5.54</v>
      </c>
      <c r="AG172" s="73" t="n">
        <v>-5.67</v>
      </c>
      <c r="AH172" s="73" t="n">
        <v>-6</v>
      </c>
      <c r="AI172" s="73" t="n">
        <v>-1.49</v>
      </c>
      <c r="AJ172" s="73" t="n">
        <v>-3.18</v>
      </c>
      <c r="AK172" s="73" t="n">
        <v>6.37</v>
      </c>
      <c r="AL172" s="73" t="n">
        <v>15.72</v>
      </c>
      <c r="AM172" s="73" t="n">
        <v>-0.58</v>
      </c>
      <c r="AN172" s="73" t="n">
        <v>-5.66</v>
      </c>
      <c r="AO172" s="73" t="n">
        <v>-5.42</v>
      </c>
      <c r="AP172" s="63" t="inlineStr">
        <is>
          <t>Hang Seng Commerce &amp; Industry sub-index</t>
        </is>
      </c>
      <c r="AQ172" s="73" t="n">
        <v>-73.84</v>
      </c>
      <c r="AR172" s="64" t="inlineStr">
        <is>
          <t>2026-08-21</t>
        </is>
      </c>
      <c r="AS172" s="65" t="n">
        <v>11318.3</v>
      </c>
      <c r="AT172" s="68" t="n">
        <v>243.5</v>
      </c>
      <c r="AU172" s="63" t="inlineStr">
        <is>
          <t>Y</t>
        </is>
      </c>
      <c r="AV172" s="74" t="n">
        <v>31.9</v>
      </c>
      <c r="AW172" s="74" t="n"/>
      <c r="AX172" s="74" t="n"/>
      <c r="AY172" s="74" t="n">
        <v>0.7</v>
      </c>
      <c r="AZ172" s="75" t="inlineStr">
        <is>
          <t>N</t>
        </is>
      </c>
      <c r="BA172" s="76">
        <f>IF('BBG Verify'!K172="","not filed — run on terminal",'BBG Verify'!K172)</f>
        <v/>
      </c>
      <c r="BB172" s="63" t="inlineStr">
        <is>
          <t>N/A</t>
        </is>
      </c>
      <c r="BC172" s="63" t="inlineStr">
        <is>
          <t>N/A</t>
        </is>
      </c>
      <c r="BD172" s="63" t="inlineStr">
        <is>
          <t>N/A</t>
        </is>
      </c>
      <c r="BE172" s="63" t="inlineStr">
        <is>
          <t>N/A</t>
        </is>
      </c>
      <c r="BF172" s="63" t="inlineStr">
        <is>
          <t>N/A</t>
        </is>
      </c>
      <c r="BG172" s="75" t="inlineStr">
        <is>
          <t>Morgan Stanley Asia Limited</t>
        </is>
      </c>
      <c r="BH172" s="63" t="inlineStr">
        <is>
          <t>Morgan Stanley Asia Limited</t>
        </is>
      </c>
      <c r="BI172" s="63" t="inlineStr">
        <is>
          <t>Morgan Stanley Asia Limited; CMB International Capital Limited</t>
        </is>
      </c>
      <c r="BJ172" s="63" t="inlineStr">
        <is>
          <t>CMB International Capital Limited; First Shanghai Securities Limited; Fosun Hani Securities Limited; Futu Securities International (Hong Kong) Limited; Morgan Stanley Asia Limited; Tiger Brokers (HK) Global Limited</t>
        </is>
      </c>
      <c r="BK172" s="77">
        <f>HYPERLINK("https://www1.hkexnews.hk/listedco/listconews/sehk/2022/1229/2022122900158.htm","prospectus")</f>
        <v/>
      </c>
      <c r="BL172" s="77">
        <f>HYPERLINK("https://www1.hkexnews.hk/listedco/listconews/sehk/2023/0113/2023011300018.htm","allotment")</f>
        <v/>
      </c>
      <c r="BM172" s="77">
        <f>HYPERLINK("https://www1.hkexnews.hk/listedco/listconews/sehk/2023/0208/2023020800810.pdf","stabilisation")</f>
        <v/>
      </c>
      <c r="BN172" s="75" t="n"/>
      <c r="BO172" s="63" t="inlineStr">
        <is>
          <t>A/H: no A-share listing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387.2</v>
      </c>
      <c r="J173" s="63" t="inlineStr">
        <is>
          <t>net proceeds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7" t="n">
        <v>6.22</v>
      </c>
      <c r="W173" s="63" t="inlineStr">
        <is>
          <t>Harvest International Premium Value (Secondary Market) Fund SPC; Juzi Holding Co., Ltd; Kunming Botanee Bio-technology Sales Co., Ltd; TruMed Healthcare Master Fund and TruMed Health Innovation Fund LP</t>
        </is>
      </c>
      <c r="X173" s="63" t="inlineStr">
        <is>
          <t>harvest;juzi;kunming;trumed</t>
        </is>
      </c>
      <c r="Y173" s="67" t="n">
        <v>7</v>
      </c>
      <c r="Z173" s="63" t="inlineStr">
        <is>
          <t>full</t>
        </is>
      </c>
      <c r="AA173" s="72" t="n">
        <v>53.47</v>
      </c>
      <c r="AB173" s="73" t="n">
        <v>57.87</v>
      </c>
      <c r="AC173" s="73" t="n">
        <v>-2.79</v>
      </c>
      <c r="AD173" s="73" t="n">
        <v>56.31</v>
      </c>
      <c r="AE173" s="73" t="n">
        <v>45.96</v>
      </c>
      <c r="AF173" s="73" t="n">
        <v>58.64</v>
      </c>
      <c r="AG173" s="73" t="n">
        <v>1.85</v>
      </c>
      <c r="AH173" s="73" t="n">
        <v>-4.89</v>
      </c>
      <c r="AI173" s="73" t="n">
        <v>3.37</v>
      </c>
      <c r="AJ173" s="73" t="n">
        <v>52.06</v>
      </c>
      <c r="AK173" s="73" t="n">
        <v>51.62</v>
      </c>
      <c r="AL173" s="73" t="n">
        <v>68.81999999999999</v>
      </c>
      <c r="AM173" s="73" t="n">
        <v>0.53</v>
      </c>
      <c r="AN173" s="73" t="n">
        <v>-5.66</v>
      </c>
      <c r="AO173" s="73" t="n">
        <v>-5.42</v>
      </c>
      <c r="AP173" s="63" t="inlineStr">
        <is>
          <t>Hang Seng Commerce &amp; Industry sub-index</t>
        </is>
      </c>
      <c r="AQ173" s="73" t="n">
        <v>-4.35</v>
      </c>
      <c r="AR173" s="64" t="inlineStr">
        <is>
          <t>2026-08-21</t>
        </is>
      </c>
      <c r="AS173" s="65" t="n">
        <v>1958.8</v>
      </c>
      <c r="AT173" s="68" t="n">
        <v>229.2</v>
      </c>
      <c r="AU173" s="63" t="inlineStr">
        <is>
          <t>Y</t>
        </is>
      </c>
      <c r="AV173" s="74" t="n">
        <v>19.4</v>
      </c>
      <c r="AW173" s="74" t="n"/>
      <c r="AX173" s="74" t="n">
        <v>11.9</v>
      </c>
      <c r="AY173" s="74" t="n">
        <v>2.3</v>
      </c>
      <c r="AZ173" s="75" t="inlineStr">
        <is>
          <t>N</t>
        </is>
      </c>
      <c r="BA173" s="76">
        <f>IF('BBG Verify'!K173="","not filed — run on terminal",'BBG Verify'!K173)</f>
        <v/>
      </c>
      <c r="BB173" s="63" t="inlineStr">
        <is>
          <t>N/A</t>
        </is>
      </c>
      <c r="BC173" s="63" t="inlineStr">
        <is>
          <t>N/A</t>
        </is>
      </c>
      <c r="BD173" s="63" t="inlineStr">
        <is>
          <t>N/A</t>
        </is>
      </c>
      <c r="BE173" s="63" t="inlineStr">
        <is>
          <t>N/A</t>
        </is>
      </c>
      <c r="BF173" s="63" t="inlineStr">
        <is>
          <t>N/A</t>
        </is>
      </c>
      <c r="BG173" s="75" t="inlineStr">
        <is>
          <t>Morgan Stanley Asia Limited; Haitong International Capital Limited; Central, Hong Kong Huatai Financial Holdings (Hong Kong) Limited</t>
        </is>
      </c>
      <c r="BH173" s="63" t="inlineStr">
        <is>
          <t>Morgan Stanley Asia Limited; Haitong International Capital Limited; Huatai Financial Holdings (Hong Kong) Limited</t>
        </is>
      </c>
      <c r="BI173" s="63" t="inlineStr">
        <is>
          <t>Morgan Stanley Asia Limited; Haitong International Securities Company Limited; Huatai Financial Holdings (Hong Kong) Limited; CLSA Limited; ICBC International Capital Limited</t>
        </is>
      </c>
      <c r="BJ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7">
        <f>HYPERLINK("https://www1.hkexnews.hk/listedco/listconews/sehk/2022/1230/2022123000067.pdf","prospectus")</f>
        <v/>
      </c>
      <c r="BL173" s="77">
        <f>HYPERLINK("https://www1.hkexnews.hk/listedco/listconews/sehk/2023/0113/2023011300032.htm","allotment")</f>
        <v/>
      </c>
      <c r="BM173" s="77">
        <f>HYPERLINK("https://www1.hkexnews.hk/listedco/listconews/sehk/2023/0205/2023020500007.pdf","stabilisation")</f>
        <v/>
      </c>
      <c r="BN173" s="75" t="n"/>
      <c r="BO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c r="L174" s="66" t="n">
        <v>7.16</v>
      </c>
      <c r="M174" s="66" t="n">
        <v>6.5</v>
      </c>
      <c r="N174" s="63" t="inlineStr">
        <is>
          <t>N</t>
        </is>
      </c>
      <c r="O174" s="67" t="n">
        <v>90.8</v>
      </c>
      <c r="P174" s="67" t="n"/>
      <c r="Q174" s="68" t="n">
        <v>969.5</v>
      </c>
      <c r="R174" s="63" t="inlineStr">
        <is>
          <t>aastocks:上市市值 at the struck price</t>
        </is>
      </c>
      <c r="S174" s="69" t="n">
        <v>3.4</v>
      </c>
      <c r="T174" s="70" t="n">
        <v>1.7</v>
      </c>
      <c r="U174" s="71" t="n">
        <v>0</v>
      </c>
      <c r="V174" s="67" t="n">
        <v>1.13</v>
      </c>
      <c r="W174" s="63" t="n"/>
      <c r="X174" s="63" t="n"/>
      <c r="Y174" s="67" t="n"/>
      <c r="Z174" s="63" t="n"/>
      <c r="AA174" s="72" t="n">
        <v>-11.54</v>
      </c>
      <c r="AB174" s="73" t="n">
        <v>-23.08</v>
      </c>
      <c r="AC174" s="73" t="n">
        <v>15</v>
      </c>
      <c r="AD174" s="73" t="n">
        <v>-20.92</v>
      </c>
      <c r="AE174" s="73" t="n">
        <v>4.46</v>
      </c>
      <c r="AF174" s="73" t="n">
        <v>-20.31</v>
      </c>
      <c r="AG174" s="73" t="n">
        <v>-10.6</v>
      </c>
      <c r="AH174" s="73" t="n">
        <v>18.09</v>
      </c>
      <c r="AI174" s="73" t="n">
        <v>-9.91</v>
      </c>
      <c r="AJ174" s="73" t="n">
        <v>-25.11</v>
      </c>
      <c r="AK174" s="73" t="n">
        <v>10.92</v>
      </c>
      <c r="AL174" s="73" t="n">
        <v>-7.35</v>
      </c>
      <c r="AM174" s="73" t="n">
        <v>23.33</v>
      </c>
      <c r="AN174" s="73" t="n">
        <v>-6.46</v>
      </c>
      <c r="AO174" s="73" t="n">
        <v>-5.24</v>
      </c>
      <c r="AP174" s="63" t="inlineStr">
        <is>
          <t>HSTECH (Hang Seng TECH ETF)</t>
        </is>
      </c>
      <c r="AQ174" s="73" t="n">
        <v>-5.85</v>
      </c>
      <c r="AR174" s="64" t="inlineStr">
        <is>
          <t>2026-08-21</t>
        </is>
      </c>
      <c r="AS174" s="65" t="n">
        <v>505.8</v>
      </c>
      <c r="AT174" s="68" t="n">
        <v>-1</v>
      </c>
      <c r="AU174" s="63" t="inlineStr">
        <is>
          <t>N</t>
        </is>
      </c>
      <c r="AV174" s="63" t="inlineStr">
        <is>
          <t>n/m</t>
        </is>
      </c>
      <c r="AW174" s="74" t="n"/>
      <c r="AX174" s="74" t="n">
        <v>7.8</v>
      </c>
      <c r="AY174" s="74" t="n">
        <v>1.9</v>
      </c>
      <c r="AZ174" s="75" t="inlineStr">
        <is>
          <t>N</t>
        </is>
      </c>
      <c r="BA174" s="76">
        <f>IF('BBG Verify'!K174="","not filed — run on terminal",'BBG Verify'!K174)</f>
        <v/>
      </c>
      <c r="BB174" s="63" t="inlineStr">
        <is>
          <t>N/A</t>
        </is>
      </c>
      <c r="BC174" s="63" t="inlineStr">
        <is>
          <t>N/A</t>
        </is>
      </c>
      <c r="BD174" s="63" t="inlineStr">
        <is>
          <t>N/A</t>
        </is>
      </c>
      <c r="BE174" s="63" t="inlineStr">
        <is>
          <t>N/A</t>
        </is>
      </c>
      <c r="BF174" s="63" t="inlineStr">
        <is>
          <t>N/A</t>
        </is>
      </c>
      <c r="BG174" s="75" t="inlineStr">
        <is>
          <t>UOB Kay Hian (Hong Kong) Limited</t>
        </is>
      </c>
      <c r="BH174" s="63" t="inlineStr">
        <is>
          <t>UOB Kay Hian (Hong Kong) Limited</t>
        </is>
      </c>
      <c r="BI174" s="63" t="inlineStr">
        <is>
          <t>UOB Kay Hian (Hong Kong) Limited</t>
        </is>
      </c>
      <c r="BJ174" s="63" t="inlineStr">
        <is>
          <t>Futu Securities International (Hong Kong) Limited; Haitong International Securities Company Limited; Maxa Capital Limited; Tiger Brokers (HK) Global Limited; UOB Kay Hian (Hong Kong) Limited</t>
        </is>
      </c>
      <c r="BK174" s="77">
        <f>HYPERLINK("https://www1.hkexnews.hk/listedco/listconews/sehk/2022/1230/2022123000207.pdf","prospectus")</f>
        <v/>
      </c>
      <c r="BL174" s="77">
        <f>HYPERLINK("https://www1.hkexnews.hk/listedco/listconews/sehk/2023/0113/2023011300078.htm","allotment")</f>
        <v/>
      </c>
      <c r="BM174" s="63" t="n"/>
      <c r="BN174" s="75" t="n"/>
      <c r="BO174" s="63"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7" t="n">
        <v>15.5</v>
      </c>
      <c r="W175" s="63" t="n"/>
      <c r="X175" s="63" t="n"/>
      <c r="Y175" s="67" t="n">
        <v>15</v>
      </c>
      <c r="Z175" s="63" t="inlineStr">
        <is>
          <t>lapsed (no over-allocation)</t>
        </is>
      </c>
      <c r="AA175" s="72" t="n">
        <v>11.25</v>
      </c>
      <c r="AB175" s="73" t="n">
        <v>5</v>
      </c>
      <c r="AC175" s="73" t="n">
        <v>5.95</v>
      </c>
      <c r="AD175" s="73" t="n">
        <v>3.12</v>
      </c>
      <c r="AE175" s="73" t="n">
        <v>51.25</v>
      </c>
      <c r="AF175" s="73" t="n">
        <v>10</v>
      </c>
      <c r="AG175" s="73" t="n">
        <v>-7.31</v>
      </c>
      <c r="AH175" s="73" t="n">
        <v>35.96</v>
      </c>
      <c r="AI175" s="73" t="n">
        <v>-1.12</v>
      </c>
      <c r="AJ175" s="73" t="n">
        <v>-2.34</v>
      </c>
      <c r="AK175" s="73" t="n">
        <v>55.97</v>
      </c>
      <c r="AL175" s="73" t="n">
        <v>20.52</v>
      </c>
      <c r="AM175" s="73" t="n">
        <v>40.1</v>
      </c>
      <c r="AN175" s="73" t="n">
        <v>-4.72</v>
      </c>
      <c r="AO175" s="73" t="n">
        <v>-4.14</v>
      </c>
      <c r="AP175" s="63" t="inlineStr">
        <is>
          <t>Hang Seng Commerce &amp; Industry sub-index</t>
        </is>
      </c>
      <c r="AQ175" s="73" t="n">
        <v>-95.75</v>
      </c>
      <c r="AR175" s="64" t="inlineStr">
        <is>
          <t>2026-08-24</t>
        </is>
      </c>
      <c r="AS175" s="65" t="n">
        <v>846.6</v>
      </c>
      <c r="AT175" s="68" t="n">
        <v>32.7</v>
      </c>
      <c r="AU175" s="63" t="inlineStr">
        <is>
          <t>Y</t>
        </is>
      </c>
      <c r="AV175" s="74" t="n">
        <v>54.4</v>
      </c>
      <c r="AW175" s="74" t="n"/>
      <c r="AX175" s="74" t="n"/>
      <c r="AY175" s="74" t="n">
        <v>2.1</v>
      </c>
      <c r="AZ175" s="75" t="inlineStr">
        <is>
          <t>N</t>
        </is>
      </c>
      <c r="BA175" s="76">
        <f>IF('BBG Verify'!K175="","not filed — run on terminal",'BBG Verify'!K175)</f>
        <v/>
      </c>
      <c r="BB175" s="63" t="inlineStr">
        <is>
          <t>N/A</t>
        </is>
      </c>
      <c r="BC175" s="63" t="inlineStr">
        <is>
          <t>N/A</t>
        </is>
      </c>
      <c r="BD175" s="63" t="inlineStr">
        <is>
          <t>N/A</t>
        </is>
      </c>
      <c r="BE175" s="63" t="inlineStr">
        <is>
          <t>N/A</t>
        </is>
      </c>
      <c r="BF175" s="63" t="inlineStr">
        <is>
          <t>N/A</t>
        </is>
      </c>
      <c r="BG175" s="75" t="inlineStr">
        <is>
          <t>Southwest Securities (HK) Capital Limited</t>
        </is>
      </c>
      <c r="BH175" s="63" t="inlineStr">
        <is>
          <t>Southwest Securities (HK) Capital Limited</t>
        </is>
      </c>
      <c r="BI175" s="63"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7">
        <f>HYPERLINK("https://www1.hkexnews.hk/listedco/listconews/sehk/2022/1230/2022123000059.pdf","prospectus")</f>
        <v/>
      </c>
      <c r="BL175" s="77">
        <f>HYPERLINK("https://www1.hkexnews.hk/listedco/listconews/sehk/2023/0116/2023011600008.htm","allotment")</f>
        <v/>
      </c>
      <c r="BM175" s="77">
        <f>HYPERLINK("https://www1.hkexnews.hk/listedco/listconews/sehk/2023/0209/2023020900283.pdf","stabilisation")</f>
        <v/>
      </c>
      <c r="BN175" s="75" t="n"/>
      <c r="BO175" s="63" t="inlineStr">
        <is>
          <t>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7" t="n">
        <v>16.27</v>
      </c>
      <c r="W176" s="63" t="inlineStr">
        <is>
          <t>Jinan Huaiyin Urban Construction Investment Group Co., Ltd</t>
        </is>
      </c>
      <c r="X176" s="63" t="inlineStr">
        <is>
          <t>jinan</t>
        </is>
      </c>
      <c r="Y176" s="67" t="n">
        <v>8.699999999999999</v>
      </c>
      <c r="Z176" s="63" t="inlineStr">
        <is>
          <t>lapsed (no over-allocation)</t>
        </is>
      </c>
      <c r="AA176" s="72" t="n">
        <v>-25.88</v>
      </c>
      <c r="AB176" s="73" t="n">
        <v>-18.82</v>
      </c>
      <c r="AC176" s="73" t="n">
        <v>-8.699999999999999</v>
      </c>
      <c r="AD176" s="73" t="n">
        <v>-23.53</v>
      </c>
      <c r="AE176" s="73" t="n">
        <v>-25.88</v>
      </c>
      <c r="AF176" s="73" t="n">
        <v>-20</v>
      </c>
      <c r="AG176" s="73" t="n">
        <v>3.17</v>
      </c>
      <c r="AH176" s="73" t="n">
        <v>0</v>
      </c>
      <c r="AI176" s="73" t="n">
        <v>7.93</v>
      </c>
      <c r="AJ176" s="73" t="n">
        <v>-28.37</v>
      </c>
      <c r="AK176" s="73" t="n">
        <v>-21.46</v>
      </c>
      <c r="AL176" s="73" t="n">
        <v>-10.74</v>
      </c>
      <c r="AM176" s="73" t="n">
        <v>4.13</v>
      </c>
      <c r="AN176" s="73" t="n">
        <v>-4.42</v>
      </c>
      <c r="AO176" s="73" t="n">
        <v>-4.13</v>
      </c>
      <c r="AP176" s="63" t="inlineStr">
        <is>
          <t>Hang Seng Properties sub-index</t>
        </is>
      </c>
      <c r="AQ176" s="73" t="n">
        <v>-60.59</v>
      </c>
      <c r="AR176" s="64" t="inlineStr">
        <is>
          <t>2026-08-20</t>
        </is>
      </c>
      <c r="AS176" s="65" t="n">
        <v>661.4</v>
      </c>
      <c r="AT176" s="68" t="n">
        <v>44.2</v>
      </c>
      <c r="AU176" s="63" t="inlineStr">
        <is>
          <t>Y</t>
        </is>
      </c>
      <c r="AV176" s="74" t="n">
        <v>11.5</v>
      </c>
      <c r="AW176" s="74" t="n"/>
      <c r="AX176" s="74" t="n">
        <v>3.8</v>
      </c>
      <c r="AY176" s="74" t="n">
        <v>0.8</v>
      </c>
      <c r="AZ176" s="75" t="inlineStr">
        <is>
          <t>N</t>
        </is>
      </c>
      <c r="BA176" s="76">
        <f>IF('BBG Verify'!K176="","not filed — run on terminal",'BBG Verify'!K176)</f>
        <v/>
      </c>
      <c r="BB176" s="63" t="inlineStr">
        <is>
          <t>N/A</t>
        </is>
      </c>
      <c r="BC176" s="63" t="inlineStr">
        <is>
          <t>N/A</t>
        </is>
      </c>
      <c r="BD176" s="63" t="inlineStr">
        <is>
          <t>N/A</t>
        </is>
      </c>
      <c r="BE176" s="63" t="inlineStr">
        <is>
          <t>N/A</t>
        </is>
      </c>
      <c r="BF176" s="63" t="inlineStr">
        <is>
          <t>N/A</t>
        </is>
      </c>
      <c r="BG176" s="75" t="inlineStr">
        <is>
          <t>Zhongtai International Capital Limited; OC Zhongtai International Securities Limited</t>
        </is>
      </c>
      <c r="BH176" s="63" t="inlineStr">
        <is>
          <t>Zhongtai International Capital Limited</t>
        </is>
      </c>
      <c r="BI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7">
        <f>HYPERLINK("https://www1.hkexnews.hk/listedco/listconews/sehk/2022/1230/2022123000035.pdf","prospectus")</f>
        <v/>
      </c>
      <c r="BL176" s="77">
        <f>HYPERLINK("https://www1.hkexnews.hk/listedco/listconews/sehk/2023/0116/2023011600024.htm","allotment")</f>
        <v/>
      </c>
      <c r="BM176" s="77">
        <f>HYPERLINK("https://www1.hkexnews.hk/listedco/listconews/sehk/2023/0208/2023020800031.pdf","stabilisation")</f>
        <v/>
      </c>
      <c r="BN176" s="75" t="n"/>
      <c r="BO176" s="63" t="inlineStr">
        <is>
          <t>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c r="L177" s="66" t="n">
        <v>4.08</v>
      </c>
      <c r="M177" s="66" t="n">
        <v>4.08</v>
      </c>
      <c r="N177" s="63" t="inlineStr">
        <is>
          <t>Y</t>
        </is>
      </c>
      <c r="O177" s="67" t="n">
        <v>100</v>
      </c>
      <c r="P177" s="67" t="n"/>
      <c r="Q177" s="68" t="n">
        <v>3910.4</v>
      </c>
      <c r="R177" s="63" t="inlineStr">
        <is>
          <t>aastocks:上市市值 at the struck price</t>
        </is>
      </c>
      <c r="S177" s="69" t="n">
        <v>28.68</v>
      </c>
      <c r="T177" s="70" t="n">
        <v>1.29</v>
      </c>
      <c r="U177" s="71" t="n">
        <v>17.9</v>
      </c>
      <c r="V177" s="67" t="n">
        <v>10.28</v>
      </c>
      <c r="W177" s="63" t="inlineStr">
        <is>
          <t>Ding Shijia; Maoyan Entertainment (HK) Limited; Sun Mass Energy Development Limited; TradArt Asset Management Co., Limited</t>
        </is>
      </c>
      <c r="X177" s="63" t="inlineStr">
        <is>
          <t>ding-shijia;maoyan;sun-mass;tradart</t>
        </is>
      </c>
      <c r="Y177" s="67" t="n">
        <v>12.28</v>
      </c>
      <c r="Z177" s="63" t="inlineStr">
        <is>
          <t>partial</t>
        </is>
      </c>
      <c r="AA177" s="72" t="n">
        <v>47.79</v>
      </c>
      <c r="AB177" s="73" t="n">
        <v>37.25</v>
      </c>
      <c r="AC177" s="73" t="n">
        <v>7.68</v>
      </c>
      <c r="AD177" s="73" t="n">
        <v>17.16</v>
      </c>
      <c r="AE177" s="73" t="n">
        <v>6.86</v>
      </c>
      <c r="AF177" s="73" t="n">
        <v>-1.23</v>
      </c>
      <c r="AG177" s="73" t="n">
        <v>-20.73</v>
      </c>
      <c r="AH177" s="73" t="n">
        <v>-27.69</v>
      </c>
      <c r="AI177" s="73" t="n">
        <v>-33.17</v>
      </c>
      <c r="AJ177" s="73" t="n">
        <v>16.4</v>
      </c>
      <c r="AK177" s="73" t="n">
        <v>12.65</v>
      </c>
      <c r="AL177" s="73" t="n">
        <v>7.63</v>
      </c>
      <c r="AM177" s="73" t="n">
        <v>-22.01</v>
      </c>
      <c r="AN177" s="73" t="n">
        <v>-5.79</v>
      </c>
      <c r="AO177" s="73" t="n">
        <v>-5.68</v>
      </c>
      <c r="AP177" s="63" t="inlineStr">
        <is>
          <t>Hang Seng Index</t>
        </is>
      </c>
      <c r="AQ177" s="73" t="n">
        <v>-51.72</v>
      </c>
      <c r="AR177" s="64" t="inlineStr">
        <is>
          <t>2026-08-20</t>
        </is>
      </c>
      <c r="AS177" s="65" t="n">
        <v>1419.5</v>
      </c>
      <c r="AT177" s="68" t="n">
        <v>368.9</v>
      </c>
      <c r="AU177" s="63" t="inlineStr">
        <is>
          <t>Y</t>
        </is>
      </c>
      <c r="AV177" s="74" t="n">
        <v>10.6</v>
      </c>
      <c r="AW177" s="74" t="n"/>
      <c r="AX177" s="74" t="n">
        <v>22.1</v>
      </c>
      <c r="AY177" s="74" t="n">
        <v>2.8</v>
      </c>
      <c r="AZ177" s="75" t="inlineStr">
        <is>
          <t>N</t>
        </is>
      </c>
      <c r="BA177" s="76">
        <f>IF('BBG Verify'!K177="","not filed — run on terminal",'BBG Verify'!K177)</f>
        <v/>
      </c>
      <c r="BB177" s="63" t="inlineStr">
        <is>
          <t>N/A</t>
        </is>
      </c>
      <c r="BC177" s="63" t="inlineStr">
        <is>
          <t>N/A</t>
        </is>
      </c>
      <c r="BD177" s="63" t="inlineStr">
        <is>
          <t>N/A</t>
        </is>
      </c>
      <c r="BE177" s="63" t="inlineStr">
        <is>
          <t>N/A</t>
        </is>
      </c>
      <c r="BF177" s="63" t="inlineStr">
        <is>
          <t>N/A</t>
        </is>
      </c>
      <c r="BG177" s="75" t="inlineStr">
        <is>
          <t>China Merchants Securities (HK) Co., Limited</t>
        </is>
      </c>
      <c r="BH177" s="63" t="inlineStr">
        <is>
          <t>China Securities (International) Corporate Finance Company Limited; China Merchants Securities (HK) Company Limited</t>
        </is>
      </c>
      <c r="BI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7">
        <f>HYPERLINK("https://www1.hkexnews.hk/listedco/listconews/sehk/2022/1230/2022123000047.pdf","prospectus")</f>
        <v/>
      </c>
      <c r="BL177" s="77">
        <f>HYPERLINK("https://www1.hkexnews.hk/listedco/listconews/sehk/2023/0118/2023011800042.htm","allotment")</f>
        <v/>
      </c>
      <c r="BM177" s="77">
        <f>HYPERLINK("https://www1.hkexnews.hk/listedco/listconews/sehk/2023/0212/2023021200017.pdf","stabilisation")</f>
        <v/>
      </c>
      <c r="BN177" s="75" t="n"/>
      <c r="BO177" s="63" t="inlineStr">
        <is>
          <t>price range: fixed-price offering (no indicative range) · range low: cap-only pricing — the filing publishes a Maximum Offer Price and no indicative floor · 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c r="L178" s="66" t="n">
        <v>2.31</v>
      </c>
      <c r="M178" s="66" t="n">
        <v>1.91</v>
      </c>
      <c r="N178" s="63" t="inlineStr">
        <is>
          <t>N</t>
        </is>
      </c>
      <c r="O178" s="67" t="n">
        <v>82.7</v>
      </c>
      <c r="P178" s="67" t="n"/>
      <c r="Q178" s="68" t="n">
        <v>504.3</v>
      </c>
      <c r="R178" s="63" t="inlineStr">
        <is>
          <t>prospectus:stated market capitalisation</t>
        </is>
      </c>
      <c r="S178" s="69" t="n">
        <v>12.26</v>
      </c>
      <c r="T178" s="70" t="n">
        <v>0.95</v>
      </c>
      <c r="U178" s="71" t="n">
        <v>0</v>
      </c>
      <c r="V178" s="67" t="n">
        <v>25</v>
      </c>
      <c r="W178" s="63" t="n"/>
      <c r="X178" s="63" t="n"/>
      <c r="Y178" s="67" t="n">
        <v>20</v>
      </c>
      <c r="Z178" s="63" t="inlineStr">
        <is>
          <t>lapsed (no over-allocation)</t>
        </is>
      </c>
      <c r="AA178" s="72" t="n">
        <v>-44.5</v>
      </c>
      <c r="AB178" s="73" t="n">
        <v>-36.65</v>
      </c>
      <c r="AC178" s="73" t="n">
        <v>-12.39</v>
      </c>
      <c r="AD178" s="73" t="n">
        <v>-47.64</v>
      </c>
      <c r="AE178" s="73" t="n">
        <v>-57.59</v>
      </c>
      <c r="AF178" s="73" t="n">
        <v>-63.87</v>
      </c>
      <c r="AG178" s="73" t="n">
        <v>-5.66</v>
      </c>
      <c r="AH178" s="73" t="n">
        <v>-23.59</v>
      </c>
      <c r="AI178" s="73" t="n">
        <v>-34.9</v>
      </c>
      <c r="AJ178" s="73" t="n">
        <v>-50.94</v>
      </c>
      <c r="AK178" s="73" t="n">
        <v>-49.69</v>
      </c>
      <c r="AL178" s="73" t="n">
        <v>-52.12</v>
      </c>
      <c r="AM178" s="73" t="n">
        <v>-13.47</v>
      </c>
      <c r="AN178" s="73" t="n">
        <v>-7.9</v>
      </c>
      <c r="AO178" s="73" t="n">
        <v>-10.12</v>
      </c>
      <c r="AP178" s="63" t="inlineStr">
        <is>
          <t>Hang Seng Commerce &amp; Industry sub-index</t>
        </is>
      </c>
      <c r="AQ178" s="73" t="n">
        <v>371.2</v>
      </c>
      <c r="AR178" s="64" t="inlineStr">
        <is>
          <t>2026-08-20</t>
        </is>
      </c>
      <c r="AS178" s="65" t="n">
        <v>407.4</v>
      </c>
      <c r="AT178" s="68" t="n">
        <v>108.8</v>
      </c>
      <c r="AU178" s="63" t="inlineStr">
        <is>
          <t>Y</t>
        </is>
      </c>
      <c r="AV178" s="74" t="n">
        <v>4.6</v>
      </c>
      <c r="AW178" s="74" t="n"/>
      <c r="AX178" s="74" t="n"/>
      <c r="AY178" s="74" t="n">
        <v>1.2</v>
      </c>
      <c r="AZ178" s="75" t="inlineStr">
        <is>
          <t>N</t>
        </is>
      </c>
      <c r="BA178" s="76">
        <f>IF('BBG Verify'!K178="","not filed — run on terminal",'BBG Verify'!K178)</f>
        <v/>
      </c>
      <c r="BB178" s="63" t="inlineStr">
        <is>
          <t>N/A</t>
        </is>
      </c>
      <c r="BC178" s="63" t="inlineStr">
        <is>
          <t>N/A</t>
        </is>
      </c>
      <c r="BD178" s="63" t="inlineStr">
        <is>
          <t>N/A</t>
        </is>
      </c>
      <c r="BE178" s="63" t="inlineStr">
        <is>
          <t>N/A</t>
        </is>
      </c>
      <c r="BF178" s="63" t="inlineStr">
        <is>
          <t>N/A</t>
        </is>
      </c>
      <c r="BG178" s="75" t="inlineStr">
        <is>
          <t>China Everbright Capital Limited</t>
        </is>
      </c>
      <c r="BH178" s="63" t="inlineStr">
        <is>
          <t>China Everbright Capital Limited</t>
        </is>
      </c>
      <c r="BI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7">
        <f>HYPERLINK("https://www1.hkexnews.hk/listedco/listconews/sehk/2022/1230/2022123000043.pdf","prospectus")</f>
        <v/>
      </c>
      <c r="BL178" s="77">
        <f>HYPERLINK("https://www1.hkexnews.hk/listedco/listconews/sehk/2023/0119/2023011900018.htm","allotment")</f>
        <v/>
      </c>
      <c r="BM178" s="77">
        <f>HYPERLINK("https://www1.hkexnews.hk/listedco/listconews/sehk/2023/0212/2023021200031.pdf","stabilisation")</f>
        <v/>
      </c>
      <c r="BN178" s="75" t="n"/>
      <c r="BO178" s="63" t="inlineStr">
        <is>
          <t>range low: cap-only pricing — the filing publishes a Maximum Offer Price and no indicative floor · 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7" t="n">
        <v>0.92</v>
      </c>
      <c r="W179" s="63" t="inlineStr">
        <is>
          <t>Hefei Gaoxin Development &amp; Investment Group Co., Ltd; XINGTAI HOLDING COMPANY (HONG KONG) LIMITED</t>
        </is>
      </c>
      <c r="X179" s="63" t="inlineStr">
        <is>
          <t>hefei;xingtai</t>
        </is>
      </c>
      <c r="Y179" s="67" t="n">
        <v>19.62</v>
      </c>
      <c r="Z179" s="63" t="inlineStr">
        <is>
          <t>lapsed (no over-allocation)</t>
        </is>
      </c>
      <c r="AA179" s="72" t="n">
        <v>-2.07</v>
      </c>
      <c r="AB179" s="73" t="n">
        <v>-3.1</v>
      </c>
      <c r="AC179" s="73" t="n">
        <v>1.06</v>
      </c>
      <c r="AD179" s="73" t="n">
        <v>-1.38</v>
      </c>
      <c r="AE179" s="73" t="n">
        <v>-4.48</v>
      </c>
      <c r="AF179" s="73" t="n">
        <v>-6.9</v>
      </c>
      <c r="AG179" s="73" t="n">
        <v>0.7</v>
      </c>
      <c r="AH179" s="73" t="n">
        <v>-2.46</v>
      </c>
      <c r="AI179" s="73" t="n">
        <v>-4.93</v>
      </c>
      <c r="AJ179" s="73" t="n">
        <v>2.92</v>
      </c>
      <c r="AK179" s="73" t="n">
        <v>-6.85</v>
      </c>
      <c r="AL179" s="73" t="n">
        <v>-3.69</v>
      </c>
      <c r="AM179" s="73" t="n">
        <v>-5.71</v>
      </c>
      <c r="AN179" s="73" t="n">
        <v>2.37</v>
      </c>
      <c r="AO179" s="73" t="n">
        <v>3.25</v>
      </c>
      <c r="AP179" s="63" t="inlineStr">
        <is>
          <t>Hang Seng Commerce &amp; Industry sub-index</t>
        </is>
      </c>
      <c r="AQ179" s="73" t="n">
        <v>-89.48</v>
      </c>
      <c r="AR179" s="64" t="inlineStr">
        <is>
          <t>2026-08-20</t>
        </is>
      </c>
      <c r="AS179" s="65" t="n">
        <v>6927</v>
      </c>
      <c r="AT179" s="68" t="n"/>
      <c r="AU179" s="63" t="inlineStr">
        <is>
          <t>Y</t>
        </is>
      </c>
      <c r="AV179" s="78">
        <f>IF('BBG Verify'!O179="","not filed — run on terminal",'BBG Verify'!O179)</f>
        <v/>
      </c>
      <c r="AW179" s="74" t="n"/>
      <c r="AX179" s="74" t="n">
        <v>8.4</v>
      </c>
      <c r="AY179" s="74" t="n">
        <v>0.7</v>
      </c>
      <c r="AZ179" s="75" t="inlineStr">
        <is>
          <t>N</t>
        </is>
      </c>
      <c r="BA179" s="76">
        <f>IF('BBG Verify'!K179="","not filed — run on terminal",'BBG Verify'!K179)</f>
        <v/>
      </c>
      <c r="BB179" s="63" t="inlineStr">
        <is>
          <t>N/A</t>
        </is>
      </c>
      <c r="BC179" s="63" t="inlineStr">
        <is>
          <t>N/A</t>
        </is>
      </c>
      <c r="BD179" s="63" t="inlineStr">
        <is>
          <t>N/A</t>
        </is>
      </c>
      <c r="BE179" s="63" t="inlineStr">
        <is>
          <t>N/A</t>
        </is>
      </c>
      <c r="BF179" s="63" t="inlineStr">
        <is>
          <t>N/A</t>
        </is>
      </c>
      <c r="BG179" s="75" t="inlineStr">
        <is>
          <t>Haitong International Capital Limited; Haitong International Securities Company Limited</t>
        </is>
      </c>
      <c r="BH179" s="63" t="inlineStr">
        <is>
          <t>Haitong International Capital Limited</t>
        </is>
      </c>
      <c r="BI179" s="63" t="inlineStr">
        <is>
          <t>Haitong International Securities Company Limited; CLSA Limited</t>
        </is>
      </c>
      <c r="BJ179" s="63" t="inlineStr">
        <is>
          <t>CLSA Limited; Haitong International Securities Company Limited; SDHG International Securities Limited; Sinomax Securities Limited; Valuable Capital Limited</t>
        </is>
      </c>
      <c r="BK179" s="77">
        <f>HYPERLINK("https://www1.hkexnews.hk/listedco/listconews/sehk/2023/0227/2023022700005.pdf","prospectus")</f>
        <v/>
      </c>
      <c r="BL179" s="77">
        <f>HYPERLINK("https://www1.hkexnews.hk/listedco/listconews/sehk/2023/0308/2023030800008.htm","allotment")</f>
        <v/>
      </c>
      <c r="BM179" s="77">
        <f>HYPERLINK("https://www1.hkexnews.hk/listedco/listconews/sehk/2023/0403/2023040300095.pdf","stabilisation")</f>
        <v/>
      </c>
      <c r="BN179" s="75" t="n"/>
      <c r="BO179" s="63"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7" t="n">
        <v>11.82</v>
      </c>
      <c r="W180" s="63" t="inlineStr">
        <is>
          <t>Duke King Holdings Limited; Garland Glory Holdings Limited; New China Asset Management (Hong Kong) Limited; Orchid Asia V Co-Investment, Limited; Sichuan Hebang Investment Group Co., Ltd</t>
        </is>
      </c>
      <c r="X180" s="63" t="inlineStr">
        <is>
          <t>duke;garland;new;orchid;sichuan</t>
        </is>
      </c>
      <c r="Y180" s="67" t="n">
        <v>10</v>
      </c>
      <c r="Z180" s="63" t="inlineStr">
        <is>
          <t>partial</t>
        </is>
      </c>
      <c r="AA180" s="72" t="n">
        <v>0.82</v>
      </c>
      <c r="AB180" s="73" t="n">
        <v>0.12</v>
      </c>
      <c r="AC180" s="73" t="n">
        <v>0.7</v>
      </c>
      <c r="AD180" s="73" t="n">
        <v>-0.82</v>
      </c>
      <c r="AE180" s="73" t="n">
        <v>-7.65</v>
      </c>
      <c r="AF180" s="73" t="n">
        <v>-4.82</v>
      </c>
      <c r="AG180" s="73" t="n">
        <v>-1.63</v>
      </c>
      <c r="AH180" s="73" t="n">
        <v>-8.4</v>
      </c>
      <c r="AI180" s="73" t="n">
        <v>-5.59</v>
      </c>
      <c r="AJ180" s="73" t="n">
        <v>2.29</v>
      </c>
      <c r="AK180" s="73" t="n">
        <v>-7.31</v>
      </c>
      <c r="AL180" s="73" t="n">
        <v>-3.67</v>
      </c>
      <c r="AM180" s="73" t="n">
        <v>-10.95</v>
      </c>
      <c r="AN180" s="73" t="n">
        <v>-0.34</v>
      </c>
      <c r="AO180" s="73" t="n">
        <v>2.55</v>
      </c>
      <c r="AP180" s="63" t="inlineStr">
        <is>
          <t>Hang Seng Finance sub-index</t>
        </is>
      </c>
      <c r="AQ180" s="73" t="n">
        <v>64</v>
      </c>
      <c r="AR180" s="64" t="inlineStr">
        <is>
          <t>2026-08-20</t>
        </is>
      </c>
      <c r="AS180" s="65" t="n">
        <v>1597.1</v>
      </c>
      <c r="AT180" s="68" t="n">
        <v>255.6</v>
      </c>
      <c r="AU180" s="63" t="inlineStr">
        <is>
          <t>Y</t>
        </is>
      </c>
      <c r="AV180" s="74" t="n">
        <v>30.9</v>
      </c>
      <c r="AW180" s="74" t="n">
        <v>12.4</v>
      </c>
      <c r="AX180" s="74" t="n">
        <v>11.4</v>
      </c>
      <c r="AY180" s="74" t="n">
        <v>5</v>
      </c>
      <c r="AZ180" s="75" t="inlineStr">
        <is>
          <t>N</t>
        </is>
      </c>
      <c r="BA180" s="76">
        <f>IF('BBG Verify'!K180="","not filed — run on terminal",'BBG Verify'!K180)</f>
        <v/>
      </c>
      <c r="BB180" s="63" t="inlineStr">
        <is>
          <t>N/A</t>
        </is>
      </c>
      <c r="BC180" s="63" t="inlineStr">
        <is>
          <t>N/A</t>
        </is>
      </c>
      <c r="BD180" s="63" t="inlineStr">
        <is>
          <t>N/A</t>
        </is>
      </c>
      <c r="BE180" s="63" t="inlineStr">
        <is>
          <t>N/A</t>
        </is>
      </c>
      <c r="BF180" s="63" t="inlineStr">
        <is>
          <t>N/A</t>
        </is>
      </c>
      <c r="BG180" s="75" t="n"/>
      <c r="BH180" s="63" t="inlineStr">
        <is>
          <t>China International Capital Corporation Hong Kong Securities Limited</t>
        </is>
      </c>
      <c r="BI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7">
        <f>HYPERLINK("https://www1.hkexnews.hk/listedco/listconews/sehk/2023/0228/2023022800011.pdf","prospectus")</f>
        <v/>
      </c>
      <c r="BL180" s="77">
        <f>HYPERLINK("https://www1.hkexnews.hk/listedco/listconews/sehk/2023/0309/2023030900008.htm","allotment")</f>
        <v/>
      </c>
      <c r="BM180" s="77">
        <f>HYPERLINK("https://www1.hkexnews.hk/listedco/listconews/sehk/2023/0402/2023040200127.pdf","stabilisation")</f>
        <v/>
      </c>
      <c r="BN180" s="75" t="n"/>
      <c r="BO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5327</v>
      </c>
      <c r="R181" s="63" t="inlineStr">
        <is>
          <t>prospectus:stated market capitalisation</t>
        </is>
      </c>
      <c r="S181" s="69" t="n">
        <v>0.45</v>
      </c>
      <c r="T181" s="70" t="n">
        <v>1.9</v>
      </c>
      <c r="U181" s="71" t="n">
        <v>0</v>
      </c>
      <c r="V181" s="67" t="n">
        <v>11.05</v>
      </c>
      <c r="W181" s="63" t="n"/>
      <c r="X181" s="63" t="n"/>
      <c r="Y181" s="67" t="n">
        <v>9.949999999999999</v>
      </c>
      <c r="Z181" s="63" t="inlineStr">
        <is>
          <t>partial</t>
        </is>
      </c>
      <c r="AA181" s="72" t="n">
        <v>-0.11</v>
      </c>
      <c r="AB181" s="73" t="n">
        <v>0</v>
      </c>
      <c r="AC181" s="73" t="n">
        <v>-0.11</v>
      </c>
      <c r="AD181" s="73" t="n">
        <v>22.83</v>
      </c>
      <c r="AE181" s="73" t="n">
        <v>17.72</v>
      </c>
      <c r="AF181" s="73" t="n">
        <v>13.8</v>
      </c>
      <c r="AG181" s="73" t="n">
        <v>22.97</v>
      </c>
      <c r="AH181" s="73" t="n">
        <v>17.85</v>
      </c>
      <c r="AI181" s="73" t="n">
        <v>13.93</v>
      </c>
      <c r="AJ181" s="73" t="n">
        <v>18.4</v>
      </c>
      <c r="AK181" s="73" t="n">
        <v>18.4</v>
      </c>
      <c r="AL181" s="73" t="n">
        <v>17.59</v>
      </c>
      <c r="AM181" s="73" t="n">
        <v>19.51</v>
      </c>
      <c r="AN181" s="73" t="n">
        <v>-0.68</v>
      </c>
      <c r="AO181" s="73" t="n">
        <v>-1.66</v>
      </c>
      <c r="AP181" s="63" t="inlineStr">
        <is>
          <t>Hang Seng Commerce &amp; Industry sub-index</t>
        </is>
      </c>
      <c r="AQ181" s="73" t="n">
        <v>-19.35</v>
      </c>
      <c r="AR181" s="64" t="inlineStr">
        <is>
          <t>2026-08-20</t>
        </is>
      </c>
      <c r="AS181" s="65" t="n">
        <v>2222.9</v>
      </c>
      <c r="AT181" s="68" t="n">
        <v>-244.9</v>
      </c>
      <c r="AU181" s="63" t="inlineStr">
        <is>
          <t>N</t>
        </is>
      </c>
      <c r="AV181" s="63" t="inlineStr">
        <is>
          <t>n/m</t>
        </is>
      </c>
      <c r="AW181" s="74" t="n"/>
      <c r="AX181" s="74" t="n">
        <v>30.1</v>
      </c>
      <c r="AY181" s="74" t="n">
        <v>2.4</v>
      </c>
      <c r="AZ181" s="75" t="inlineStr">
        <is>
          <t>N</t>
        </is>
      </c>
      <c r="BA181" s="76">
        <f>IF('BBG Verify'!K181="","not filed — run on terminal",'BBG Verify'!K181)</f>
        <v/>
      </c>
      <c r="BB181" s="63" t="inlineStr">
        <is>
          <t>N/A</t>
        </is>
      </c>
      <c r="BC181" s="63" t="inlineStr">
        <is>
          <t>N/A</t>
        </is>
      </c>
      <c r="BD181" s="63" t="inlineStr">
        <is>
          <t>N/A</t>
        </is>
      </c>
      <c r="BE181" s="63" t="inlineStr">
        <is>
          <t>N/A</t>
        </is>
      </c>
      <c r="BF181" s="63" t="inlineStr">
        <is>
          <t>N/A</t>
        </is>
      </c>
      <c r="BG181" s="75" t="inlineStr">
        <is>
          <t>Merrill Lynch (Asia Pacific) Limited; Financial Advisor Ampere Partners Limited</t>
        </is>
      </c>
      <c r="BH181" s="63" t="inlineStr">
        <is>
          <t>Merrill Lynch (Asia Pacific) Limited</t>
        </is>
      </c>
      <c r="BI181" s="63" t="inlineStr">
        <is>
          <t>Merrill Lynch (Asia Pacific) Limited</t>
        </is>
      </c>
      <c r="BJ181" s="63" t="inlineStr">
        <is>
          <t>DBS Asia Capital Limited; Merrill Lynch (Asia Pacific) Limited</t>
        </is>
      </c>
      <c r="BK181" s="77">
        <f>HYPERLINK("https://www1.hkexnews.hk/listedco/listconews/sehk/2023/0316/2023031600034.htm","prospectus")</f>
        <v/>
      </c>
      <c r="BL181" s="77">
        <f>HYPERLINK("https://www1.hkexnews.hk/listedco/listconews/sehk/2023/0327/2023032700030.htm","allotment")</f>
        <v/>
      </c>
      <c r="BM181" s="77">
        <f>HYPERLINK("https://www1.hkexnews.hk/listedco/listconews/sehk/2023/0420/2023042000559.pdf","stabilisation")</f>
        <v/>
      </c>
      <c r="BN181" s="75" t="n"/>
      <c r="BO181"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c r="L182" s="66" t="n">
        <v>3.27</v>
      </c>
      <c r="M182" s="66" t="n">
        <v>3.27</v>
      </c>
      <c r="N182" s="63" t="inlineStr">
        <is>
          <t>Y</t>
        </is>
      </c>
      <c r="O182" s="67" t="n">
        <v>100</v>
      </c>
      <c r="P182" s="67" t="n"/>
      <c r="Q182" s="68" t="n">
        <v>1635.2</v>
      </c>
      <c r="R182" s="63" t="inlineStr">
        <is>
          <t>derived:deal size / offer % of enlarged capital</t>
        </is>
      </c>
      <c r="S182" s="69" t="n">
        <v>1.14</v>
      </c>
      <c r="T182" s="70" t="n">
        <v>1.09</v>
      </c>
      <c r="U182" s="71" t="n">
        <v>19.96</v>
      </c>
      <c r="V182" s="67" t="n">
        <v>20.01</v>
      </c>
      <c r="W182" s="63" t="inlineStr">
        <is>
          <t>Danube Bridge Shipping Limited; Guodian Shipping (Hong Kong) Company Limited; Huzhou Wuxing Tourism Development Co., Ltd</t>
        </is>
      </c>
      <c r="X182" s="63" t="inlineStr">
        <is>
          <t>danube;guodian;huzhou</t>
        </is>
      </c>
      <c r="Y182" s="67" t="n">
        <v>15</v>
      </c>
      <c r="Z182" s="63" t="inlineStr">
        <is>
          <t>lapsed</t>
        </is>
      </c>
      <c r="AA182" s="72" t="n">
        <v>-21.1</v>
      </c>
      <c r="AB182" s="73" t="n">
        <v>0.31</v>
      </c>
      <c r="AC182" s="73" t="n">
        <v>-21.34</v>
      </c>
      <c r="AD182" s="73" t="n">
        <v>-7.65</v>
      </c>
      <c r="AE182" s="73" t="n">
        <v>-13.76</v>
      </c>
      <c r="AF182" s="73" t="n">
        <v>-5.81</v>
      </c>
      <c r="AG182" s="73" t="n">
        <v>17.05</v>
      </c>
      <c r="AH182" s="73" t="n">
        <v>9.300000000000001</v>
      </c>
      <c r="AI182" s="73" t="n">
        <v>19.38</v>
      </c>
      <c r="AJ182" s="73" t="n">
        <v>-11.46</v>
      </c>
      <c r="AK182" s="73" t="n">
        <v>-10.65</v>
      </c>
      <c r="AL182" s="73" t="n">
        <v>-1.93</v>
      </c>
      <c r="AM182" s="73" t="n">
        <v>15.1</v>
      </c>
      <c r="AN182" s="73" t="n">
        <v>-3.11</v>
      </c>
      <c r="AO182" s="73" t="n">
        <v>-5.8</v>
      </c>
      <c r="AP182" s="63" t="inlineStr">
        <is>
          <t>Hang Seng Commerce &amp; Industry sub-index</t>
        </is>
      </c>
      <c r="AQ182" s="73" t="n">
        <v>25.38</v>
      </c>
      <c r="AR182" s="64" t="inlineStr">
        <is>
          <t>2026-08-20</t>
        </is>
      </c>
      <c r="AS182" s="65" t="n">
        <v>2907.4</v>
      </c>
      <c r="AT182" s="68" t="n">
        <v>312</v>
      </c>
      <c r="AU182" s="63" t="inlineStr">
        <is>
          <t>Y</t>
        </is>
      </c>
      <c r="AV182" s="74" t="n">
        <v>5.2</v>
      </c>
      <c r="AW182" s="74" t="n">
        <v>2.2</v>
      </c>
      <c r="AX182" s="74" t="n">
        <v>7.5</v>
      </c>
      <c r="AY182" s="74" t="n">
        <v>0.6</v>
      </c>
      <c r="AZ182" s="75" t="inlineStr">
        <is>
          <t>N</t>
        </is>
      </c>
      <c r="BA182" s="76">
        <f>IF('BBG Verify'!K182="","not filed — run on terminal",'BBG Verify'!K182)</f>
        <v/>
      </c>
      <c r="BB182" s="63" t="inlineStr">
        <is>
          <t>N/A</t>
        </is>
      </c>
      <c r="BC182" s="63" t="inlineStr">
        <is>
          <t>N/A</t>
        </is>
      </c>
      <c r="BD182" s="63" t="inlineStr">
        <is>
          <t>N/A</t>
        </is>
      </c>
      <c r="BE182" s="63" t="inlineStr">
        <is>
          <t>N/A</t>
        </is>
      </c>
      <c r="BF182" s="63" t="inlineStr">
        <is>
          <t>N/A</t>
        </is>
      </c>
      <c r="BG182" s="75" t="inlineStr">
        <is>
          <t>Zhongtai International Capital Limited</t>
        </is>
      </c>
      <c r="BH182" s="63" t="inlineStr">
        <is>
          <t>Zhongtai International Capital Limited</t>
        </is>
      </c>
      <c r="BI182" s="63" t="inlineStr">
        <is>
          <t>Zhongtai International Securities Limited; Shenwan Hongyuan Securities (H.K.) Limited; Citrus Securities Limited; BOCOM International Securities Limited</t>
        </is>
      </c>
      <c r="BJ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7">
        <f>HYPERLINK("https://www1.hkexnews.hk/listedco/listconews/sehk/2023/0314/2023031400009.pdf","prospectus")</f>
        <v/>
      </c>
      <c r="BL182" s="77">
        <f>HYPERLINK("https://www1.hkexnews.hk/listedco/listconews/sehk/2023/0328/2023032800038.htm","allotment")</f>
        <v/>
      </c>
      <c r="BM182" s="77">
        <f>HYPERLINK("https://www1.hkexnews.hk/listedco/listconews/sehk/2023/0416/2023041600007.pdf","stabilisation")</f>
        <v/>
      </c>
      <c r="BN182" s="75" t="n"/>
      <c r="BO182" s="63" t="inlineStr">
        <is>
          <t>price range: fixed-price offering (no indicative range) · range low: cap-only pricing — the filing publishes a Maximum Offer Price and no indicative floor · 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511.2</v>
      </c>
      <c r="R183" s="63" t="inlineStr">
        <is>
          <t>derived:deal size / offer % of enlarged capital</t>
        </is>
      </c>
      <c r="S183" s="69" t="n">
        <v>10.62</v>
      </c>
      <c r="T183" s="70" t="n">
        <v>1.01</v>
      </c>
      <c r="U183" s="71" t="n">
        <v>0</v>
      </c>
      <c r="V183" s="67" t="n">
        <v>27.7</v>
      </c>
      <c r="W183" s="63" t="n"/>
      <c r="X183" s="63" t="n"/>
      <c r="Y183" s="67" t="n">
        <v>20</v>
      </c>
      <c r="Z183" s="63" t="inlineStr">
        <is>
          <t>lapsed (no over-allocation)</t>
        </is>
      </c>
      <c r="AA183" s="72" t="n">
        <v>126.27</v>
      </c>
      <c r="AB183" s="73" t="n">
        <v>147.46</v>
      </c>
      <c r="AC183" s="73" t="n">
        <v>-8.56</v>
      </c>
      <c r="AD183" s="73" t="n">
        <v>77.12</v>
      </c>
      <c r="AE183" s="73" t="n">
        <v>22.03</v>
      </c>
      <c r="AF183" s="73" t="n">
        <v>-62.29</v>
      </c>
      <c r="AG183" s="73" t="n">
        <v>-21.72</v>
      </c>
      <c r="AH183" s="73" t="n">
        <v>-46.07</v>
      </c>
      <c r="AI183" s="73" t="n">
        <v>-83.33</v>
      </c>
      <c r="AJ183" s="73" t="n">
        <v>75.79000000000001</v>
      </c>
      <c r="AK183" s="73" t="n">
        <v>27.11</v>
      </c>
      <c r="AL183" s="73" t="n">
        <v>-54.32</v>
      </c>
      <c r="AM183" s="73" t="n">
        <v>-40.11</v>
      </c>
      <c r="AN183" s="73" t="n">
        <v>-5.08</v>
      </c>
      <c r="AO183" s="73" t="n">
        <v>-5.96</v>
      </c>
      <c r="AP183" s="63" t="inlineStr">
        <is>
          <t>Hang Seng Commerce &amp; Industry sub-index</t>
        </is>
      </c>
      <c r="AQ183" s="73" t="n">
        <v>-93.73</v>
      </c>
      <c r="AR183" s="64" t="inlineStr">
        <is>
          <t>2026-08-20</t>
        </is>
      </c>
      <c r="AS183" s="65" t="n">
        <v>2005.7</v>
      </c>
      <c r="AT183" s="68" t="n">
        <v>-0.8</v>
      </c>
      <c r="AU183" s="63" t="inlineStr">
        <is>
          <t>N</t>
        </is>
      </c>
      <c r="AV183" s="63" t="inlineStr">
        <is>
          <t>n/m</t>
        </is>
      </c>
      <c r="AW183" s="74" t="n"/>
      <c r="AX183" s="74" t="n"/>
      <c r="AY183" s="74" t="n">
        <v>0.3</v>
      </c>
      <c r="AZ183" s="75" t="inlineStr">
        <is>
          <t>N</t>
        </is>
      </c>
      <c r="BA183" s="76">
        <f>IF('BBG Verify'!K183="","not filed — run on terminal",'BBG Verify'!K183)</f>
        <v/>
      </c>
      <c r="BB183" s="63" t="inlineStr">
        <is>
          <t>N/A</t>
        </is>
      </c>
      <c r="BC183" s="63" t="inlineStr">
        <is>
          <t>N/A</t>
        </is>
      </c>
      <c r="BD183" s="63" t="inlineStr">
        <is>
          <t>N/A</t>
        </is>
      </c>
      <c r="BE183" s="63" t="inlineStr">
        <is>
          <t>N/A</t>
        </is>
      </c>
      <c r="BF183" s="63" t="inlineStr">
        <is>
          <t>N/A</t>
        </is>
      </c>
      <c r="BG183" s="75" t="inlineStr">
        <is>
          <t>Grande Capital Limited</t>
        </is>
      </c>
      <c r="BH183" s="63" t="inlineStr">
        <is>
          <t>Grande Capital Limited</t>
        </is>
      </c>
      <c r="BI183" s="63" t="inlineStr">
        <is>
          <t>SPDB International Capital Limited; BOCOM International Securities Limited; I Win Securities Limited; China Everbright Securities (HK) Limited; Soochow Securities International Brokerage Limited; Alliance Capital Partners Limited</t>
        </is>
      </c>
      <c r="BJ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7">
        <f>HYPERLINK("https://www1.hkexnews.hk/listedco/listconews/sehk/2023/0320/2023032000008.htm","prospectus")</f>
        <v/>
      </c>
      <c r="BL183" s="77">
        <f>HYPERLINK("https://www1.hkexnews.hk/listedco/listconews/sehk/2023/0329/2023032900042.htm","allotment")</f>
        <v/>
      </c>
      <c r="BM183" s="77">
        <f>HYPERLINK("https://www1.hkexnews.hk/listedco/listconews/sehk/2023/0424/2023042400020.pdf","stabilisation")</f>
        <v/>
      </c>
      <c r="BN183" s="75" t="n"/>
      <c r="BO183" s="63"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7" t="n">
        <v>26.92</v>
      </c>
      <c r="W184" s="63" t="n"/>
      <c r="X184" s="63" t="n"/>
      <c r="Y184" s="67" t="n">
        <v>20</v>
      </c>
      <c r="Z184" s="63" t="inlineStr">
        <is>
          <t>lapsed (no over-allocation)</t>
        </is>
      </c>
      <c r="AA184" s="72" t="n">
        <v>20</v>
      </c>
      <c r="AB184" s="73" t="n">
        <v>8.57</v>
      </c>
      <c r="AC184" s="73" t="n">
        <v>10.53</v>
      </c>
      <c r="AD184" s="73" t="n">
        <v>50</v>
      </c>
      <c r="AE184" s="73" t="n">
        <v>128.57</v>
      </c>
      <c r="AF184" s="73" t="n">
        <v>385.71</v>
      </c>
      <c r="AG184" s="73" t="n">
        <v>25</v>
      </c>
      <c r="AH184" s="73" t="n">
        <v>90.47</v>
      </c>
      <c r="AI184" s="73" t="n">
        <v>304.76</v>
      </c>
      <c r="AJ184" s="73" t="n">
        <v>50</v>
      </c>
      <c r="AK184" s="73" t="n">
        <v>129.85</v>
      </c>
      <c r="AL184" s="73" t="n">
        <v>394.46</v>
      </c>
      <c r="AM184" s="73" t="n">
        <v>92.19</v>
      </c>
      <c r="AN184" s="73" t="n">
        <v>-1.28</v>
      </c>
      <c r="AO184" s="73" t="n">
        <v>-1.72</v>
      </c>
      <c r="AP184" s="63" t="inlineStr">
        <is>
          <t>Hang Seng Index</t>
        </is>
      </c>
      <c r="AQ184" s="73" t="n">
        <v>-50.71</v>
      </c>
      <c r="AR184" s="64" t="inlineStr">
        <is>
          <t>2026-08-20</t>
        </is>
      </c>
      <c r="AS184" s="65" t="n">
        <v>111.9</v>
      </c>
      <c r="AT184" s="68" t="n">
        <v>45</v>
      </c>
      <c r="AU184" s="63" t="inlineStr">
        <is>
          <t>Y</t>
        </is>
      </c>
      <c r="AV184" s="74" t="n">
        <v>11.6</v>
      </c>
      <c r="AW184" s="74" t="n"/>
      <c r="AX184" s="74" t="n"/>
      <c r="AY184" s="74" t="n">
        <v>4.6</v>
      </c>
      <c r="AZ184" s="75" t="inlineStr">
        <is>
          <t>N</t>
        </is>
      </c>
      <c r="BA184" s="76">
        <f>IF('BBG Verify'!K184="","not filed — run on terminal",'BBG Verify'!K184)</f>
        <v/>
      </c>
      <c r="BB184" s="63" t="inlineStr">
        <is>
          <t>N/A</t>
        </is>
      </c>
      <c r="BC184" s="63" t="inlineStr">
        <is>
          <t>N/A</t>
        </is>
      </c>
      <c r="BD184" s="63" t="inlineStr">
        <is>
          <t>N/A</t>
        </is>
      </c>
      <c r="BE184" s="63" t="inlineStr">
        <is>
          <t>N/A</t>
        </is>
      </c>
      <c r="BF184" s="63" t="inlineStr">
        <is>
          <t>N/A</t>
        </is>
      </c>
      <c r="BG184" s="75" t="inlineStr">
        <is>
          <t>GF Capital (Hong Kong) Limited</t>
        </is>
      </c>
      <c r="BH184" s="63" t="inlineStr">
        <is>
          <t>GF Capital (Hong Kong) Limited</t>
        </is>
      </c>
      <c r="BI184" s="63" t="inlineStr">
        <is>
          <t>GF Securities (Hong Kong) Brokerage Limited; First Capital Securities Limited; Maxa Capital Limited; China Everbright Securities (HK) Limited</t>
        </is>
      </c>
      <c r="BJ184" s="63" t="inlineStr">
        <is>
          <t>China Everbright Securities (HK) Limited; First Capital Securities Limited; GF Securities (Hong Kong) Brokerage Limited; Maxa Capital Limited</t>
        </is>
      </c>
      <c r="BK184" s="77">
        <f>HYPERLINK("https://www1.hkexnews.hk/listedco/listconews/sehk/2023/0321/2023032100009.pdf","prospectus")</f>
        <v/>
      </c>
      <c r="BL184" s="77">
        <f>HYPERLINK("https://www1.hkexnews.hk/listedco/listconews/sehk/2023/0330/2023033000098.htm","allotment")</f>
        <v/>
      </c>
      <c r="BM184" s="77">
        <f>HYPERLINK("https://www1.hkexnews.hk/listedco/listconews/sehk/2023/0423/2023042300029.pdf","stabilisation")</f>
        <v/>
      </c>
      <c r="BN184" s="75" t="n"/>
      <c r="BO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1.35</v>
      </c>
      <c r="M185" s="66" t="n">
        <v>1.05</v>
      </c>
      <c r="N185" s="63" t="inlineStr">
        <is>
          <t>N</t>
        </is>
      </c>
      <c r="O185" s="67" t="n">
        <v>77.8</v>
      </c>
      <c r="P185" s="67" t="n"/>
      <c r="Q185" s="68" t="n">
        <v>1200</v>
      </c>
      <c r="R185" s="63" t="inlineStr">
        <is>
          <t>aastocks:上市市值 at the struck price</t>
        </is>
      </c>
      <c r="S185" s="69" t="n">
        <v>6.33</v>
      </c>
      <c r="T185" s="70" t="n">
        <v>6.33</v>
      </c>
      <c r="U185" s="71" t="n">
        <v>48.7</v>
      </c>
      <c r="V185" s="67" t="n">
        <v>11.22</v>
      </c>
      <c r="W185" s="63" t="inlineStr">
        <is>
          <t>ZhongBaoNew materials. Ltd</t>
        </is>
      </c>
      <c r="X185" s="63" t="inlineStr">
        <is>
          <t>zhongbaonew</t>
        </is>
      </c>
      <c r="Y185" s="67" t="n">
        <v>7.8097</v>
      </c>
      <c r="Z185" s="63" t="inlineStr">
        <is>
          <t>lapsed (no over-allocation)</t>
        </is>
      </c>
      <c r="AA185" s="72" t="n">
        <v>-35.24</v>
      </c>
      <c r="AB185" s="73" t="n">
        <v>-38.1</v>
      </c>
      <c r="AC185" s="73" t="n">
        <v>4.62</v>
      </c>
      <c r="AD185" s="73" t="n">
        <v>-36.19</v>
      </c>
      <c r="AE185" s="73" t="n">
        <v>-39.05</v>
      </c>
      <c r="AF185" s="73" t="n">
        <v>-50.48</v>
      </c>
      <c r="AG185" s="73" t="n">
        <v>-1.47</v>
      </c>
      <c r="AH185" s="73" t="n">
        <v>-5.88</v>
      </c>
      <c r="AI185" s="73" t="n">
        <v>-23.53</v>
      </c>
      <c r="AJ185" s="73" t="n">
        <v>-34.63</v>
      </c>
      <c r="AK185" s="73" t="n">
        <v>-33.87</v>
      </c>
      <c r="AL185" s="73" t="n">
        <v>-39.78</v>
      </c>
      <c r="AM185" s="73" t="n">
        <v>0.29</v>
      </c>
      <c r="AN185" s="73" t="n">
        <v>-5.18</v>
      </c>
      <c r="AO185" s="73" t="n">
        <v>-6.17</v>
      </c>
      <c r="AP185" s="63" t="inlineStr">
        <is>
          <t>Hang Seng Commerce &amp; Industry sub-index</t>
        </is>
      </c>
      <c r="AQ185" s="73" t="n">
        <v>-73.81</v>
      </c>
      <c r="AR185" s="64" t="inlineStr">
        <is>
          <t>2026-08-20</t>
        </is>
      </c>
      <c r="AS185" s="65" t="n">
        <v>282.4</v>
      </c>
      <c r="AT185" s="68" t="n">
        <v>-57.2</v>
      </c>
      <c r="AU185" s="63" t="inlineStr">
        <is>
          <t>N</t>
        </is>
      </c>
      <c r="AV185" s="63" t="inlineStr">
        <is>
          <t>n/m</t>
        </is>
      </c>
      <c r="AW185" s="74" t="n"/>
      <c r="AX185" s="74" t="n">
        <v>8</v>
      </c>
      <c r="AY185" s="74" t="n">
        <v>4.2</v>
      </c>
      <c r="AZ185" s="75" t="inlineStr">
        <is>
          <t>N</t>
        </is>
      </c>
      <c r="BA185" s="76">
        <f>IF('BBG Verify'!K185="","not filed — run on terminal",'BBG Verify'!K185)</f>
        <v/>
      </c>
      <c r="BB185" s="63" t="inlineStr">
        <is>
          <t>N/A</t>
        </is>
      </c>
      <c r="BC185" s="63" t="inlineStr">
        <is>
          <t>N/A</t>
        </is>
      </c>
      <c r="BD185" s="63" t="inlineStr">
        <is>
          <t>N/A</t>
        </is>
      </c>
      <c r="BE185" s="63" t="inlineStr">
        <is>
          <t>N/A</t>
        </is>
      </c>
      <c r="BF185" s="63" t="inlineStr">
        <is>
          <t>N/A</t>
        </is>
      </c>
      <c r="BG185" s="75" t="inlineStr">
        <is>
          <t>Soochow Securities International Capital Limited</t>
        </is>
      </c>
      <c r="BH185" s="63" t="inlineStr">
        <is>
          <t>Soochow Securities International Capital Limited</t>
        </is>
      </c>
      <c r="BI185" s="63" t="inlineStr">
        <is>
          <t>Fosun International Securities Limited; VBG Capital Limited; Wealth Link Securities Limited; China Galaxy International Securities (Hong Kong) Co., Limited; Zhongtai International Securities Limited</t>
        </is>
      </c>
      <c r="BJ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7">
        <f>HYPERLINK("https://www1.hkexnews.hk/listedco/listconews/sehk/2023/0321/2023032100050.htm","prospectus")</f>
        <v/>
      </c>
      <c r="BL185" s="77">
        <f>HYPERLINK("https://www1.hkexnews.hk/listedco/listconews/sehk/2023/0330/2023033000220.htm","allotment")</f>
        <v/>
      </c>
      <c r="BM185" s="77">
        <f>HYPERLINK("https://www1.hkexnews.hk/listedco/listconews/sehk/2023/0424/2023042400062.pdf","stabilisation")</f>
        <v/>
      </c>
      <c r="BN185" s="75" t="n"/>
      <c r="BO185"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4977.1</v>
      </c>
      <c r="R186" s="63" t="inlineStr">
        <is>
          <t>derived:deal size / offer % of enlarged capital</t>
        </is>
      </c>
      <c r="S186" s="69" t="n">
        <v>16.57</v>
      </c>
      <c r="T186" s="70" t="n">
        <v>1.51</v>
      </c>
      <c r="U186" s="71" t="n">
        <v>0</v>
      </c>
      <c r="V186" s="67" t="n">
        <v>4.8</v>
      </c>
      <c r="W186" s="63" t="n"/>
      <c r="X186" s="63" t="n"/>
      <c r="Y186" s="67" t="n">
        <v>20</v>
      </c>
      <c r="Z186" s="63" t="inlineStr">
        <is>
          <t>lapsed</t>
        </is>
      </c>
      <c r="AA186" s="72" t="n">
        <v>-12.12</v>
      </c>
      <c r="AB186" s="73" t="n">
        <v>-0.34</v>
      </c>
      <c r="AC186" s="73" t="n">
        <v>-11.82</v>
      </c>
      <c r="AD186" s="73" t="n">
        <v>-52.53</v>
      </c>
      <c r="AE186" s="73" t="n">
        <v>-69.19</v>
      </c>
      <c r="AF186" s="73" t="n">
        <v>-71.08</v>
      </c>
      <c r="AG186" s="73" t="n">
        <v>-45.98</v>
      </c>
      <c r="AH186" s="73" t="n">
        <v>-64.94</v>
      </c>
      <c r="AI186" s="73" t="n">
        <v>-67.09</v>
      </c>
      <c r="AJ186" s="73" t="n">
        <v>-50.87</v>
      </c>
      <c r="AK186" s="73" t="n">
        <v>-63.52</v>
      </c>
      <c r="AL186" s="73" t="n">
        <v>-72.45</v>
      </c>
      <c r="AM186" s="73" t="n">
        <v>-59.32</v>
      </c>
      <c r="AN186" s="73" t="n">
        <v>-5.67</v>
      </c>
      <c r="AO186" s="73" t="n">
        <v>-5.62</v>
      </c>
      <c r="AP186" s="63" t="inlineStr">
        <is>
          <t>HSTECH (Hang Seng TECH ETF)</t>
        </is>
      </c>
      <c r="AQ186" s="73" t="n">
        <v>-89.68000000000001</v>
      </c>
      <c r="AR186" s="64" t="inlineStr">
        <is>
          <t>2026-08-20</t>
        </is>
      </c>
      <c r="AS186" s="65" t="n">
        <v>612</v>
      </c>
      <c r="AT186" s="68" t="n">
        <v>-1034.2</v>
      </c>
      <c r="AU186" s="63" t="inlineStr">
        <is>
          <t>N</t>
        </is>
      </c>
      <c r="AV186" s="63" t="inlineStr">
        <is>
          <t>n/m</t>
        </is>
      </c>
      <c r="AW186" s="74" t="n"/>
      <c r="AX186" s="74" t="n"/>
      <c r="AY186" s="74" t="n">
        <v>8.1</v>
      </c>
      <c r="AZ186" s="75" t="inlineStr">
        <is>
          <t>N</t>
        </is>
      </c>
      <c r="BA186" s="76">
        <f>IF('BBG Verify'!K186="","not filed — run on terminal",'BBG Verify'!K186)</f>
        <v/>
      </c>
      <c r="BB186" s="63" t="inlineStr">
        <is>
          <t>N/A</t>
        </is>
      </c>
      <c r="BC186" s="63" t="inlineStr">
        <is>
          <t>N/A</t>
        </is>
      </c>
      <c r="BD186" s="63" t="inlineStr">
        <is>
          <t>N/A</t>
        </is>
      </c>
      <c r="BE186" s="63" t="inlineStr">
        <is>
          <t>N/A</t>
        </is>
      </c>
      <c r="BF186" s="63" t="inlineStr">
        <is>
          <t>N/A</t>
        </is>
      </c>
      <c r="BG186" s="75" t="inlineStr">
        <is>
          <t>Sponsor-overall Coordinators and Overall Coordinators Morgan Stanley Asia Limited; China International Capital Corporation Hong Kong Securities Limited</t>
        </is>
      </c>
      <c r="BH186" s="63" t="inlineStr">
        <is>
          <t>China International Capital Corporation Hong Kong Securities Limited; Morgan Stanley Asia Limited</t>
        </is>
      </c>
      <c r="BI186" s="63"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3" t="inlineStr">
        <is>
          <t>China International Capital Corporation Hong Kong Securities Limited; Futu Securities International (Hong Kong) Limited; Morgan Stanley Asia Limited; Silverbricks Securities Company Limited; Tiger Brokers (HK) Global Limited</t>
        </is>
      </c>
      <c r="BK186" s="77">
        <f>HYPERLINK("https://www1.hkexnews.hk/listedco/listconews/sehk/2023/0330/2023033000324.htm","prospectus")</f>
        <v/>
      </c>
      <c r="BL186" s="77">
        <f>HYPERLINK("https://www1.hkexnews.hk/listedco/listconews/sehk/2023/0412/2023041200010.htm","allotment")</f>
        <v/>
      </c>
      <c r="BM186" s="77">
        <f>HYPERLINK("https://www1.hkexnews.hk/listedco/listconews/sehk/2023/0504/2023050401929.pdf","stabilisation")</f>
        <v/>
      </c>
      <c r="BN186" s="75" t="n"/>
      <c r="BO186" s="63" t="inlineStr">
        <is>
          <t>P/E: n/m — loss-making at IPO (use P/S) · range low: cap-only pricing — the filing publishes a Maximum Offer Price and no indicative floor · A/H: no A-share listing · cornerstone list: no cornerstone tranche in this deal</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v>0</v>
      </c>
      <c r="V187" s="67" t="n">
        <v>13.66</v>
      </c>
      <c r="W187" s="63" t="n"/>
      <c r="X187" s="63" t="n"/>
      <c r="Y187" s="67" t="n">
        <v>5.3</v>
      </c>
      <c r="Z187" s="63" t="inlineStr">
        <is>
          <t>lapsed</t>
        </is>
      </c>
      <c r="AA187" s="72" t="n">
        <v>-17.93</v>
      </c>
      <c r="AB187" s="73" t="n">
        <v>-16.82</v>
      </c>
      <c r="AC187" s="73" t="n">
        <v>-1.33</v>
      </c>
      <c r="AD187" s="73" t="n">
        <v>-15.9</v>
      </c>
      <c r="AE187" s="73" t="n">
        <v>-34.1</v>
      </c>
      <c r="AF187" s="73" t="n">
        <v>-12.38</v>
      </c>
      <c r="AG187" s="73" t="n">
        <v>2.47</v>
      </c>
      <c r="AH187" s="73" t="n">
        <v>-19.7</v>
      </c>
      <c r="AI187" s="73" t="n">
        <v>6.76</v>
      </c>
      <c r="AJ187" s="73" t="n">
        <v>-16.15</v>
      </c>
      <c r="AK187" s="73" t="n">
        <v>-26.77</v>
      </c>
      <c r="AL187" s="73" t="n">
        <v>-16.74</v>
      </c>
      <c r="AM187" s="73" t="n">
        <v>-12.63</v>
      </c>
      <c r="AN187" s="73" t="n">
        <v>-7.33</v>
      </c>
      <c r="AO187" s="73" t="n">
        <v>-7.07</v>
      </c>
      <c r="AP187" s="63" t="inlineStr">
        <is>
          <t>Hang Seng Commerce &amp; Industry sub-index</t>
        </is>
      </c>
      <c r="AQ187" s="73" t="n">
        <v>-28.05</v>
      </c>
      <c r="AR187" s="64" t="inlineStr">
        <is>
          <t>2026-08-20</t>
        </is>
      </c>
      <c r="AS187" s="65" t="n">
        <v>6441.5</v>
      </c>
      <c r="AT187" s="68" t="n">
        <v>572.1</v>
      </c>
      <c r="AU187" s="63" t="inlineStr">
        <is>
          <t>Y</t>
        </is>
      </c>
      <c r="AV187" s="74" t="n">
        <v>67.90000000000001</v>
      </c>
      <c r="AW187" s="74" t="n">
        <v>17.5</v>
      </c>
      <c r="AX187" s="74" t="n">
        <v>42.9</v>
      </c>
      <c r="AY187" s="74" t="n">
        <v>6</v>
      </c>
      <c r="AZ187" s="75" t="inlineStr">
        <is>
          <t>N</t>
        </is>
      </c>
      <c r="BA187" s="76">
        <f>IF('BBG Verify'!K187="","not filed — run on terminal",'BBG Verify'!K187)</f>
        <v/>
      </c>
      <c r="BB187" s="63" t="inlineStr">
        <is>
          <t>N/A</t>
        </is>
      </c>
      <c r="BC187" s="63" t="inlineStr">
        <is>
          <t>N/A</t>
        </is>
      </c>
      <c r="BD187" s="63" t="inlineStr">
        <is>
          <t>N/A</t>
        </is>
      </c>
      <c r="BE187" s="63" t="inlineStr">
        <is>
          <t>N/A</t>
        </is>
      </c>
      <c r="BF187" s="63" t="inlineStr">
        <is>
          <t>N/A</t>
        </is>
      </c>
      <c r="BG187" s="75" t="inlineStr">
        <is>
          <t>Goldman Sachs (Asia) L.L.C; China Securities (International) Corporate Finance Company Limited</t>
        </is>
      </c>
      <c r="BH187" s="63" t="inlineStr">
        <is>
          <t>Goldman Sachs (Asia) L.L.C.; China Securities (International) Corporate Finance Company Limited</t>
        </is>
      </c>
      <c r="BI187" s="63" t="inlineStr">
        <is>
          <t>Goldman Sachs (Asia) L.L.C; China Securities (International) Corporate Finance Company Limited; Central, Hong Kong China International Capital Corporation Hong Kong Securities Limited; Central, Hong Kong KKR Capital Markets Asia Limited</t>
        </is>
      </c>
      <c r="BJ187" s="63" t="inlineStr">
        <is>
          <t>China International Capital Corporation Hong Kong Securities Limited; China Securities (International) Corporate Finance Company Limited; Goldman Sachs (Asia) L.L.C.</t>
        </is>
      </c>
      <c r="BK187" s="77">
        <f>HYPERLINK("https://www1.hkexnews.hk/listedco/listconews/sehk/2023/0417/2023041700044.htm","prospectus")</f>
        <v/>
      </c>
      <c r="BL187" s="77">
        <f>HYPERLINK("https://www1.hkexnews.hk/listedco/listconews/sehk/2023/0426/2023042600060.htm","allotment")</f>
        <v/>
      </c>
      <c r="BM187" s="77">
        <f>HYPERLINK("https://www1.hkexnews.hk/listedco/listconews/sehk/2023/0525/2023052500386.pdf","stabilisation")</f>
        <v/>
      </c>
      <c r="BN187" s="75" t="n"/>
      <c r="BO18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c r="L188" s="66" t="n">
        <v>10.16</v>
      </c>
      <c r="M188" s="66" t="n">
        <v>9.1</v>
      </c>
      <c r="N188" s="63" t="inlineStr">
        <is>
          <t>N</t>
        </is>
      </c>
      <c r="O188" s="67" t="n">
        <v>89.59999999999999</v>
      </c>
      <c r="P188" s="67" t="n"/>
      <c r="Q188" s="68" t="n">
        <v>6101.8</v>
      </c>
      <c r="R188" s="63" t="inlineStr">
        <is>
          <t>aastocks:上市市值 at the struck price</t>
        </is>
      </c>
      <c r="S188" s="69" t="n">
        <v>9.85</v>
      </c>
      <c r="T188" s="70" t="n">
        <v>1.47</v>
      </c>
      <c r="U188" s="71" t="n">
        <v>20.1</v>
      </c>
      <c r="V188" s="67" t="n">
        <v>7.96</v>
      </c>
      <c r="W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3" t="inlineStr">
        <is>
          <t>anji;gf;harvest</t>
        </is>
      </c>
      <c r="Y188" s="67" t="n">
        <v>10.82</v>
      </c>
      <c r="Z188" s="63" t="n"/>
      <c r="AA188" s="72" t="n">
        <v>1.1</v>
      </c>
      <c r="AB188" s="73" t="n">
        <v>-2.75</v>
      </c>
      <c r="AC188" s="73" t="n">
        <v>3.96</v>
      </c>
      <c r="AD188" s="73" t="n">
        <v>-5.49</v>
      </c>
      <c r="AE188" s="73" t="n">
        <v>2.64</v>
      </c>
      <c r="AF188" s="73" t="n">
        <v>-15.16</v>
      </c>
      <c r="AG188" s="73" t="n">
        <v>-6.52</v>
      </c>
      <c r="AH188" s="73" t="n">
        <v>1.52</v>
      </c>
      <c r="AI188" s="73" t="n">
        <v>-16.08</v>
      </c>
      <c r="AJ188" s="73" t="n">
        <v>-5.78</v>
      </c>
      <c r="AK188" s="73" t="n">
        <v>8.73</v>
      </c>
      <c r="AL188" s="73" t="n">
        <v>-8.449999999999999</v>
      </c>
      <c r="AM188" s="73" t="n">
        <v>8.359999999999999</v>
      </c>
      <c r="AN188" s="73" t="n">
        <v>-6.09</v>
      </c>
      <c r="AO188" s="73" t="n">
        <v>-6.84</v>
      </c>
      <c r="AP188" s="63" t="inlineStr">
        <is>
          <t>China Biotech ETF (HS biotech proxy)</t>
        </is>
      </c>
      <c r="AQ188" s="73" t="n">
        <v>-91.31999999999999</v>
      </c>
      <c r="AR188" s="64" t="inlineStr">
        <is>
          <t>2026-08-20</t>
        </is>
      </c>
      <c r="AS188" s="65" t="n">
        <v>383.8</v>
      </c>
      <c r="AT188" s="68" t="n">
        <v>-109.9</v>
      </c>
      <c r="AU188" s="63" t="inlineStr">
        <is>
          <t>N</t>
        </is>
      </c>
      <c r="AV188" s="63" t="inlineStr">
        <is>
          <t>n/m</t>
        </is>
      </c>
      <c r="AW188" s="74" t="n"/>
      <c r="AX188" s="74" t="n">
        <v>19.5</v>
      </c>
      <c r="AY188" s="74" t="n">
        <v>15.9</v>
      </c>
      <c r="AZ188" s="75" t="inlineStr">
        <is>
          <t>N</t>
        </is>
      </c>
      <c r="BA188" s="76">
        <f>IF('BBG Verify'!K188="","not filed — run on terminal",'BBG Verify'!K188)</f>
        <v/>
      </c>
      <c r="BB188" s="63" t="inlineStr">
        <is>
          <t>N/A</t>
        </is>
      </c>
      <c r="BC188" s="63" t="inlineStr">
        <is>
          <t>N/A</t>
        </is>
      </c>
      <c r="BD188" s="63" t="inlineStr">
        <is>
          <t>N/A</t>
        </is>
      </c>
      <c r="BE188" s="63" t="inlineStr">
        <is>
          <t>N/A</t>
        </is>
      </c>
      <c r="BF188" s="63" t="inlineStr">
        <is>
          <t>N/A</t>
        </is>
      </c>
      <c r="BG188" s="75" t="inlineStr">
        <is>
          <t>China International Capital Corporation Hong Kong Securities Limited; Macquarie Capital Limited</t>
        </is>
      </c>
      <c r="BH188" s="63" t="inlineStr">
        <is>
          <t>China International Capital Corporation Hong Kong Securities Limited; Macquarie Capital Limited</t>
        </is>
      </c>
      <c r="BI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7">
        <f>HYPERLINK("https://www1.hkexnews.hk/listedco/listconews/sehk/2023/0417/2023041700009.pdf","prospectus")</f>
        <v/>
      </c>
      <c r="BL188" s="77">
        <f>HYPERLINK("https://www1.hkexnews.hk/listedco/listconews/sehk/2023/0426/2023042600046.htm","allotment")</f>
        <v/>
      </c>
      <c r="BM188" s="63" t="n"/>
      <c r="BN188" s="75" t="n"/>
      <c r="BO188" s="63"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51.1</v>
      </c>
      <c r="J189" s="63" t="inlineStr">
        <is>
          <t>net proceeds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7" t="n">
        <v>0.34</v>
      </c>
      <c r="W189" s="63" t="inlineStr">
        <is>
          <t>Harvest International Premium Value (Secondary Market) Fund SPC</t>
        </is>
      </c>
      <c r="X189" s="63" t="inlineStr">
        <is>
          <t>harvest</t>
        </is>
      </c>
      <c r="Y189" s="67" t="n">
        <v>11.2</v>
      </c>
      <c r="Z189" s="63" t="inlineStr">
        <is>
          <t>lapsed</t>
        </is>
      </c>
      <c r="AA189" s="72" t="n">
        <v>-32.93</v>
      </c>
      <c r="AB189" s="73" t="n">
        <v>-3.96</v>
      </c>
      <c r="AC189" s="73" t="n">
        <v>-30.16</v>
      </c>
      <c r="AD189" s="73" t="n">
        <v>-30.95</v>
      </c>
      <c r="AE189" s="73" t="n">
        <v>1.98</v>
      </c>
      <c r="AF189" s="73" t="n">
        <v>-3.51</v>
      </c>
      <c r="AG189" s="73" t="n">
        <v>2.95</v>
      </c>
      <c r="AH189" s="73" t="n">
        <v>52.05</v>
      </c>
      <c r="AI189" s="73" t="n">
        <v>43.86</v>
      </c>
      <c r="AJ189" s="73" t="n">
        <v>-29.01</v>
      </c>
      <c r="AK189" s="73" t="n">
        <v>10.5</v>
      </c>
      <c r="AL189" s="73" t="n">
        <v>9.609999999999999</v>
      </c>
      <c r="AM189" s="73" t="n">
        <v>60.28</v>
      </c>
      <c r="AN189" s="73" t="n">
        <v>-8.52</v>
      </c>
      <c r="AO189" s="73" t="n">
        <v>-8.23</v>
      </c>
      <c r="AP189" s="63" t="inlineStr">
        <is>
          <t>China Biotech ETF (HS biotech proxy)</t>
        </is>
      </c>
      <c r="AQ189" s="73" t="n">
        <v>-60.06</v>
      </c>
      <c r="AR189" s="64" t="inlineStr">
        <is>
          <t>2026-08-21</t>
        </is>
      </c>
      <c r="AS189" s="65" t="n">
        <v>0</v>
      </c>
      <c r="AT189" s="68" t="n">
        <v>-797.7</v>
      </c>
      <c r="AU189" s="63" t="inlineStr">
        <is>
          <t>N</t>
        </is>
      </c>
      <c r="AV189" s="63" t="inlineStr">
        <is>
          <t>n/m</t>
        </is>
      </c>
      <c r="AW189" s="74" t="n"/>
      <c r="AX189" s="74" t="n"/>
      <c r="AY189" s="63" t="inlineStr">
        <is>
          <t>pre-rev</t>
        </is>
      </c>
      <c r="AZ189" s="75" t="inlineStr">
        <is>
          <t>N</t>
        </is>
      </c>
      <c r="BA189" s="76">
        <f>IF('BBG Verify'!K189="","not filed — run on terminal",'BBG Verify'!K189)</f>
        <v/>
      </c>
      <c r="BB189" s="63" t="inlineStr">
        <is>
          <t>N/A</t>
        </is>
      </c>
      <c r="BC189" s="63" t="inlineStr">
        <is>
          <t>N/A</t>
        </is>
      </c>
      <c r="BD189" s="63" t="inlineStr">
        <is>
          <t>N/A</t>
        </is>
      </c>
      <c r="BE189" s="63" t="inlineStr">
        <is>
          <t>N/A</t>
        </is>
      </c>
      <c r="BF189" s="63" t="inlineStr">
        <is>
          <t>N/A</t>
        </is>
      </c>
      <c r="BG189" s="75" t="inlineStr">
        <is>
          <t>China International Capital Corporation Hong Kong Securities Limited</t>
        </is>
      </c>
      <c r="BH189" s="63" t="inlineStr">
        <is>
          <t>China International Capital Corporation Hong Kong Securities Limited</t>
        </is>
      </c>
      <c r="BI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7">
        <f>HYPERLINK("https://www1.hkexnews.hk/listedco/listconews/sehk/2023/0425/2023042500039.pdf","prospectus")</f>
        <v/>
      </c>
      <c r="BL189" s="77">
        <f>HYPERLINK("https://www1.hkexnews.hk/listedco/listconews/sehk/2023/0505/2023050500008.htm","allotment")</f>
        <v/>
      </c>
      <c r="BM189" s="77">
        <f>HYPERLINK("https://www1.hkexnews.hk/listedco/listconews/sehk/2023/0528/2023052800097.pdf","stabilisation")</f>
        <v/>
      </c>
      <c r="BN189" s="75" t="n"/>
      <c r="BO189"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no revenue line in the filed P&amp;L (pre-revenue issuer) — no sales multiple can exist; the cell reads pre-rev, not blank · deal size: stated gross HK$39.5m rejected — below the deal's own net proceeds HK$51.1m, which cannot happen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c r="L190" s="66" t="n">
        <v>1.38</v>
      </c>
      <c r="M190" s="66" t="n">
        <v>1.28</v>
      </c>
      <c r="N190" s="63" t="inlineStr">
        <is>
          <t>N</t>
        </is>
      </c>
      <c r="O190" s="67" t="n">
        <v>92.8</v>
      </c>
      <c r="P190" s="67" t="n"/>
      <c r="Q190" s="68" t="n">
        <v>560</v>
      </c>
      <c r="R190" s="63" t="inlineStr">
        <is>
          <t>aastocks:上市市值 at the struck price</t>
        </is>
      </c>
      <c r="S190" s="69" t="n">
        <v>17.27</v>
      </c>
      <c r="T190" s="70" t="n">
        <v>1.05</v>
      </c>
      <c r="U190" s="71" t="n">
        <v>0</v>
      </c>
      <c r="V190" s="67" t="n">
        <v>23.32</v>
      </c>
      <c r="W190" s="63" t="n"/>
      <c r="X190" s="63" t="n"/>
      <c r="Y190" s="67" t="n">
        <v>15</v>
      </c>
      <c r="Z190" s="63" t="inlineStr">
        <is>
          <t>lapsed (no over-allocation)</t>
        </is>
      </c>
      <c r="AA190" s="72" t="n">
        <v>-23.44</v>
      </c>
      <c r="AB190" s="73" t="n">
        <v>-32.03</v>
      </c>
      <c r="AC190" s="73" t="n">
        <v>12.64</v>
      </c>
      <c r="AD190" s="73" t="n">
        <v>20.31</v>
      </c>
      <c r="AE190" s="73" t="n">
        <v>26.56</v>
      </c>
      <c r="AF190" s="73" t="n">
        <v>-21.09</v>
      </c>
      <c r="AG190" s="73" t="n">
        <v>57.14</v>
      </c>
      <c r="AH190" s="73" t="n">
        <v>65.31</v>
      </c>
      <c r="AI190" s="73" t="n">
        <v>3.07</v>
      </c>
      <c r="AJ190" s="73" t="n">
        <v>20.66</v>
      </c>
      <c r="AK190" s="73" t="n">
        <v>30.9</v>
      </c>
      <c r="AL190" s="73" t="n">
        <v>-21.01</v>
      </c>
      <c r="AM190" s="73" t="n">
        <v>67.06</v>
      </c>
      <c r="AN190" s="73" t="n">
        <v>-4.34</v>
      </c>
      <c r="AO190" s="73" t="n">
        <v>-1.75</v>
      </c>
      <c r="AP190" s="63" t="inlineStr">
        <is>
          <t>Hang Seng Commerce &amp; Industry sub-index</t>
        </is>
      </c>
      <c r="AQ190" s="73" t="n">
        <v>7157.81</v>
      </c>
      <c r="AR190" s="64" t="inlineStr">
        <is>
          <t>2026-08-20</t>
        </is>
      </c>
      <c r="AS190" s="65" t="n">
        <v>240.5</v>
      </c>
      <c r="AT190" s="68" t="n">
        <v>28.8</v>
      </c>
      <c r="AU190" s="63" t="inlineStr">
        <is>
          <t>Y</t>
        </is>
      </c>
      <c r="AV190" s="74" t="n">
        <v>19.4</v>
      </c>
      <c r="AW190" s="74" t="n"/>
      <c r="AX190" s="74" t="n"/>
      <c r="AY190" s="74" t="n">
        <v>2.3</v>
      </c>
      <c r="AZ190" s="75" t="inlineStr">
        <is>
          <t>N</t>
        </is>
      </c>
      <c r="BA190" s="76">
        <f>IF('BBG Verify'!K190="","not filed — run on terminal",'BBG Verify'!K190)</f>
        <v/>
      </c>
      <c r="BB190" s="63" t="inlineStr">
        <is>
          <t>N/A</t>
        </is>
      </c>
      <c r="BC190" s="63" t="inlineStr">
        <is>
          <t>N/A</t>
        </is>
      </c>
      <c r="BD190" s="63" t="inlineStr">
        <is>
          <t>N/A</t>
        </is>
      </c>
      <c r="BE190" s="63" t="inlineStr">
        <is>
          <t>N/A</t>
        </is>
      </c>
      <c r="BF190" s="63" t="inlineStr">
        <is>
          <t>N/A</t>
        </is>
      </c>
      <c r="BG190" s="75" t="n"/>
      <c r="BH190" s="63" t="inlineStr">
        <is>
          <t>Grande Capital Limited</t>
        </is>
      </c>
      <c r="BI190" s="63" t="inlineStr">
        <is>
          <t>Astrum Capital Management Limited; Beta International Securities Limited; CMBC Securities Company Limited; Eddid Securities and Futures Limited; Grande Capital Limited; Head &amp; Shoulders Securities Limited</t>
        </is>
      </c>
      <c r="BJ190" s="63" t="inlineStr">
        <is>
          <t>Astrum Capital Management Limited; Beta International Securities Limited; CMBC Securities Company Limited; Eddid Securities and Futures Limited; Grande Capital Limited; Head &amp; Shoulders Securities Limited; Maxa Capital Limited</t>
        </is>
      </c>
      <c r="BK190" s="77">
        <f>HYPERLINK("https://www1.hkexnews.hk/listedco/listconews/sehk/2023/0425/2023042500029.pdf","prospectus")</f>
        <v/>
      </c>
      <c r="BL190" s="77">
        <f>HYPERLINK("https://www1.hkexnews.hk/listedco/listconews/sehk/2023/0508/2023050800004.htm","allotment")</f>
        <v/>
      </c>
      <c r="BM190" s="77">
        <f>HYPERLINK("https://www1.hkexnews.hk/listedco/listconews/sehk/2023/0529/2023052900093.pdf","stabilisation")</f>
        <v/>
      </c>
      <c r="BN190" s="75" t="n"/>
      <c r="BO190" s="63"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c r="L191" s="66" t="n">
        <v>11.8</v>
      </c>
      <c r="M191" s="66" t="n">
        <v>10.6</v>
      </c>
      <c r="N191" s="63" t="inlineStr">
        <is>
          <t>N</t>
        </is>
      </c>
      <c r="O191" s="67" t="n">
        <v>89.8</v>
      </c>
      <c r="P191" s="67" t="n"/>
      <c r="Q191" s="68" t="n">
        <v>1327.1</v>
      </c>
      <c r="R191" s="63" t="inlineStr">
        <is>
          <t>prospectus:stated market capitalisation</t>
        </is>
      </c>
      <c r="S191" s="69" t="n">
        <v>2.2</v>
      </c>
      <c r="T191" s="70" t="n">
        <v>1.2</v>
      </c>
      <c r="U191" s="71" t="n">
        <v>0</v>
      </c>
      <c r="V191" s="67" t="n">
        <v>19.97</v>
      </c>
      <c r="W191" s="63" t="n"/>
      <c r="X191" s="63" t="n"/>
      <c r="Y191" s="67" t="n">
        <v>11.98</v>
      </c>
      <c r="Z191" s="63" t="inlineStr">
        <is>
          <t>lapsed</t>
        </is>
      </c>
      <c r="AA191" s="72" t="n">
        <v>-24.62</v>
      </c>
      <c r="AB191" s="73" t="n">
        <v>-1.89</v>
      </c>
      <c r="AC191" s="73" t="n">
        <v>-23.17</v>
      </c>
      <c r="AD191" s="73" t="n">
        <v>-29.25</v>
      </c>
      <c r="AE191" s="73" t="n">
        <v>-43.68</v>
      </c>
      <c r="AF191" s="73" t="n">
        <v>-50</v>
      </c>
      <c r="AG191" s="73" t="n">
        <v>-6.14</v>
      </c>
      <c r="AH191" s="73" t="n">
        <v>-25.29</v>
      </c>
      <c r="AI191" s="73" t="n">
        <v>-33.67</v>
      </c>
      <c r="AJ191" s="73" t="n">
        <v>-29.07</v>
      </c>
      <c r="AK191" s="73" t="n">
        <v>-41.87</v>
      </c>
      <c r="AL191" s="73" t="n">
        <v>-46.52</v>
      </c>
      <c r="AM191" s="73" t="n">
        <v>-23.57</v>
      </c>
      <c r="AN191" s="73" t="n">
        <v>-1.81</v>
      </c>
      <c r="AO191" s="73" t="n">
        <v>-1.72</v>
      </c>
      <c r="AP191" s="63" t="inlineStr">
        <is>
          <t>Hang Seng Index</t>
        </is>
      </c>
      <c r="AQ191" s="73" t="n">
        <v>-58.58</v>
      </c>
      <c r="AR191" s="64" t="inlineStr">
        <is>
          <t>2026-08-20</t>
        </is>
      </c>
      <c r="AS191" s="65" t="n">
        <v>679.9</v>
      </c>
      <c r="AT191" s="68" t="n">
        <v>58</v>
      </c>
      <c r="AU191" s="63" t="inlineStr">
        <is>
          <t>Y</t>
        </is>
      </c>
      <c r="AV191" s="74" t="n">
        <v>22.9</v>
      </c>
      <c r="AW191" s="74" t="n"/>
      <c r="AX191" s="74" t="n">
        <v>19.6</v>
      </c>
      <c r="AY191" s="74" t="n">
        <v>2</v>
      </c>
      <c r="AZ191" s="75" t="inlineStr">
        <is>
          <t>N</t>
        </is>
      </c>
      <c r="BA191" s="76">
        <f>IF('BBG Verify'!K191="","not filed — run on terminal",'BBG Verify'!K191)</f>
        <v/>
      </c>
      <c r="BB191" s="63" t="inlineStr">
        <is>
          <t>N/A</t>
        </is>
      </c>
      <c r="BC191" s="63" t="inlineStr">
        <is>
          <t>N/A</t>
        </is>
      </c>
      <c r="BD191" s="63" t="inlineStr">
        <is>
          <t>N/A</t>
        </is>
      </c>
      <c r="BE191" s="63" t="inlineStr">
        <is>
          <t>N/A</t>
        </is>
      </c>
      <c r="BF191" s="63" t="inlineStr">
        <is>
          <t>N/A</t>
        </is>
      </c>
      <c r="BG191" s="75" t="inlineStr">
        <is>
          <t>Jefferies Hong Kong Limited; Guotai Junan Capital Limited</t>
        </is>
      </c>
      <c r="BH191" s="63" t="inlineStr">
        <is>
          <t>Jefferies Hong Kong Limited; Guotai Junan Capital Limited</t>
        </is>
      </c>
      <c r="BI191" s="63" t="inlineStr">
        <is>
          <t>Jefferies Hong Kong Limited; Guotai Junan Securities (Hong Kong) Limited; CCB International Capital Limited; CMB Int ernational Capital Limited; ABCI Capital Limited; SPDB International Capital Limited</t>
        </is>
      </c>
      <c r="BJ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7">
        <f>HYPERLINK("https://www1.hkexnews.hk/listedco/listconews/sehk/2023/0428/2023042800147.pdf","prospectus")</f>
        <v/>
      </c>
      <c r="BL191" s="77">
        <f>HYPERLINK("https://www1.hkexnews.hk/listedco/listconews/sehk/2023/0510/2023051000024.htm","allotment")</f>
        <v/>
      </c>
      <c r="BM191" s="77">
        <f>HYPERLINK("https://www1.hkexnews.hk/listedco/listconews/sehk/2023/0604/2023060400005.pdf","stabilisation")</f>
        <v/>
      </c>
      <c r="BN191" s="75" t="n"/>
      <c r="BO191" s="63" t="inlineStr">
        <is>
          <t>range low: cap-only pricing — the filing publishes a Maximum Offer Price and no indicative floor · A/H: no A-share listing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c r="L192" s="66" t="n">
        <v>4.8</v>
      </c>
      <c r="M192" s="66" t="n">
        <v>4.52</v>
      </c>
      <c r="N192" s="63" t="inlineStr">
        <is>
          <t>N</t>
        </is>
      </c>
      <c r="O192" s="67" t="n">
        <v>94.2</v>
      </c>
      <c r="P192" s="67" t="n"/>
      <c r="Q192" s="68" t="n">
        <v>12778.3</v>
      </c>
      <c r="R192" s="63" t="inlineStr">
        <is>
          <t>derived:deal size / offer % of enlarged capital</t>
        </is>
      </c>
      <c r="S192" s="69" t="n">
        <v>0.12</v>
      </c>
      <c r="T192" s="70" t="n">
        <v>1.47</v>
      </c>
      <c r="U192" s="71" t="n">
        <v>23.7</v>
      </c>
      <c r="V192" s="67" t="n">
        <v>9.84</v>
      </c>
      <c r="W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3" t="inlineStr">
        <is>
          <t>dongbin;lgmg;shanghai-gold;shanghai-putuo;xinheng;zhejiang;zoomlion</t>
        </is>
      </c>
      <c r="Y192" s="67" t="n">
        <v>5.52</v>
      </c>
      <c r="Z192" s="63" t="inlineStr">
        <is>
          <t>lapsed (no over-allocation)</t>
        </is>
      </c>
      <c r="AA192" s="72" t="n">
        <v>-28.98</v>
      </c>
      <c r="AB192" s="73" t="n">
        <v>-27.88</v>
      </c>
      <c r="AC192" s="73" t="n">
        <v>-1.53</v>
      </c>
      <c r="AD192" s="73" t="n">
        <v>-41.37</v>
      </c>
      <c r="AE192" s="73" t="n">
        <v>-44.69</v>
      </c>
      <c r="AF192" s="73" t="n">
        <v>-36.95</v>
      </c>
      <c r="AG192" s="73" t="n">
        <v>-17.45</v>
      </c>
      <c r="AH192" s="73" t="n">
        <v>-22.12</v>
      </c>
      <c r="AI192" s="73" t="n">
        <v>-11.22</v>
      </c>
      <c r="AJ192" s="73" t="n">
        <v>-40.72</v>
      </c>
      <c r="AK192" s="73" t="n">
        <v>-45.27</v>
      </c>
      <c r="AL192" s="73" t="n">
        <v>-35.49</v>
      </c>
      <c r="AM192" s="73" t="n">
        <v>-25.1</v>
      </c>
      <c r="AN192" s="73" t="n">
        <v>0.58</v>
      </c>
      <c r="AO192" s="73" t="n">
        <v>2.98</v>
      </c>
      <c r="AP192" s="63" t="inlineStr">
        <is>
          <t>Hang Seng Commerce &amp; Industry sub-index</t>
        </is>
      </c>
      <c r="AQ192" s="73" t="n">
        <v>-82.73999999999999</v>
      </c>
      <c r="AR192" s="64" t="inlineStr">
        <is>
          <t>2026-08-20</t>
        </is>
      </c>
      <c r="AS192" s="65" t="n">
        <v>8665.4</v>
      </c>
      <c r="AT192" s="68" t="n">
        <v>733.2</v>
      </c>
      <c r="AU192" s="63" t="inlineStr">
        <is>
          <t>Y</t>
        </is>
      </c>
      <c r="AV192" s="74" t="n">
        <v>17.4</v>
      </c>
      <c r="AW192" s="74" t="n">
        <v>12.4</v>
      </c>
      <c r="AX192" s="74" t="n">
        <v>14.7</v>
      </c>
      <c r="AY192" s="74" t="n">
        <v>1.5</v>
      </c>
      <c r="AZ192" s="75" t="inlineStr">
        <is>
          <t>N</t>
        </is>
      </c>
      <c r="BA192" s="76">
        <f>IF('BBG Verify'!K192="","not filed — run on terminal",'BBG Verify'!K192)</f>
        <v/>
      </c>
      <c r="BB192" s="63" t="inlineStr">
        <is>
          <t>N/A</t>
        </is>
      </c>
      <c r="BC192" s="63" t="inlineStr">
        <is>
          <t>N/A</t>
        </is>
      </c>
      <c r="BD192" s="63" t="inlineStr">
        <is>
          <t>N/A</t>
        </is>
      </c>
      <c r="BE192" s="63" t="inlineStr">
        <is>
          <t>N/A</t>
        </is>
      </c>
      <c r="BF192" s="63" t="inlineStr">
        <is>
          <t>N/A</t>
        </is>
      </c>
      <c r="BG192" s="75" t="inlineStr">
        <is>
          <t>and Sponsor-OCs Huatai Financial Holdings (Hong Kong) Limited; Citigroup Global Markets Asia Limited; CMB International Capital Limited; DBS Asia Capital Limited</t>
        </is>
      </c>
      <c r="BH192" s="63" t="inlineStr">
        <is>
          <t>Huatai Financial Holdings (Hong Kong) Limited; CMB International Capital Limited; Citigroup Global Markets Asia Limited; DBS Asia Capital Limited</t>
        </is>
      </c>
      <c r="BI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7">
        <f>HYPERLINK("https://www1.hkexnews.hk/listedco/listconews/sehk/2023/0512/2023051200007.pdf","prospectus")</f>
        <v/>
      </c>
      <c r="BL192" s="77">
        <f>HYPERLINK("https://www1.hkexnews.hk/listedco/listconews/sehk/2023/0524/2023052400046.htm","allotment")</f>
        <v/>
      </c>
      <c r="BM192" s="77">
        <f>HYPERLINK("https://www1.hkexnews.hk/listedco/listconews/sehk/2023/0619/2023061900189.pdf","stabilisation")</f>
        <v/>
      </c>
      <c r="BN192" s="75" t="n"/>
      <c r="BO192" s="63"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97</v>
      </c>
      <c r="J193" s="63" t="inlineStr">
        <is>
          <t>net proceeds</t>
        </is>
      </c>
      <c r="K193" s="66" t="n">
        <v>10</v>
      </c>
      <c r="L193" s="66" t="n">
        <v>12</v>
      </c>
      <c r="M193" s="66" t="n">
        <v>10.19</v>
      </c>
      <c r="N193" s="63" t="inlineStr">
        <is>
          <t>N</t>
        </is>
      </c>
      <c r="O193" s="67" t="n">
        <v>84.90000000000001</v>
      </c>
      <c r="P193" s="67" t="n">
        <v>9.5</v>
      </c>
      <c r="Q193" s="68" t="n">
        <v>5742.6</v>
      </c>
      <c r="R193" s="63" t="inlineStr">
        <is>
          <t>prospectus:stated market capitalisation</t>
        </is>
      </c>
      <c r="S193" s="69" t="n">
        <v>0.35</v>
      </c>
      <c r="T193" s="70" t="n">
        <v>1.2</v>
      </c>
      <c r="U193" s="71" t="n">
        <v>26.76</v>
      </c>
      <c r="V193" s="67" t="n">
        <v>1.24</v>
      </c>
      <c r="W193" s="63" t="inlineStr">
        <is>
          <t>Orinno Investment</t>
        </is>
      </c>
      <c r="X193" s="63" t="inlineStr">
        <is>
          <t>orinno</t>
        </is>
      </c>
      <c r="Y193" s="67" t="n">
        <v>5.34</v>
      </c>
      <c r="Z193" s="63" t="inlineStr">
        <is>
          <t>lapsed (no over-allocation)</t>
        </is>
      </c>
      <c r="AA193" s="72" t="n">
        <v>-3.04</v>
      </c>
      <c r="AB193" s="73" t="n">
        <v>-7.16</v>
      </c>
      <c r="AC193" s="73" t="n">
        <v>4.44</v>
      </c>
      <c r="AD193" s="73" t="n">
        <v>7.95</v>
      </c>
      <c r="AE193" s="73" t="n">
        <v>2.65</v>
      </c>
      <c r="AF193" s="73" t="n">
        <v>-36.11</v>
      </c>
      <c r="AG193" s="73" t="n">
        <v>11.33</v>
      </c>
      <c r="AH193" s="73" t="n">
        <v>5.87</v>
      </c>
      <c r="AI193" s="73" t="n">
        <v>-34.11</v>
      </c>
      <c r="AJ193" s="73" t="n">
        <v>6.38</v>
      </c>
      <c r="AK193" s="73" t="n">
        <v>-2.7</v>
      </c>
      <c r="AL193" s="73" t="n">
        <v>-44.05</v>
      </c>
      <c r="AM193" s="73" t="n">
        <v>-1.39</v>
      </c>
      <c r="AN193" s="73" t="n">
        <v>5.35</v>
      </c>
      <c r="AO193" s="73" t="n">
        <v>7.26</v>
      </c>
      <c r="AP193" s="63" t="inlineStr">
        <is>
          <t>HSTECH (Hang Seng TECH ETF)</t>
        </is>
      </c>
      <c r="AQ193" s="73" t="n">
        <v>-58.29</v>
      </c>
      <c r="AR193" s="64" t="inlineStr">
        <is>
          <t>2026-08-20</t>
        </is>
      </c>
      <c r="AS193" s="65" t="n">
        <v>1509.1</v>
      </c>
      <c r="AT193" s="68" t="n">
        <v>-672.8</v>
      </c>
      <c r="AU193" s="63" t="inlineStr">
        <is>
          <t>N</t>
        </is>
      </c>
      <c r="AV193" s="63" t="inlineStr">
        <is>
          <t>n/m</t>
        </is>
      </c>
      <c r="AW193" s="74" t="n"/>
      <c r="AX193" s="74" t="n">
        <v>12.7</v>
      </c>
      <c r="AY193" s="74" t="n">
        <v>3.8</v>
      </c>
      <c r="AZ193" s="75" t="inlineStr">
        <is>
          <t>N</t>
        </is>
      </c>
      <c r="BA193" s="76">
        <f>IF('BBG Verify'!K193="","not filed — run on terminal",'BBG Verify'!K193)</f>
        <v/>
      </c>
      <c r="BB193" s="63" t="inlineStr">
        <is>
          <t>N/A</t>
        </is>
      </c>
      <c r="BC193" s="63" t="inlineStr">
        <is>
          <t>N/A</t>
        </is>
      </c>
      <c r="BD193" s="63" t="inlineStr">
        <is>
          <t>N/A</t>
        </is>
      </c>
      <c r="BE193" s="63" t="inlineStr">
        <is>
          <t>N/A</t>
        </is>
      </c>
      <c r="BF193" s="63" t="inlineStr">
        <is>
          <t>N/A</t>
        </is>
      </c>
      <c r="BG193" s="75" t="n"/>
      <c r="BH193" s="63" t="inlineStr">
        <is>
          <t>China International Capital Corporation Hong Kong Securities Limited</t>
        </is>
      </c>
      <c r="BI193" s="63" t="inlineStr">
        <is>
          <t>China International Capital Corporation Hong Kong Securities Limited; Credit Suisse (Hong Kong) Limited; CLSA Limited</t>
        </is>
      </c>
      <c r="BJ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7">
        <f>HYPERLINK("https://www1.hkexnews.hk/listedco/listconews/sehk/2023/0515/2023051500005.pdf","prospectus")</f>
        <v/>
      </c>
      <c r="BL193" s="77">
        <f>HYPERLINK("https://www1.hkexnews.hk/listedco/listconews/sehk/2023/0524/2023052400060.htm","allotment")</f>
        <v/>
      </c>
      <c r="BM193" s="77">
        <f>HYPERLINK("https://www1.hkexnews.hk/listedco/listconews/sehk/2023/0618/2023061800019.pdf","stabilisation")</f>
        <v/>
      </c>
      <c r="BN193" s="75" t="n"/>
      <c r="BO193" s="63"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v>20.65</v>
      </c>
      <c r="L194" s="66" t="n">
        <v>24.75</v>
      </c>
      <c r="M194" s="66" t="n">
        <v>21.85</v>
      </c>
      <c r="N194" s="63" t="inlineStr">
        <is>
          <t>N</t>
        </is>
      </c>
      <c r="O194" s="67" t="n">
        <v>88.3</v>
      </c>
      <c r="P194" s="67" t="n">
        <v>29.3</v>
      </c>
      <c r="Q194" s="68" t="n">
        <v>6278</v>
      </c>
      <c r="R194" s="63" t="inlineStr">
        <is>
          <t>prospectus:stated market capitalisation</t>
        </is>
      </c>
      <c r="S194" s="69" t="n">
        <v>1.41</v>
      </c>
      <c r="T194" s="70" t="n">
        <v>1.07</v>
      </c>
      <c r="U194" s="71" t="n">
        <v>41.29</v>
      </c>
      <c r="V194" s="67" t="n">
        <v>4.35</v>
      </c>
      <c r="W194" s="63" t="inlineStr">
        <is>
          <t>Harvest Great Bay Investment SP; So-Young Hong Kong Limited; Wuxi Xinhongdi Venture Capital Partnership (Limited Partnership)</t>
        </is>
      </c>
      <c r="X194" s="63" t="inlineStr">
        <is>
          <t>harvest;so;wuxi</t>
        </is>
      </c>
      <c r="Y194" s="67" t="n">
        <v>18.67</v>
      </c>
      <c r="Z194" s="63" t="inlineStr">
        <is>
          <t>lapsed</t>
        </is>
      </c>
      <c r="AA194" s="72" t="n">
        <v>0.46</v>
      </c>
      <c r="AB194" s="73" t="n">
        <v>-0.23</v>
      </c>
      <c r="AC194" s="73" t="n">
        <v>0.6899999999999999</v>
      </c>
      <c r="AD194" s="73" t="n">
        <v>38.67</v>
      </c>
      <c r="AE194" s="73" t="n">
        <v>-1.6</v>
      </c>
      <c r="AF194" s="73" t="n">
        <v>1.37</v>
      </c>
      <c r="AG194" s="73" t="n">
        <v>38.04</v>
      </c>
      <c r="AH194" s="73" t="n">
        <v>-2.05</v>
      </c>
      <c r="AI194" s="73" t="n">
        <v>0.91</v>
      </c>
      <c r="AJ194" s="73" t="n">
        <v>36.95</v>
      </c>
      <c r="AK194" s="73" t="n">
        <v>2.24</v>
      </c>
      <c r="AL194" s="73" t="n">
        <v>7.31</v>
      </c>
      <c r="AM194" s="73" t="n">
        <v>0.76</v>
      </c>
      <c r="AN194" s="73" t="n">
        <v>-3.84</v>
      </c>
      <c r="AO194" s="73" t="n">
        <v>-2.81</v>
      </c>
      <c r="AP194" s="63" t="inlineStr">
        <is>
          <t>China Biotech ETF (HS biotech proxy)</t>
        </is>
      </c>
      <c r="AQ194" s="73" t="n">
        <v>-91.08</v>
      </c>
      <c r="AR194" s="64" t="inlineStr">
        <is>
          <t>2026-08-21</t>
        </is>
      </c>
      <c r="AS194" s="65" t="n">
        <v>12.5</v>
      </c>
      <c r="AT194" s="68" t="n">
        <v>-611.4</v>
      </c>
      <c r="AU194" s="63" t="inlineStr">
        <is>
          <t>N</t>
        </is>
      </c>
      <c r="AV194" s="63" t="inlineStr">
        <is>
          <t>n/m</t>
        </is>
      </c>
      <c r="AW194" s="74" t="n"/>
      <c r="AX194" s="74" t="n"/>
      <c r="AY194" s="74" t="n">
        <v>502.2</v>
      </c>
      <c r="AZ194" s="75" t="inlineStr">
        <is>
          <t>N</t>
        </is>
      </c>
      <c r="BA194" s="76">
        <f>IF('BBG Verify'!K194="","not filed — run on terminal",'BBG Verify'!K194)</f>
        <v/>
      </c>
      <c r="BB194" s="63" t="inlineStr">
        <is>
          <t>N/A</t>
        </is>
      </c>
      <c r="BC194" s="63" t="inlineStr">
        <is>
          <t>N/A</t>
        </is>
      </c>
      <c r="BD194" s="63" t="inlineStr">
        <is>
          <t>N/A</t>
        </is>
      </c>
      <c r="BE194" s="63" t="inlineStr">
        <is>
          <t>N/A</t>
        </is>
      </c>
      <c r="BF194" s="63" t="inlineStr">
        <is>
          <t>N/A</t>
        </is>
      </c>
      <c r="BG194" s="75" t="inlineStr">
        <is>
          <t>China International Capital Corporation Hong Kong Securities Limited</t>
        </is>
      </c>
      <c r="BH194" s="63" t="inlineStr">
        <is>
          <t>China International Capital Corporation Hong Kong Securities Limited</t>
        </is>
      </c>
      <c r="BI194" s="63" t="inlineStr">
        <is>
          <t>China International Capital Corporation Hong Kong Securities Limited; UOB Kay Hian (Hong Kong) Limited; Futu Securities International (Hong Kong) Limited; Valuable Capital Limited</t>
        </is>
      </c>
      <c r="BJ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7">
        <f>HYPERLINK("https://www1.hkexnews.hk/listedco/listconews/sehk/2023/0531/2023053100174.htm","prospectus")</f>
        <v/>
      </c>
      <c r="BL194" s="77">
        <f>HYPERLINK("https://www1.hkexnews.hk/listedco/listconews/sehk/2023/0609/2023060900016.htm","allotment")</f>
        <v/>
      </c>
      <c r="BM194" s="77">
        <f>HYPERLINK("https://www1.hkexnews.hk/listedco/listconews/sehk/2023/0705/2023070500577.pdf","stabilisation")</f>
        <v/>
      </c>
      <c r="BN194" s="75" t="n"/>
      <c r="BO194" s="63" t="inlineStr">
        <is>
          <t>P/E: n/m — loss-making at IPO (use P/S) · A/H: no A-share listing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7" t="n">
        <v>1.37</v>
      </c>
      <c r="W195" s="63" t="inlineStr">
        <is>
          <t>ZGC International Limited</t>
        </is>
      </c>
      <c r="X195" s="63" t="inlineStr">
        <is>
          <t>zgc</t>
        </is>
      </c>
      <c r="Y195" s="67" t="n"/>
      <c r="Z195" s="63" t="inlineStr">
        <is>
          <t>partial</t>
        </is>
      </c>
      <c r="AA195" s="72" t="n">
        <v>5.5</v>
      </c>
      <c r="AB195" s="73" t="n">
        <v>15.25</v>
      </c>
      <c r="AC195" s="73" t="n">
        <v>-8.460000000000001</v>
      </c>
      <c r="AD195" s="73" t="n">
        <v>22.5</v>
      </c>
      <c r="AE195" s="73" t="n">
        <v>147.5</v>
      </c>
      <c r="AF195" s="73" t="n">
        <v>154.5</v>
      </c>
      <c r="AG195" s="73" t="n">
        <v>16.11</v>
      </c>
      <c r="AH195" s="73" t="n">
        <v>134.6</v>
      </c>
      <c r="AI195" s="73" t="n">
        <v>141.23</v>
      </c>
      <c r="AJ195" s="73" t="n">
        <v>19.59</v>
      </c>
      <c r="AK195" s="73" t="n">
        <v>140.71</v>
      </c>
      <c r="AL195" s="73" t="n">
        <v>151.87</v>
      </c>
      <c r="AM195" s="73" t="n">
        <v>127.14</v>
      </c>
      <c r="AN195" s="73" t="n">
        <v>6.79</v>
      </c>
      <c r="AO195" s="73" t="n">
        <v>7.46</v>
      </c>
      <c r="AP195" s="63" t="inlineStr">
        <is>
          <t>China Biotech ETF (HS biotech proxy)</t>
        </is>
      </c>
      <c r="AQ195" s="73" t="n">
        <v>-83.38</v>
      </c>
      <c r="AR195" s="64" t="inlineStr">
        <is>
          <t>2026-08-20</t>
        </is>
      </c>
      <c r="AS195" s="65" t="n">
        <v>15702.3</v>
      </c>
      <c r="AT195" s="68" t="n">
        <v>-1650</v>
      </c>
      <c r="AU195" s="63" t="inlineStr">
        <is>
          <t>N</t>
        </is>
      </c>
      <c r="AV195" s="63" t="inlineStr">
        <is>
          <t>n/m</t>
        </is>
      </c>
      <c r="AW195" s="74" t="n"/>
      <c r="AX195" s="74" t="n">
        <v>13.5</v>
      </c>
      <c r="AY195" s="74" t="n">
        <v>0.8</v>
      </c>
      <c r="AZ195" s="75" t="inlineStr">
        <is>
          <t>N</t>
        </is>
      </c>
      <c r="BA195" s="76">
        <f>IF('BBG Verify'!K195="","not filed — run on terminal",'BBG Verify'!K195)</f>
        <v/>
      </c>
      <c r="BB195" s="63" t="inlineStr">
        <is>
          <t>N/A</t>
        </is>
      </c>
      <c r="BC195" s="63" t="inlineStr">
        <is>
          <t>N/A</t>
        </is>
      </c>
      <c r="BD195" s="63" t="inlineStr">
        <is>
          <t>N/A</t>
        </is>
      </c>
      <c r="BE195" s="63" t="inlineStr">
        <is>
          <t>N/A</t>
        </is>
      </c>
      <c r="BF195" s="63" t="inlineStr">
        <is>
          <t>N/A</t>
        </is>
      </c>
      <c r="BG195" s="75" t="n"/>
      <c r="BH195" s="63" t="inlineStr">
        <is>
          <t>China International Capital Corporation Hong Kong Securities Limited</t>
        </is>
      </c>
      <c r="BI195" s="63" t="inlineStr">
        <is>
          <t>China International Capital Corporation Hong Kong Securities Limited; Central, Hong Kong CMB International Capital Limited; Central, Hong Kong ICBC International Securities Limited; ABCI Capital Limited; Fosun International Securities Limited</t>
        </is>
      </c>
      <c r="BJ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7">
        <f>HYPERLINK("https://www1.hkexnews.hk/listedco/listconews/sehk/2023/0615/2023061500046.htm","prospectus")</f>
        <v/>
      </c>
      <c r="BL195" s="77">
        <f>HYPERLINK("https://www1.hkexnews.hk/listedco/listconews/sehk/2023/0627/2023062700054.htm","allotment")</f>
        <v/>
      </c>
      <c r="BM195" s="77">
        <f>HYPERLINK("https://www1.hkexnews.hk/listedco/listconews/sehk/2023/0720/2023072001211.pdf","stabilisation")</f>
        <v/>
      </c>
      <c r="BN195" s="75" t="n"/>
      <c r="BO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7" t="n">
        <v>2.29</v>
      </c>
      <c r="W196" s="63" t="inlineStr">
        <is>
          <t>Future Industry Investment Fund II; Ningbo Yaoshang Yanchuang Chenkai Venture Capital Partnership; OrbiMed Asia Partners III, L.P; Yuyao Yangming Equity Investment Fund Co., Ltd</t>
        </is>
      </c>
      <c r="X196" s="63" t="inlineStr">
        <is>
          <t>future;ningbo;orbimed;yuyao</t>
        </is>
      </c>
      <c r="Y196" s="67" t="n"/>
      <c r="Z196" s="63" t="n"/>
      <c r="AA196" s="72" t="n">
        <v>20.87</v>
      </c>
      <c r="AB196" s="73" t="n">
        <v>0.24</v>
      </c>
      <c r="AC196" s="73" t="n">
        <v>20.58</v>
      </c>
      <c r="AD196" s="73" t="n">
        <v>22.32</v>
      </c>
      <c r="AE196" s="73" t="n">
        <v>16.52</v>
      </c>
      <c r="AF196" s="73" t="n">
        <v>10.39</v>
      </c>
      <c r="AG196" s="73" t="n">
        <v>1.2</v>
      </c>
      <c r="AH196" s="73" t="n">
        <v>-3.6</v>
      </c>
      <c r="AI196" s="73" t="n">
        <v>-8.67</v>
      </c>
      <c r="AJ196" s="73" t="n">
        <v>20.87</v>
      </c>
      <c r="AK196" s="73" t="n">
        <v>11.37</v>
      </c>
      <c r="AL196" s="73" t="n">
        <v>7.29</v>
      </c>
      <c r="AM196" s="73" t="n">
        <v>-9.16</v>
      </c>
      <c r="AN196" s="73" t="n">
        <v>5.15</v>
      </c>
      <c r="AO196" s="73" t="n">
        <v>5.56</v>
      </c>
      <c r="AP196" s="63" t="inlineStr">
        <is>
          <t>China Biotech ETF (HS biotech proxy)</t>
        </is>
      </c>
      <c r="AQ196" s="73" t="n">
        <v>-47.99</v>
      </c>
      <c r="AR196" s="64" t="inlineStr">
        <is>
          <t>2026-08-20</t>
        </is>
      </c>
      <c r="AS196" s="65" t="n">
        <v>0</v>
      </c>
      <c r="AT196" s="68" t="n">
        <v>-859.8</v>
      </c>
      <c r="AU196" s="63" t="inlineStr">
        <is>
          <t>N</t>
        </is>
      </c>
      <c r="AV196" s="63" t="inlineStr">
        <is>
          <t>n/m</t>
        </is>
      </c>
      <c r="AW196" s="74" t="n"/>
      <c r="AX196" s="74" t="n"/>
      <c r="AY196" s="63" t="inlineStr">
        <is>
          <t>pre-rev</t>
        </is>
      </c>
      <c r="AZ196" s="75" t="inlineStr">
        <is>
          <t>N</t>
        </is>
      </c>
      <c r="BA196" s="76">
        <f>IF('BBG Verify'!K196="","not filed — run on terminal",'BBG Verify'!K196)</f>
        <v/>
      </c>
      <c r="BB196" s="63" t="inlineStr">
        <is>
          <t>N/A</t>
        </is>
      </c>
      <c r="BC196" s="63" t="inlineStr">
        <is>
          <t>N/A</t>
        </is>
      </c>
      <c r="BD196" s="63" t="inlineStr">
        <is>
          <t>N/A</t>
        </is>
      </c>
      <c r="BE196" s="63" t="inlineStr">
        <is>
          <t>N/A</t>
        </is>
      </c>
      <c r="BF196" s="63" t="inlineStr">
        <is>
          <t>N/A</t>
        </is>
      </c>
      <c r="BG196" s="75" t="inlineStr">
        <is>
          <t>China International Capital Corporation Hong Kong Securities Limited</t>
        </is>
      </c>
      <c r="BH196" s="63" t="inlineStr">
        <is>
          <t>China International Capital Corporation Hong Kong Securities Limited</t>
        </is>
      </c>
      <c r="BI196" s="63" t="inlineStr">
        <is>
          <t>China International Capital Corporation Hong Kong Securities Limited; Haitong International Securities Company Limited; ICBC International Securities Limited; ABCI Capital Limited</t>
        </is>
      </c>
      <c r="BJ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7">
        <f>HYPERLINK("https://www1.hkexnews.hk/listedco/listconews/sehk/2023/0616/2023061600013.pdf","prospectus")</f>
        <v/>
      </c>
      <c r="BL196" s="77">
        <f>HYPERLINK("https://www1.hkexnews.hk/listedco/listconews/sehk/2023/0628/2023062800052.htm","allotment")</f>
        <v/>
      </c>
      <c r="BM196" s="63" t="n"/>
      <c r="BN196" s="75" t="n"/>
      <c r="BO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7" t="n">
        <v>0.64</v>
      </c>
      <c r="W197" s="63" t="inlineStr">
        <is>
          <t>Corelink Group Limited; Fosun Diagnostics (Shanghai) Co., Ltd; MR Global (HK) Limited; Snibe Diagnostic (Hong Kong) Company Limited; Timestar Elite Limited</t>
        </is>
      </c>
      <c r="X197" s="63" t="inlineStr">
        <is>
          <t>corelink;fosun;mr;snibe;timestar</t>
        </is>
      </c>
      <c r="Y197" s="67" t="n">
        <v>12.45</v>
      </c>
      <c r="Z197" s="63" t="inlineStr">
        <is>
          <t>partial</t>
        </is>
      </c>
      <c r="AA197" s="72" t="n">
        <v>12.01</v>
      </c>
      <c r="AB197" s="73" t="n">
        <v>0</v>
      </c>
      <c r="AC197" s="73" t="n">
        <v>12.01</v>
      </c>
      <c r="AD197" s="73" t="n">
        <v>1.62</v>
      </c>
      <c r="AE197" s="73" t="n">
        <v>0.65</v>
      </c>
      <c r="AF197" s="73" t="n">
        <v>19.97</v>
      </c>
      <c r="AG197" s="73" t="n">
        <v>-9.279999999999999</v>
      </c>
      <c r="AH197" s="73" t="n">
        <v>-10.14</v>
      </c>
      <c r="AI197" s="73" t="n">
        <v>7.11</v>
      </c>
      <c r="AJ197" s="73" t="n">
        <v>0.34</v>
      </c>
      <c r="AK197" s="73" t="n">
        <v>-5.38</v>
      </c>
      <c r="AL197" s="73" t="n">
        <v>17.55</v>
      </c>
      <c r="AM197" s="73" t="n">
        <v>-14.42</v>
      </c>
      <c r="AN197" s="73" t="n">
        <v>6.03</v>
      </c>
      <c r="AO197" s="73" t="n">
        <v>4.28</v>
      </c>
      <c r="AP197" s="63" t="inlineStr">
        <is>
          <t>China Biotech ETF (HS biotech proxy)</t>
        </is>
      </c>
      <c r="AQ197" s="73" t="n">
        <v>-71.34999999999999</v>
      </c>
      <c r="AR197" s="64" t="inlineStr">
        <is>
          <t>2026-08-20</t>
        </is>
      </c>
      <c r="AS197" s="65" t="n">
        <v>5346.7</v>
      </c>
      <c r="AT197" s="68" t="n">
        <v>753.4</v>
      </c>
      <c r="AU197" s="63" t="inlineStr">
        <is>
          <t>Y</t>
        </is>
      </c>
      <c r="AV197" s="74" t="n">
        <v>11.8</v>
      </c>
      <c r="AW197" s="74" t="n"/>
      <c r="AX197" s="74" t="n">
        <v>108.8</v>
      </c>
      <c r="AY197" s="74" t="n">
        <v>1.7</v>
      </c>
      <c r="AZ197" s="75" t="inlineStr">
        <is>
          <t>N</t>
        </is>
      </c>
      <c r="BA197" s="76">
        <f>IF('BBG Verify'!K197="","not filed — run on terminal",'BBG Verify'!K197)</f>
        <v/>
      </c>
      <c r="BB197" s="63" t="inlineStr">
        <is>
          <t>N/A</t>
        </is>
      </c>
      <c r="BC197" s="63" t="inlineStr">
        <is>
          <t>N/A</t>
        </is>
      </c>
      <c r="BD197" s="63" t="inlineStr">
        <is>
          <t>N/A</t>
        </is>
      </c>
      <c r="BE197" s="63" t="inlineStr">
        <is>
          <t>N/A</t>
        </is>
      </c>
      <c r="BF197" s="63" t="inlineStr">
        <is>
          <t>N/A</t>
        </is>
      </c>
      <c r="BG197" s="75" t="inlineStr">
        <is>
          <t>and Sponsor-OCs Morgan Stanley Asia Limited; Jefferies Hong Kong Limited</t>
        </is>
      </c>
      <c r="BH197" s="63" t="inlineStr">
        <is>
          <t>Jefferies Hong Kong Limited; Morgan Stanley Asia Limited</t>
        </is>
      </c>
      <c r="BI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7">
        <f>HYPERLINK("https://www1.hkexnews.hk/listedco/listconews/sehk/2023/0619/2023061900005.pdf","prospectus")</f>
        <v/>
      </c>
      <c r="BL197" s="77">
        <f>HYPERLINK("https://www1.hkexnews.hk/listedco/listconews/sehk/2023/0629/2023062900124.htm","allotment")</f>
        <v/>
      </c>
      <c r="BM197" s="77">
        <f>HYPERLINK("https://www1.hkexnews.hk/listedco/listconews/sehk/2023/0723/2023072300027.pdf","stabilisation")</f>
        <v/>
      </c>
      <c r="BN197" s="75" t="n"/>
      <c r="BO197" s="63"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7" t="n">
        <v>22.19</v>
      </c>
      <c r="W198" s="63" t="inlineStr">
        <is>
          <t>Jiang Gang International Investment Company Limited</t>
        </is>
      </c>
      <c r="X198" s="63" t="inlineStr">
        <is>
          <t>jiang-gang</t>
        </is>
      </c>
      <c r="Y198" s="67" t="n">
        <v>15</v>
      </c>
      <c r="Z198" s="63" t="inlineStr">
        <is>
          <t>lapsed (no over-allocation)</t>
        </is>
      </c>
      <c r="AA198" s="72" t="n">
        <v>0</v>
      </c>
      <c r="AB198" s="73" t="n">
        <v>0</v>
      </c>
      <c r="AC198" s="73" t="n">
        <v>0</v>
      </c>
      <c r="AD198" s="73" t="n">
        <v>-19.72</v>
      </c>
      <c r="AE198" s="73" t="n">
        <v>-22.22</v>
      </c>
      <c r="AF198" s="73" t="n">
        <v>-26.94</v>
      </c>
      <c r="AG198" s="73" t="n">
        <v>-19.72</v>
      </c>
      <c r="AH198" s="73" t="n">
        <v>-22.22</v>
      </c>
      <c r="AI198" s="73" t="n">
        <v>-26.94</v>
      </c>
      <c r="AJ198" s="73" t="n">
        <v>-24.4</v>
      </c>
      <c r="AK198" s="73" t="n">
        <v>-29.55</v>
      </c>
      <c r="AL198" s="73" t="n">
        <v>-25.35</v>
      </c>
      <c r="AM198" s="73" t="n">
        <v>-28.46</v>
      </c>
      <c r="AN198" s="73" t="n">
        <v>7.33</v>
      </c>
      <c r="AO198" s="73" t="n">
        <v>6.24</v>
      </c>
      <c r="AP198" s="63" t="inlineStr">
        <is>
          <t>Hang Seng Commerce &amp; Industry sub-index</t>
        </is>
      </c>
      <c r="AQ198" s="73" t="n">
        <v>-28.33</v>
      </c>
      <c r="AR198" s="64" t="inlineStr">
        <is>
          <t>2026-08-21</t>
        </is>
      </c>
      <c r="AS198" s="65" t="n">
        <v>1588.1</v>
      </c>
      <c r="AT198" s="68" t="n">
        <v>154.4</v>
      </c>
      <c r="AU198" s="63" t="inlineStr">
        <is>
          <t>Y</t>
        </is>
      </c>
      <c r="AV198" s="74" t="n">
        <v>6.3</v>
      </c>
      <c r="AW198" s="74" t="n"/>
      <c r="AX198" s="74" t="n">
        <v>4</v>
      </c>
      <c r="AY198" s="74" t="n">
        <v>0.6</v>
      </c>
      <c r="AZ198" s="75" t="inlineStr">
        <is>
          <t>N</t>
        </is>
      </c>
      <c r="BA198" s="76">
        <f>IF('BBG Verify'!K198="","not filed — run on terminal",'BBG Verify'!K198)</f>
        <v/>
      </c>
      <c r="BB198" s="63" t="inlineStr">
        <is>
          <t>N/A</t>
        </is>
      </c>
      <c r="BC198" s="63" t="inlineStr">
        <is>
          <t>N/A</t>
        </is>
      </c>
      <c r="BD198" s="63" t="inlineStr">
        <is>
          <t>N/A</t>
        </is>
      </c>
      <c r="BE198" s="63" t="inlineStr">
        <is>
          <t>N/A</t>
        </is>
      </c>
      <c r="BF198" s="63" t="inlineStr">
        <is>
          <t>N/A</t>
        </is>
      </c>
      <c r="BG198" s="75" t="inlineStr">
        <is>
          <t>Guotai Junan Capital Limited</t>
        </is>
      </c>
      <c r="BH198" s="63" t="inlineStr">
        <is>
          <t>Guotai Junan Capital Limited</t>
        </is>
      </c>
      <c r="BI198" s="63" t="inlineStr">
        <is>
          <t>Guotai Junan Securities (Hong Kong) Limited; Orient Securities (Hong Kong) Limited; ABCI Capital Limited; China Galaxy International Securities (Hong Kong) Co., Limited</t>
        </is>
      </c>
      <c r="BJ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7">
        <f>HYPERLINK("https://www1.hkexnews.hk/listedco/listconews/sehk/2023/0628/2023062800029.pdf","prospectus")</f>
        <v/>
      </c>
      <c r="BL198" s="77">
        <f>HYPERLINK("https://www1.hkexnews.hk/listedco/listconews/sehk/2023/0707/2023070700062.htm","allotment")</f>
        <v/>
      </c>
      <c r="BM198" s="77">
        <f>HYPERLINK("https://www1.hkexnews.hk/listedco/listconews/sehk/2023/0802/2023080201548.pdf","stabilisation")</f>
        <v/>
      </c>
      <c r="BN198" s="75" t="n"/>
      <c r="BO198" s="63" t="inlineStr">
        <is>
          <t>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7" t="n">
        <v>8.640000000000001</v>
      </c>
      <c r="W199" s="63" t="inlineStr">
        <is>
          <t>China Universal Asset Management Company Limited; Kelun International Development Co., Limited; Laurion Capital Master Fund Ltd; RTW Master Fund, Ltd; TruMed Healthcare Master Fund and TruMed Health Innovation Fund LP</t>
        </is>
      </c>
      <c r="X199" s="63" t="inlineStr">
        <is>
          <t>universal;kelun;laurion;rtw;trumed</t>
        </is>
      </c>
      <c r="Y199" s="67" t="n">
        <v>8.9</v>
      </c>
      <c r="Z199" s="63" t="inlineStr">
        <is>
          <t>full</t>
        </is>
      </c>
      <c r="AA199" s="72" t="n">
        <v>3.14</v>
      </c>
      <c r="AB199" s="73" t="n">
        <v>0</v>
      </c>
      <c r="AC199" s="73" t="n">
        <v>3.14</v>
      </c>
      <c r="AD199" s="73" t="n">
        <v>8.91</v>
      </c>
      <c r="AE199" s="73" t="n">
        <v>19.64</v>
      </c>
      <c r="AF199" s="73" t="n">
        <v>33.66</v>
      </c>
      <c r="AG199" s="73" t="n">
        <v>5.59</v>
      </c>
      <c r="AH199" s="73" t="n">
        <v>16</v>
      </c>
      <c r="AI199" s="73" t="n">
        <v>29.59</v>
      </c>
      <c r="AJ199" s="73" t="n">
        <v>8.56</v>
      </c>
      <c r="AK199" s="73" t="n">
        <v>19.74</v>
      </c>
      <c r="AL199" s="73" t="n">
        <v>27.77</v>
      </c>
      <c r="AM199" s="73" t="n">
        <v>16.9</v>
      </c>
      <c r="AN199" s="73" t="n">
        <v>-0.1</v>
      </c>
      <c r="AO199" s="73" t="n">
        <v>-0.9</v>
      </c>
      <c r="AP199" s="63" t="inlineStr">
        <is>
          <t>China Biotech ETF (HS biotech proxy)</t>
        </is>
      </c>
      <c r="AQ199" s="73" t="n">
        <v>779.54</v>
      </c>
      <c r="AR199" s="64" t="inlineStr">
        <is>
          <t>2026-08-20</t>
        </is>
      </c>
      <c r="AS199" s="65" t="n">
        <v>884.3</v>
      </c>
      <c r="AT199" s="68" t="n">
        <v>-677.7</v>
      </c>
      <c r="AU199" s="63" t="inlineStr">
        <is>
          <t>N</t>
        </is>
      </c>
      <c r="AV199" s="63" t="inlineStr">
        <is>
          <t>n/m</t>
        </is>
      </c>
      <c r="AW199" s="74" t="n"/>
      <c r="AX199" s="74" t="n">
        <v>692.3</v>
      </c>
      <c r="AY199" s="74" t="n">
        <v>14.8</v>
      </c>
      <c r="AZ199" s="75" t="inlineStr">
        <is>
          <t>N</t>
        </is>
      </c>
      <c r="BA199" s="76">
        <f>IF('BBG Verify'!K199="","not filed — run on terminal",'BBG Verify'!K199)</f>
        <v/>
      </c>
      <c r="BB199" s="63" t="inlineStr">
        <is>
          <t>N/A</t>
        </is>
      </c>
      <c r="BC199" s="63" t="inlineStr">
        <is>
          <t>N/A</t>
        </is>
      </c>
      <c r="BD199" s="63" t="inlineStr">
        <is>
          <t>N/A</t>
        </is>
      </c>
      <c r="BE199" s="63" t="inlineStr">
        <is>
          <t>N/A</t>
        </is>
      </c>
      <c r="BF199" s="63" t="inlineStr">
        <is>
          <t>N/A</t>
        </is>
      </c>
      <c r="BG199" s="75" t="inlineStr">
        <is>
          <t>Goldman Sachs (Asia) L.L.C; CITIC Securities (Hong Kong) Limited</t>
        </is>
      </c>
      <c r="BH199" s="63" t="inlineStr">
        <is>
          <t>Goldman Sachs (Asia) L.L.C.; CITIC Securities (Hong Kong) Limited</t>
        </is>
      </c>
      <c r="BI199" s="63" t="inlineStr">
        <is>
          <t>Goldman Sachs (Asia) L.L.C; CLSA Limited; Citigroup Global Markets Asia Limited; Citigroup Global Markets Limited; 144 – ICBC International Securities Limited; BOCOM International Securities Limited</t>
        </is>
      </c>
      <c r="BJ199" s="63" t="inlineStr">
        <is>
          <t>Beta International Securities Limited; Citigroup Global Markets Asia Limited; CLSA Limited; Goldman Sachs (Asia) L.L.C.; ICBC International Securities Limited</t>
        </is>
      </c>
      <c r="BK199" s="77">
        <f>HYPERLINK("https://www1.hkexnews.hk/listedco/listconews/sehk/2023/0629/2023062900043.pdf","prospectus")</f>
        <v/>
      </c>
      <c r="BL199" s="77">
        <f>HYPERLINK("https://www1.hkexnews.hk/listedco/listconews/sehk/2023/0710/2023071000008.htm","allotment")</f>
        <v/>
      </c>
      <c r="BM199" s="77">
        <f>HYPERLINK("https://www1.hkexnews.hk/listedco/listconews/sehk/2023/0803/2023080302096.pdf","stabilisation")</f>
        <v/>
      </c>
      <c r="BN199" s="75" t="n"/>
      <c r="BO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7" t="n">
        <v>1.14</v>
      </c>
      <c r="W200" s="63" t="inlineStr">
        <is>
          <t>Fuqing Shengde Calorie Investment Co., Ltd; Shenzhen Fenda Technology Co., Ltd; Xiamen Evere Sports Goods Co., Ltd</t>
        </is>
      </c>
      <c r="X200" s="63" t="inlineStr">
        <is>
          <t>fuqing;shenzhen-fenda;xiamen</t>
        </is>
      </c>
      <c r="Y200" s="67" t="n"/>
      <c r="Z200" s="63" t="inlineStr">
        <is>
          <t>lapsed</t>
        </is>
      </c>
      <c r="AA200" s="72" t="n">
        <v>0.28</v>
      </c>
      <c r="AB200" s="73" t="n">
        <v>4.77</v>
      </c>
      <c r="AC200" s="73" t="n">
        <v>-4.29</v>
      </c>
      <c r="AD200" s="73" t="n">
        <v>-0.24</v>
      </c>
      <c r="AE200" s="73" t="n">
        <v>9.27</v>
      </c>
      <c r="AF200" s="73" t="n">
        <v>0.62</v>
      </c>
      <c r="AG200" s="73" t="n">
        <v>-0.52</v>
      </c>
      <c r="AH200" s="73" t="n">
        <v>8.960000000000001</v>
      </c>
      <c r="AI200" s="73" t="n">
        <v>0.34</v>
      </c>
      <c r="AJ200" s="73" t="n">
        <v>-1.92</v>
      </c>
      <c r="AK200" s="73" t="n">
        <v>2.04</v>
      </c>
      <c r="AL200" s="73" t="n">
        <v>3.63</v>
      </c>
      <c r="AM200" s="73" t="n">
        <v>3.87</v>
      </c>
      <c r="AN200" s="73" t="n">
        <v>7.23</v>
      </c>
      <c r="AO200" s="73" t="n">
        <v>5.09</v>
      </c>
      <c r="AP200" s="63" t="inlineStr">
        <is>
          <t>HSTECH (Hang Seng TECH ETF)</t>
        </is>
      </c>
      <c r="AQ200" s="73" t="n">
        <v>-93.84999999999999</v>
      </c>
      <c r="AR200" s="64" t="inlineStr">
        <is>
          <t>2026-08-20</t>
        </is>
      </c>
      <c r="AS200" s="65" t="n">
        <v>959.7</v>
      </c>
      <c r="AT200" s="68" t="n">
        <v>-115</v>
      </c>
      <c r="AU200" s="63" t="inlineStr">
        <is>
          <t>N</t>
        </is>
      </c>
      <c r="AV200" s="63" t="inlineStr">
        <is>
          <t>n/m</t>
        </is>
      </c>
      <c r="AW200" s="74" t="n"/>
      <c r="AX200" s="74" t="n"/>
      <c r="AY200" s="74" t="n">
        <v>24.8</v>
      </c>
      <c r="AZ200" s="75" t="inlineStr">
        <is>
          <t>N</t>
        </is>
      </c>
      <c r="BA200" s="76">
        <f>IF('BBG Verify'!K200="","not filed — run on terminal",'BBG Verify'!K200)</f>
        <v/>
      </c>
      <c r="BB200" s="63" t="inlineStr">
        <is>
          <t>N/A</t>
        </is>
      </c>
      <c r="BC200" s="63" t="inlineStr">
        <is>
          <t>N/A</t>
        </is>
      </c>
      <c r="BD200" s="63" t="inlineStr">
        <is>
          <t>N/A</t>
        </is>
      </c>
      <c r="BE200" s="63" t="inlineStr">
        <is>
          <t>N/A</t>
        </is>
      </c>
      <c r="BF200" s="63" t="inlineStr">
        <is>
          <t>N/A</t>
        </is>
      </c>
      <c r="BG200" s="75" t="n"/>
      <c r="BH200" s="63" t="inlineStr">
        <is>
          <t>China International Capital Corporation Hong Kong Securities Limited</t>
        </is>
      </c>
      <c r="BI200" s="63"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7">
        <f>HYPERLINK("https://www1.hkexnews.hk/listedco/listconews/sehk/2023/0630/2023063000230.htm","prospectus")</f>
        <v/>
      </c>
      <c r="BL200" s="77">
        <f>HYPERLINK("https://www1.hkexnews.hk/listedco/listconews/sehk/2023/0711/2023071100048.htm","allotment")</f>
        <v/>
      </c>
      <c r="BM200" s="77">
        <f>HYPERLINK("https://www1.hkexnews.hk/listedco/listconews/sehk/2023/0804/2023080401672.pdf","stabilisation")</f>
        <v/>
      </c>
      <c r="BN200" s="75" t="n"/>
      <c r="BO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7" t="n">
        <v>2.22</v>
      </c>
      <c r="W201" s="63" t="inlineStr">
        <is>
          <t>Blink Field Limited; NETDRAGON WEBSOFT INC</t>
        </is>
      </c>
      <c r="X201" s="63" t="inlineStr">
        <is>
          <t>blink;netdragon</t>
        </is>
      </c>
      <c r="Y201" s="67" t="n">
        <v>17.9</v>
      </c>
      <c r="Z201" s="63" t="inlineStr">
        <is>
          <t>partial</t>
        </is>
      </c>
      <c r="AA201" s="72" t="n">
        <v>23.76</v>
      </c>
      <c r="AB201" s="73" t="n">
        <v>35.29</v>
      </c>
      <c r="AC201" s="73" t="n">
        <v>-8.52</v>
      </c>
      <c r="AD201" s="73" t="n">
        <v>67.06</v>
      </c>
      <c r="AE201" s="73" t="n">
        <v>34.35</v>
      </c>
      <c r="AF201" s="73" t="n">
        <v>102.35</v>
      </c>
      <c r="AG201" s="73" t="n">
        <v>34.99</v>
      </c>
      <c r="AH201" s="73" t="n">
        <v>8.56</v>
      </c>
      <c r="AI201" s="73" t="n">
        <v>63.5</v>
      </c>
      <c r="AJ201" s="73" t="n">
        <v>65.92</v>
      </c>
      <c r="AK201" s="73" t="n">
        <v>34.81</v>
      </c>
      <c r="AL201" s="73" t="n">
        <v>108.82</v>
      </c>
      <c r="AM201" s="73" t="n">
        <v>11.54</v>
      </c>
      <c r="AN201" s="73" t="n">
        <v>-0.46</v>
      </c>
      <c r="AO201" s="73" t="n">
        <v>-2.98</v>
      </c>
      <c r="AP201" s="63" t="inlineStr">
        <is>
          <t>Hang Seng Index</t>
        </is>
      </c>
      <c r="AQ201" s="73" t="n">
        <v>2.24</v>
      </c>
      <c r="AR201" s="64" t="inlineStr">
        <is>
          <t>2026-08-20</t>
        </is>
      </c>
      <c r="AS201" s="65" t="n">
        <v>401.9</v>
      </c>
      <c r="AT201" s="68" t="n">
        <v>47.2</v>
      </c>
      <c r="AU201" s="63" t="inlineStr">
        <is>
          <t>Y</t>
        </is>
      </c>
      <c r="AV201" s="74" t="n">
        <v>225.9</v>
      </c>
      <c r="AW201" s="74" t="n"/>
      <c r="AX201" s="74" t="n"/>
      <c r="AY201" s="74" t="n">
        <v>26.5</v>
      </c>
      <c r="AZ201" s="75" t="inlineStr">
        <is>
          <t>N</t>
        </is>
      </c>
      <c r="BA201" s="76">
        <f>IF('BBG Verify'!K201="","not filed — run on terminal",'BBG Verify'!K201)</f>
        <v/>
      </c>
      <c r="BB201" s="63" t="inlineStr">
        <is>
          <t>N/A</t>
        </is>
      </c>
      <c r="BC201" s="63" t="inlineStr">
        <is>
          <t>N/A</t>
        </is>
      </c>
      <c r="BD201" s="63" t="inlineStr">
        <is>
          <t>N/A</t>
        </is>
      </c>
      <c r="BE201" s="63" t="inlineStr">
        <is>
          <t>N/A</t>
        </is>
      </c>
      <c r="BF201" s="63" t="inlineStr">
        <is>
          <t>N/A</t>
        </is>
      </c>
      <c r="BG201" s="75" t="inlineStr">
        <is>
          <t>CMBC International Capital Limited</t>
        </is>
      </c>
      <c r="BH201" s="63" t="inlineStr">
        <is>
          <t>CMBC International Capital Limited</t>
        </is>
      </c>
      <c r="BI201" s="63" t="inlineStr">
        <is>
          <t>ABCI Capital Limited</t>
        </is>
      </c>
      <c r="BJ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7">
        <f>HYPERLINK("https://www1.hkexnews.hk/listedco/listconews/sehk/2023/0630/2023063000037.pdf","prospectus")</f>
        <v/>
      </c>
      <c r="BL201" s="77">
        <f>HYPERLINK("https://www1.hkexnews.hk/listedco/listconews/sehk/2023/0712/2023071200010.htm","allotment")</f>
        <v/>
      </c>
      <c r="BM201" s="77">
        <f>HYPERLINK("https://www1.hkexnews.hk/listedco/listconews/sehk/2023/0804/2023080401278.pdf","stabilisation")</f>
        <v/>
      </c>
      <c r="BN201" s="75" t="n"/>
      <c r="BO201" s="63"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7" t="n">
        <v>25</v>
      </c>
      <c r="W202" s="63" t="n"/>
      <c r="X202" s="63" t="n"/>
      <c r="Y202" s="67" t="n"/>
      <c r="Z202" s="63" t="n"/>
      <c r="AA202" s="72" t="n">
        <v>1.09</v>
      </c>
      <c r="AB202" s="73" t="n">
        <v>0</v>
      </c>
      <c r="AC202" s="73" t="n">
        <v>1.09</v>
      </c>
      <c r="AD202" s="73" t="n">
        <v>1.09</v>
      </c>
      <c r="AE202" s="73" t="n">
        <v>-38.04</v>
      </c>
      <c r="AF202" s="73" t="n">
        <v>-53.26</v>
      </c>
      <c r="AG202" s="73" t="n">
        <v>0</v>
      </c>
      <c r="AH202" s="73" t="n">
        <v>-38.71</v>
      </c>
      <c r="AI202" s="73" t="n">
        <v>-53.76</v>
      </c>
      <c r="AJ202" s="73" t="n">
        <v>0.98</v>
      </c>
      <c r="AK202" s="73" t="n">
        <v>-32.45</v>
      </c>
      <c r="AL202" s="73" t="n">
        <v>-44.6</v>
      </c>
      <c r="AM202" s="73" t="n">
        <v>-35.1</v>
      </c>
      <c r="AN202" s="73" t="n">
        <v>-5.59</v>
      </c>
      <c r="AO202" s="73" t="n">
        <v>-3.61</v>
      </c>
      <c r="AP202" s="63" t="inlineStr">
        <is>
          <t>Hang Seng Index</t>
        </is>
      </c>
      <c r="AQ202" s="73" t="n">
        <v>-47.83</v>
      </c>
      <c r="AR202" s="64" t="inlineStr">
        <is>
          <t>2026-08-21</t>
        </is>
      </c>
      <c r="AS202" s="65" t="n">
        <v>240.7</v>
      </c>
      <c r="AT202" s="68" t="n">
        <v>39.4</v>
      </c>
      <c r="AU202" s="63" t="inlineStr">
        <is>
          <t>Y</t>
        </is>
      </c>
      <c r="AV202" s="74" t="n">
        <v>14</v>
      </c>
      <c r="AW202" s="74" t="n"/>
      <c r="AX202" s="74" t="n">
        <v>22.9</v>
      </c>
      <c r="AY202" s="74" t="n">
        <v>2.3</v>
      </c>
      <c r="AZ202" s="75" t="inlineStr">
        <is>
          <t>N</t>
        </is>
      </c>
      <c r="BA202" s="76">
        <f>IF('BBG Verify'!K202="","not filed — run on terminal",'BBG Verify'!K202)</f>
        <v/>
      </c>
      <c r="BB202" s="63" t="inlineStr">
        <is>
          <t>N/A</t>
        </is>
      </c>
      <c r="BC202" s="63" t="inlineStr">
        <is>
          <t>N/A</t>
        </is>
      </c>
      <c r="BD202" s="63" t="inlineStr">
        <is>
          <t>N/A</t>
        </is>
      </c>
      <c r="BE202" s="63" t="inlineStr">
        <is>
          <t>N/A</t>
        </is>
      </c>
      <c r="BF202" s="63" t="inlineStr">
        <is>
          <t>N/A</t>
        </is>
      </c>
      <c r="BG202" s="75" t="inlineStr">
        <is>
          <t>Emperor Corporate Finance Limited; Lego Corporate Finance Limited</t>
        </is>
      </c>
      <c r="BH202" s="63" t="inlineStr">
        <is>
          <t>Emperor Corporate Finance Limited; Lego Corporate Finance Limited</t>
        </is>
      </c>
      <c r="BI202" s="63" t="inlineStr">
        <is>
          <t>China Galaxy International Securities (Hong Kong) Company Limited; Emperor Securities Limited; Guotai Junan Securities (Hong Kong) Limited; Lego Securities Limited</t>
        </is>
      </c>
      <c r="BJ202" s="63" t="inlineStr">
        <is>
          <t>China Galaxy International Securities (Hong Kong) Company Limited; Emperor Securities Limited; Guotai Junan Securities (Hong Kong) Limited; Lego Securities Limited</t>
        </is>
      </c>
      <c r="BK202" s="77">
        <f>HYPERLINK("https://www1.hkexnews.hk/listedco/listconews/sehk/2023/0630/2023063000045.pdf","prospectus")</f>
        <v/>
      </c>
      <c r="BL202" s="77">
        <f>HYPERLINK("https://www1.hkexnews.hk/listedco/listconews/sehk/2023/0714/2023071400016.htm","allotment")</f>
        <v/>
      </c>
      <c r="BM202" s="63" t="n"/>
      <c r="BN202" s="75" t="n"/>
      <c r="BO202" s="63" t="inlineStr">
        <is>
          <t>greenshoe: no over-allotment option in the offer structure · A/H: no A-share listing · cornerstone list: no cornerstone tranche in this deal · greenshoe size: no over-allotment option in the offer structure</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21.7</v>
      </c>
      <c r="J203" s="63" t="inlineStr">
        <is>
          <t>net proceeds</t>
        </is>
      </c>
      <c r="K203" s="66" t="n">
        <v>1.18</v>
      </c>
      <c r="L203" s="66" t="n">
        <v>1.48</v>
      </c>
      <c r="M203" s="66" t="n">
        <v>1.18</v>
      </c>
      <c r="N203" s="63" t="inlineStr">
        <is>
          <t>N</t>
        </is>
      </c>
      <c r="O203" s="67" t="n">
        <v>79.7</v>
      </c>
      <c r="P203" s="67" t="n">
        <v>0</v>
      </c>
      <c r="Q203" s="68" t="n">
        <v>688.1</v>
      </c>
      <c r="R203" s="63" t="inlineStr">
        <is>
          <t>aastocks:上市市值 at the struck price</t>
        </is>
      </c>
      <c r="S203" s="69" t="n">
        <v>1.84</v>
      </c>
      <c r="T203" s="70" t="n">
        <v>1.63</v>
      </c>
      <c r="U203" s="71" t="n">
        <v>13.8</v>
      </c>
      <c r="V203" s="67" t="n">
        <v>2.72</v>
      </c>
      <c r="W203" s="63" t="inlineStr">
        <is>
          <t>Heyuan Trading (Hong Kong) Limited; Wu Mingwu</t>
        </is>
      </c>
      <c r="X203" s="63" t="inlineStr">
        <is>
          <t>heyuan;wu-mingwu</t>
        </is>
      </c>
      <c r="Y203" s="67" t="n">
        <v>10</v>
      </c>
      <c r="Z203" s="63" t="inlineStr">
        <is>
          <t>partial</t>
        </is>
      </c>
      <c r="AA203" s="72" t="n">
        <v>2.54</v>
      </c>
      <c r="AB203" s="73" t="n">
        <v>3.39</v>
      </c>
      <c r="AC203" s="73" t="n">
        <v>-0.82</v>
      </c>
      <c r="AD203" s="73" t="n">
        <v>-10.17</v>
      </c>
      <c r="AE203" s="73" t="n">
        <v>-27.12</v>
      </c>
      <c r="AF203" s="73" t="n">
        <v>-43.22</v>
      </c>
      <c r="AG203" s="73" t="n">
        <v>-12.4</v>
      </c>
      <c r="AH203" s="73" t="n">
        <v>-28.93</v>
      </c>
      <c r="AI203" s="73" t="n">
        <v>-44.63</v>
      </c>
      <c r="AJ203" s="73" t="n">
        <v>-11.75</v>
      </c>
      <c r="AK203" s="73" t="n">
        <v>-19.42</v>
      </c>
      <c r="AL203" s="73" t="n">
        <v>-27.99</v>
      </c>
      <c r="AM203" s="73" t="n">
        <v>-23.57</v>
      </c>
      <c r="AN203" s="73" t="n">
        <v>-7.7</v>
      </c>
      <c r="AO203" s="73" t="n">
        <v>-5.36</v>
      </c>
      <c r="AP203" s="63" t="inlineStr">
        <is>
          <t>Hang Seng Properties sub-index</t>
        </is>
      </c>
      <c r="AQ203" s="73" t="n">
        <v>148.73</v>
      </c>
      <c r="AR203" s="64" t="inlineStr">
        <is>
          <t>2026-08-20</t>
        </is>
      </c>
      <c r="AS203" s="65" t="n">
        <v>351.7</v>
      </c>
      <c r="AT203" s="68" t="n">
        <v>56</v>
      </c>
      <c r="AU203" s="63" t="inlineStr">
        <is>
          <t>Y</t>
        </is>
      </c>
      <c r="AV203" s="74" t="n">
        <v>12.3</v>
      </c>
      <c r="AW203" s="74" t="n"/>
      <c r="AX203" s="74" t="n">
        <v>42</v>
      </c>
      <c r="AY203" s="74" t="n">
        <v>2</v>
      </c>
      <c r="AZ203" s="75" t="inlineStr">
        <is>
          <t>N</t>
        </is>
      </c>
      <c r="BA203" s="76">
        <f>IF('BBG Verify'!K203="","not filed — run on terminal",'BBG Verify'!K203)</f>
        <v/>
      </c>
      <c r="BB203" s="63" t="inlineStr">
        <is>
          <t>N/A</t>
        </is>
      </c>
      <c r="BC203" s="63" t="inlineStr">
        <is>
          <t>N/A</t>
        </is>
      </c>
      <c r="BD203" s="63" t="inlineStr">
        <is>
          <t>N/A</t>
        </is>
      </c>
      <c r="BE203" s="63" t="inlineStr">
        <is>
          <t>N/A</t>
        </is>
      </c>
      <c r="BF203" s="63" t="inlineStr">
        <is>
          <t>N/A</t>
        </is>
      </c>
      <c r="BG203" s="75" t="inlineStr">
        <is>
          <t>China Merchants Securities (HK) Co., Limited; Huatai Financial Holdings (Hong Kong) Limited</t>
        </is>
      </c>
      <c r="BH203" s="63" t="inlineStr">
        <is>
          <t>Huatai Financial Holdings (Hong Kong) Limited; China Merchants Securities (HK) Company Limited</t>
        </is>
      </c>
      <c r="BI203" s="63" t="inlineStr">
        <is>
          <t>Guotai Junan Securities (Hong Kong) Limited; Central, Hong Kong CCB International Capital Limited; Central, Hong Kong Victory Securities Company Limited</t>
        </is>
      </c>
      <c r="BJ203" s="63" t="inlineStr">
        <is>
          <t>CCB International Capital Limited; China Merchants Securities (HK) Company Limited; Guotai Junan Securities (Hong Kong) Limited; Huatai Financial Holdings (Hong Kong) Limited; Victory Securities Company Limited</t>
        </is>
      </c>
      <c r="BK203" s="77">
        <f>HYPERLINK("https://www1.hkexnews.hk/listedco/listconews/sehk/2023/0630/2023063000209.pdf","prospectus")</f>
        <v/>
      </c>
      <c r="BL203" s="77">
        <f>HYPERLINK("https://www1.hkexnews.hk/listedco/listconews/sehk/2023/0717/2023071700006.htm","allotment")</f>
        <v/>
      </c>
      <c r="BM203" s="77">
        <f>HYPERLINK("https://www1.hkexnews.hk/listedco/listconews/sehk/2023/0810/2023081001406.pdf","stabilisation")</f>
        <v/>
      </c>
      <c r="BN203" s="75" t="n"/>
      <c r="BO203"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7" t="n">
        <v>1.41</v>
      </c>
      <c r="W204" s="63" t="inlineStr">
        <is>
          <t>ClinChoice Medical Development Limited; Harvest International Premium Value (Secondary Market) Fund SPC; RemeGen Hong Kong Limited; WuXi Biologics HealthCare Venture</t>
        </is>
      </c>
      <c r="X204" s="63" t="inlineStr">
        <is>
          <t>clinchoice;harvest;remegen;wuxi</t>
        </is>
      </c>
      <c r="Y204" s="67" t="n">
        <v>5.2</v>
      </c>
      <c r="Z204" s="63" t="inlineStr">
        <is>
          <t>partial</t>
        </is>
      </c>
      <c r="AA204" s="72" t="n">
        <v>4.95</v>
      </c>
      <c r="AB204" s="73" t="n">
        <v>13.98</v>
      </c>
      <c r="AC204" s="73" t="n">
        <v>-7.92</v>
      </c>
      <c r="AD204" s="73" t="n">
        <v>34.41</v>
      </c>
      <c r="AE204" s="73" t="n">
        <v>38.17</v>
      </c>
      <c r="AF204" s="73" t="n">
        <v>52.96</v>
      </c>
      <c r="AG204" s="73" t="n">
        <v>28.07</v>
      </c>
      <c r="AH204" s="73" t="n">
        <v>31.65</v>
      </c>
      <c r="AI204" s="73" t="n">
        <v>45.75</v>
      </c>
      <c r="AJ204" s="73" t="n">
        <v>35.61</v>
      </c>
      <c r="AK204" s="73" t="n">
        <v>35.54</v>
      </c>
      <c r="AL204" s="73" t="n">
        <v>47.82</v>
      </c>
      <c r="AM204" s="73" t="n">
        <v>28.82</v>
      </c>
      <c r="AN204" s="73" t="n">
        <v>2.63</v>
      </c>
      <c r="AO204" s="73" t="n">
        <v>2.83</v>
      </c>
      <c r="AP204" s="63" t="inlineStr">
        <is>
          <t>China Biotech ETF (HS biotech proxy)</t>
        </is>
      </c>
      <c r="AQ204" s="73" t="n">
        <v>-81.31999999999999</v>
      </c>
      <c r="AR204" s="64" t="inlineStr">
        <is>
          <t>2026-08-20</t>
        </is>
      </c>
      <c r="AS204" s="65" t="n">
        <v>0.3</v>
      </c>
      <c r="AT204" s="68" t="n">
        <v>-164</v>
      </c>
      <c r="AU204" s="63" t="inlineStr">
        <is>
          <t>N</t>
        </is>
      </c>
      <c r="AV204" s="63" t="inlineStr">
        <is>
          <t>n/m</t>
        </is>
      </c>
      <c r="AW204" s="74" t="n"/>
      <c r="AX204" s="74" t="n"/>
      <c r="AY204" s="74" t="n">
        <v>20442.3</v>
      </c>
      <c r="AZ204" s="75" t="inlineStr">
        <is>
          <t>N</t>
        </is>
      </c>
      <c r="BA204" s="76">
        <f>IF('BBG Verify'!K204="","not filed — run on terminal",'BBG Verify'!K204)</f>
        <v/>
      </c>
      <c r="BB204" s="63" t="inlineStr">
        <is>
          <t>N/A</t>
        </is>
      </c>
      <c r="BC204" s="63" t="inlineStr">
        <is>
          <t>N/A</t>
        </is>
      </c>
      <c r="BD204" s="63" t="inlineStr">
        <is>
          <t>N/A</t>
        </is>
      </c>
      <c r="BE204" s="63" t="inlineStr">
        <is>
          <t>N/A</t>
        </is>
      </c>
      <c r="BF204" s="63" t="inlineStr">
        <is>
          <t>N/A</t>
        </is>
      </c>
      <c r="BG204" s="75" t="inlineStr">
        <is>
          <t>Morgan Stanley Asia Limited; China International Capital Corporation Hong Kong Securities Limited</t>
        </is>
      </c>
      <c r="BH204" s="63" t="inlineStr">
        <is>
          <t>China International Capital Corporation Hong Kong Securities Limited; Morgan Stanley Asia Limited</t>
        </is>
      </c>
      <c r="BI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7">
        <f>HYPERLINK("https://www1.hkexnews.hk/listedco/listconews/sehk/2023/0824/2023082400037.pdf","prospectus")</f>
        <v/>
      </c>
      <c r="BL204" s="77">
        <f>HYPERLINK("https://www1.hkexnews.hk/listedco/listconews/sehk/2023/0904/2023090400006.htm","allotment")</f>
        <v/>
      </c>
      <c r="BM204" s="77">
        <f>HYPERLINK("https://www1.hkexnews.hk/listedco/listconews/sehk/2023/0928/2023092802361.pdf","stabilisation")</f>
        <v/>
      </c>
      <c r="BN204" s="75" t="n"/>
      <c r="BO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7" t="n">
        <v>3.57</v>
      </c>
      <c r="W205" s="63" t="inlineStr">
        <is>
          <t>Chengdu Puhua Kaizhi Biotechnology Co., Ltd; Wuhan Optics Valley Health Industry Investment Ltd</t>
        </is>
      </c>
      <c r="X205" s="63" t="inlineStr">
        <is>
          <t>chengdu;wuhan</t>
        </is>
      </c>
      <c r="Y205" s="67" t="n">
        <v>6.5</v>
      </c>
      <c r="Z205" s="63" t="inlineStr">
        <is>
          <t>partial</t>
        </is>
      </c>
      <c r="AA205" s="72" t="n">
        <v>0</v>
      </c>
      <c r="AB205" s="73" t="n">
        <v>2.5</v>
      </c>
      <c r="AC205" s="73" t="n">
        <v>-2.44</v>
      </c>
      <c r="AD205" s="73" t="n">
        <v>-6.25</v>
      </c>
      <c r="AE205" s="73" t="n">
        <v>-40.38</v>
      </c>
      <c r="AF205" s="73" t="n">
        <v>-45.19</v>
      </c>
      <c r="AG205" s="73" t="n">
        <v>-6.25</v>
      </c>
      <c r="AH205" s="73" t="n">
        <v>-40.38</v>
      </c>
      <c r="AI205" s="73" t="n">
        <v>-45.19</v>
      </c>
      <c r="AJ205" s="73" t="n">
        <v>-7.02</v>
      </c>
      <c r="AK205" s="73" t="n">
        <v>-45.61</v>
      </c>
      <c r="AL205" s="73" t="n">
        <v>-44.92</v>
      </c>
      <c r="AM205" s="73" t="n">
        <v>-44.99</v>
      </c>
      <c r="AN205" s="73" t="n">
        <v>5.23</v>
      </c>
      <c r="AO205" s="73" t="n">
        <v>4.61</v>
      </c>
      <c r="AP205" s="63" t="inlineStr">
        <is>
          <t>China Biotech ETF (HS biotech proxy)</t>
        </is>
      </c>
      <c r="AQ205" s="73" t="n">
        <v>-77.5</v>
      </c>
      <c r="AR205" s="64" t="inlineStr">
        <is>
          <t>2026-08-21</t>
        </is>
      </c>
      <c r="AS205" s="65" t="n">
        <v>2.2</v>
      </c>
      <c r="AT205" s="68" t="n">
        <v>-207.8</v>
      </c>
      <c r="AU205" s="63" t="inlineStr">
        <is>
          <t>N</t>
        </is>
      </c>
      <c r="AV205" s="63" t="inlineStr">
        <is>
          <t>n/m</t>
        </is>
      </c>
      <c r="AW205" s="74" t="n"/>
      <c r="AX205" s="74" t="n"/>
      <c r="AY205" s="74" t="n">
        <v>1403.5</v>
      </c>
      <c r="AZ205" s="75" t="inlineStr">
        <is>
          <t>N</t>
        </is>
      </c>
      <c r="BA205" s="76">
        <f>IF('BBG Verify'!K205="","not filed — run on terminal",'BBG Verify'!K205)</f>
        <v/>
      </c>
      <c r="BB205" s="63" t="inlineStr">
        <is>
          <t>N/A</t>
        </is>
      </c>
      <c r="BC205" s="63" t="inlineStr">
        <is>
          <t>N/A</t>
        </is>
      </c>
      <c r="BD205" s="63" t="inlineStr">
        <is>
          <t>N/A</t>
        </is>
      </c>
      <c r="BE205" s="63" t="inlineStr">
        <is>
          <t>N/A</t>
        </is>
      </c>
      <c r="BF205" s="63" t="inlineStr">
        <is>
          <t>N/A</t>
        </is>
      </c>
      <c r="BG205" s="75" t="n"/>
      <c r="BH205" s="63" t="inlineStr">
        <is>
          <t>China Securities (International) Corporate Finance Company Limited</t>
        </is>
      </c>
      <c r="BI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7">
        <f>HYPERLINK("https://www1.hkexnews.hk/listedco/listconews/sehk/2023/0913/2023091300013.pdf","prospectus")</f>
        <v/>
      </c>
      <c r="BL205" s="77">
        <f>HYPERLINK("https://www1.hkexnews.hk/listedco/listconews/sehk/2023/0922/2023092200024.htm","allotment")</f>
        <v/>
      </c>
      <c r="BM205" s="77">
        <f>HYPERLINK("https://www1.hkexnews.hk/listedco/listconews/sehk/2023/1019/2023101900003.pdf","stabilisation")</f>
        <v/>
      </c>
      <c r="BN205" s="75" t="n"/>
      <c r="BO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c r="L206" s="66" t="n">
        <v>5.55</v>
      </c>
      <c r="M206" s="66" t="n">
        <v>5.13</v>
      </c>
      <c r="N206" s="63" t="inlineStr">
        <is>
          <t>N</t>
        </is>
      </c>
      <c r="O206" s="67" t="n">
        <v>92.40000000000001</v>
      </c>
      <c r="P206" s="67" t="n"/>
      <c r="Q206" s="68" t="n">
        <v>1565</v>
      </c>
      <c r="R206" s="63" t="inlineStr">
        <is>
          <t>aastocks:上市市值 at the struck price</t>
        </is>
      </c>
      <c r="S206" s="69" t="n">
        <v>4.77</v>
      </c>
      <c r="T206" s="70" t="n">
        <v>1.53</v>
      </c>
      <c r="U206" s="71" t="n">
        <v>0</v>
      </c>
      <c r="V206" s="67" t="n">
        <v>9.300000000000001</v>
      </c>
      <c r="W206" s="63" t="n"/>
      <c r="X206" s="63" t="n"/>
      <c r="Y206" s="67" t="n">
        <v>10.66</v>
      </c>
      <c r="Z206" s="63" t="inlineStr">
        <is>
          <t>partial</t>
        </is>
      </c>
      <c r="AA206" s="72" t="n">
        <v>-0.58</v>
      </c>
      <c r="AB206" s="73" t="n">
        <v>0</v>
      </c>
      <c r="AC206" s="73" t="n">
        <v>-0.58</v>
      </c>
      <c r="AD206" s="73" t="n">
        <v>3.7</v>
      </c>
      <c r="AE206" s="73" t="n">
        <v>-7.8</v>
      </c>
      <c r="AF206" s="73" t="n">
        <v>-0.19</v>
      </c>
      <c r="AG206" s="73" t="n">
        <v>4.3</v>
      </c>
      <c r="AH206" s="73" t="n">
        <v>-7.26</v>
      </c>
      <c r="AI206" s="73" t="n">
        <v>0.39</v>
      </c>
      <c r="AJ206" s="73" t="n">
        <v>8.210000000000001</v>
      </c>
      <c r="AK206" s="73" t="n">
        <v>-1.18</v>
      </c>
      <c r="AL206" s="73" t="n">
        <v>10.99</v>
      </c>
      <c r="AM206" s="73" t="n">
        <v>-2.58</v>
      </c>
      <c r="AN206" s="73" t="n">
        <v>-6.62</v>
      </c>
      <c r="AO206" s="73" t="n">
        <v>-4.68</v>
      </c>
      <c r="AP206" s="63" t="inlineStr">
        <is>
          <t>Hang Seng Commerce &amp; Industry sub-index</t>
        </is>
      </c>
      <c r="AQ206" s="73" t="n">
        <v>77</v>
      </c>
      <c r="AR206" s="64" t="inlineStr">
        <is>
          <t>2026-08-24</t>
        </is>
      </c>
      <c r="AS206" s="65" t="n">
        <v>5068.7</v>
      </c>
      <c r="AT206" s="68" t="n">
        <v>424.9</v>
      </c>
      <c r="AU206" s="63" t="inlineStr">
        <is>
          <t>Y</t>
        </is>
      </c>
      <c r="AV206" s="74" t="n">
        <v>3.7</v>
      </c>
      <c r="AW206" s="74" t="n"/>
      <c r="AX206" s="74" t="n">
        <v>18</v>
      </c>
      <c r="AY206" s="74" t="n">
        <v>0.3</v>
      </c>
      <c r="AZ206" s="75" t="inlineStr">
        <is>
          <t>N</t>
        </is>
      </c>
      <c r="BA206" s="76">
        <f>IF('BBG Verify'!K206="","not filed — run on terminal",'BBG Verify'!K206)</f>
        <v/>
      </c>
      <c r="BB206" s="63" t="inlineStr">
        <is>
          <t>N/A</t>
        </is>
      </c>
      <c r="BC206" s="63" t="inlineStr">
        <is>
          <t>N/A</t>
        </is>
      </c>
      <c r="BD206" s="63" t="inlineStr">
        <is>
          <t>N/A</t>
        </is>
      </c>
      <c r="BE206" s="63" t="inlineStr">
        <is>
          <t>N/A</t>
        </is>
      </c>
      <c r="BF206" s="63" t="inlineStr">
        <is>
          <t>N/A</t>
        </is>
      </c>
      <c r="BG206" s="75" t="inlineStr">
        <is>
          <t>CITIC Securities (Hong Kong) Limited; ABCI Capital Limited</t>
        </is>
      </c>
      <c r="BH206" s="63" t="inlineStr">
        <is>
          <t>CITIC Securities (Hong Kong) Limited; ABCI Capital Limited</t>
        </is>
      </c>
      <c r="BI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7">
        <f>HYPERLINK("https://www1.hkexnews.hk/listedco/listconews/sehk/2023/0913/2023091300017.pdf","prospectus")</f>
        <v/>
      </c>
      <c r="BL206" s="77">
        <f>HYPERLINK("https://www1.hkexnews.hk/listedco/listconews/sehk/2023/0922/2023092200056.htm","allotment")</f>
        <v/>
      </c>
      <c r="BM206" s="77">
        <f>HYPERLINK("https://www1.hkexnews.hk/listedco/listconews/sehk/2023/1018/2023101800796.pdf","stabilisation")</f>
        <v/>
      </c>
      <c r="BN206" s="75" t="n"/>
      <c r="BO206"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173</v>
      </c>
      <c r="J207" s="63" t="inlineStr">
        <is>
          <t>net proceeds</t>
        </is>
      </c>
      <c r="K207" s="66" t="n">
        <v>28</v>
      </c>
      <c r="L207" s="66" t="n">
        <v>31</v>
      </c>
      <c r="M207" s="66" t="n">
        <v>28</v>
      </c>
      <c r="N207" s="63" t="inlineStr">
        <is>
          <t>N</t>
        </is>
      </c>
      <c r="O207" s="67" t="n">
        <v>90.3</v>
      </c>
      <c r="P207" s="67" t="n">
        <v>0</v>
      </c>
      <c r="Q207" s="68" t="n">
        <v>24157.3</v>
      </c>
      <c r="R207" s="63" t="inlineStr">
        <is>
          <t>aastocks:上市市值 at the struck price</t>
        </is>
      </c>
      <c r="S207" s="69" t="n">
        <v>2.67</v>
      </c>
      <c r="T207" s="70" t="n">
        <v>2.3</v>
      </c>
      <c r="U207" s="71" t="n">
        <v>90</v>
      </c>
      <c r="V207" s="67" t="n">
        <v>0.07000000000000001</v>
      </c>
      <c r="W207" s="63" t="inlineStr">
        <is>
          <t>Castrol Holdings International Limited; Image Frame Investment (HK) Limited; Shanghai Zizhu High-tech Zone (Group) Co., Ltd; Zhejiang Leapmotor Technology Co., Ltd</t>
        </is>
      </c>
      <c r="X207" s="63" t="inlineStr">
        <is>
          <t>castrol;image;shanghai-zizhu;zhejiang</t>
        </is>
      </c>
      <c r="Y207" s="67" t="n">
        <v>5.7</v>
      </c>
      <c r="Z207" s="63" t="inlineStr">
        <is>
          <t>partial</t>
        </is>
      </c>
      <c r="AA207" s="72" t="n">
        <v>5.36</v>
      </c>
      <c r="AB207" s="73" t="n">
        <v>0</v>
      </c>
      <c r="AC207" s="73" t="n">
        <v>5.36</v>
      </c>
      <c r="AD207" s="73" t="n">
        <v>2.5</v>
      </c>
      <c r="AE207" s="73" t="n">
        <v>25.71</v>
      </c>
      <c r="AF207" s="73" t="n">
        <v>6.96</v>
      </c>
      <c r="AG207" s="73" t="n">
        <v>-2.71</v>
      </c>
      <c r="AH207" s="73" t="n">
        <v>19.31</v>
      </c>
      <c r="AI207" s="73" t="n">
        <v>1.52</v>
      </c>
      <c r="AJ207" s="73" t="n">
        <v>6.06</v>
      </c>
      <c r="AK207" s="73" t="n">
        <v>27.86</v>
      </c>
      <c r="AL207" s="73" t="n">
        <v>10.31</v>
      </c>
      <c r="AM207" s="73" t="n">
        <v>19.69</v>
      </c>
      <c r="AN207" s="73" t="n">
        <v>-2.15</v>
      </c>
      <c r="AO207" s="73" t="n">
        <v>-0.38</v>
      </c>
      <c r="AP207" s="63" t="inlineStr">
        <is>
          <t>HSTECH (Hang Seng TECH ETF)</t>
        </is>
      </c>
      <c r="AQ207" s="73" t="n">
        <v>-57.21</v>
      </c>
      <c r="AR207" s="64" t="inlineStr">
        <is>
          <t>2026-08-20</t>
        </is>
      </c>
      <c r="AS207" s="65" t="n">
        <v>12896.7</v>
      </c>
      <c r="AT207" s="68" t="n">
        <v>-6429.3</v>
      </c>
      <c r="AU207" s="63" t="inlineStr">
        <is>
          <t>N</t>
        </is>
      </c>
      <c r="AV207" s="63" t="inlineStr">
        <is>
          <t>n/m</t>
        </is>
      </c>
      <c r="AW207" s="74" t="n"/>
      <c r="AX207" s="74" t="n">
        <v>18.7</v>
      </c>
      <c r="AY207" s="74" t="n">
        <v>1.9</v>
      </c>
      <c r="AZ207" s="75" t="inlineStr">
        <is>
          <t>N</t>
        </is>
      </c>
      <c r="BA207" s="76">
        <f>IF('BBG Verify'!K207="","not filed — run on terminal",'BBG Verify'!K207)</f>
        <v/>
      </c>
      <c r="BB207" s="63" t="inlineStr">
        <is>
          <t>N/A</t>
        </is>
      </c>
      <c r="BC207" s="63" t="inlineStr">
        <is>
          <t>N/A</t>
        </is>
      </c>
      <c r="BD207" s="63" t="inlineStr">
        <is>
          <t>N/A</t>
        </is>
      </c>
      <c r="BE207" s="63" t="inlineStr">
        <is>
          <t>N/A</t>
        </is>
      </c>
      <c r="BF207" s="63" t="inlineStr">
        <is>
          <t>N/A</t>
        </is>
      </c>
      <c r="BG207" s="75" t="inlineStr">
        <is>
          <t>Goldman Sachs (Asia) L.L.C; China International Capital Corporation Hong Kong Securities Limited; Merrill Lynch (Asia Pacific) Limited; UBS AG Hong Kong Branch</t>
        </is>
      </c>
      <c r="BH207" s="63" t="inlineStr">
        <is>
          <t>China International Capital Corporation Hong Kong Securities Limited; UBS Securities Hong Kong Limited; Merrill Lynch (Asia Pacific) Limited; Goldman Sachs (Asia) L.L.C.</t>
        </is>
      </c>
      <c r="BI207" s="63"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7">
        <f>HYPERLINK("https://www1.hkexnews.hk/listedco/listconews/sehk/2023/0914/2023091400024.htm","prospectus")</f>
        <v/>
      </c>
      <c r="BL207" s="77">
        <f>HYPERLINK("https://www1.hkexnews.hk/listedco/listconews/sehk/2023/0925/2023092500012.htm","allotment")</f>
        <v/>
      </c>
      <c r="BM207" s="77">
        <f>HYPERLINK("https://www1.hkexnews.hk/listedco/listconews/sehk/2023/1019/2023101901082.pdf","stabilisation")</f>
        <v/>
      </c>
      <c r="BN207" s="75" t="n"/>
      <c r="BO207" s="63"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7" t="n">
        <v>8.67</v>
      </c>
      <c r="W208" s="63" t="inlineStr">
        <is>
          <t>INFO EXPERT SERVICES LIMITED; Ningbo Haishu Industrial Investment Co., Ltd; Ningbo Industrial Development Fund Co., Ltd</t>
        </is>
      </c>
      <c r="X208" s="63" t="inlineStr">
        <is>
          <t>info;ningbo</t>
        </is>
      </c>
      <c r="Y208" s="67" t="n">
        <v>17.85</v>
      </c>
      <c r="Z208" s="63" t="n"/>
      <c r="AA208" s="72" t="n">
        <v>-42.86</v>
      </c>
      <c r="AB208" s="73" t="n">
        <v>-22.48</v>
      </c>
      <c r="AC208" s="73" t="n">
        <v>-26.29</v>
      </c>
      <c r="AD208" s="73" t="n">
        <v>-51.26</v>
      </c>
      <c r="AE208" s="73" t="n">
        <v>-66.39</v>
      </c>
      <c r="AF208" s="73" t="n">
        <v>-70.17</v>
      </c>
      <c r="AG208" s="73" t="n">
        <v>-14.7</v>
      </c>
      <c r="AH208" s="73" t="n">
        <v>-41.18</v>
      </c>
      <c r="AI208" s="73" t="n">
        <v>-47.79</v>
      </c>
      <c r="AJ208" s="73" t="n">
        <v>-49.28</v>
      </c>
      <c r="AK208" s="73" t="n">
        <v>-71.06</v>
      </c>
      <c r="AL208" s="73" t="n">
        <v>-65.91</v>
      </c>
      <c r="AM208" s="73" t="n">
        <v>-47.15</v>
      </c>
      <c r="AN208" s="73" t="n">
        <v>4.67</v>
      </c>
      <c r="AO208" s="73" t="n">
        <v>5.97</v>
      </c>
      <c r="AP208" s="63" t="inlineStr">
        <is>
          <t>China Biotech ETF (HS biotech proxy)</t>
        </is>
      </c>
      <c r="AQ208" s="73" t="n">
        <v>-82.14</v>
      </c>
      <c r="AR208" s="64" t="inlineStr">
        <is>
          <t>2026-08-20</t>
        </is>
      </c>
      <c r="AS208" s="65" t="n">
        <v>756.2</v>
      </c>
      <c r="AT208" s="68" t="n">
        <v>-267.6</v>
      </c>
      <c r="AU208" s="63" t="inlineStr">
        <is>
          <t>N</t>
        </is>
      </c>
      <c r="AV208" s="63" t="inlineStr">
        <is>
          <t>n/m</t>
        </is>
      </c>
      <c r="AW208" s="74" t="n"/>
      <c r="AX208" s="74" t="n"/>
      <c r="AY208" s="74" t="n">
        <v>6.3</v>
      </c>
      <c r="AZ208" s="75" t="inlineStr">
        <is>
          <t>N</t>
        </is>
      </c>
      <c r="BA208" s="76">
        <f>IF('BBG Verify'!K208="","not filed — run on terminal",'BBG Verify'!K208)</f>
        <v/>
      </c>
      <c r="BB208" s="63" t="inlineStr">
        <is>
          <t>N/A</t>
        </is>
      </c>
      <c r="BC208" s="63" t="inlineStr">
        <is>
          <t>N/A</t>
        </is>
      </c>
      <c r="BD208" s="63" t="inlineStr">
        <is>
          <t>N/A</t>
        </is>
      </c>
      <c r="BE208" s="63" t="inlineStr">
        <is>
          <t>N/A</t>
        </is>
      </c>
      <c r="BF208" s="63" t="inlineStr">
        <is>
          <t>N/A</t>
        </is>
      </c>
      <c r="BG208" s="75" t="n"/>
      <c r="BH208" s="63" t="inlineStr">
        <is>
          <t>China International Capital Corporation Hong Kong Securities Limited</t>
        </is>
      </c>
      <c r="BI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7">
        <f>HYPERLINK("https://www1.hkexnews.hk/listedco/listconews/sehk/2023/0918/2023091800017.pdf","prospectus")</f>
        <v/>
      </c>
      <c r="BL208" s="77">
        <f>HYPERLINK("https://www1.hkexnews.hk/listedco/listconews/sehk/2023/0927/2023092700030.htm","allotment")</f>
        <v/>
      </c>
      <c r="BM208" s="63" t="n"/>
      <c r="BN208" s="75" t="n"/>
      <c r="BO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7" t="n">
        <v>2.7</v>
      </c>
      <c r="W209" s="63" t="inlineStr">
        <is>
          <t>4399 Net Limited; Aofei Data International Company Limited; Hong Kong Longsin Co., Limited; Shangrao High-speed Industrial Investment</t>
        </is>
      </c>
      <c r="X209" s="63" t="inlineStr">
        <is>
          <t>4399;aofei;longsin;shangrao</t>
        </is>
      </c>
      <c r="Y209" s="67" t="n">
        <v>20</v>
      </c>
      <c r="Z209" s="63" t="inlineStr">
        <is>
          <t>lapsed</t>
        </is>
      </c>
      <c r="AA209" s="72" t="n">
        <v>0</v>
      </c>
      <c r="AB209" s="73" t="n">
        <v>-1.57</v>
      </c>
      <c r="AC209" s="73" t="n">
        <v>1.6</v>
      </c>
      <c r="AD209" s="73" t="n">
        <v>-3.86</v>
      </c>
      <c r="AE209" s="73" t="n">
        <v>-14.29</v>
      </c>
      <c r="AF209" s="73" t="n">
        <v>240.36</v>
      </c>
      <c r="AG209" s="73" t="n">
        <v>-3.86</v>
      </c>
      <c r="AH209" s="73" t="n">
        <v>-14.29</v>
      </c>
      <c r="AI209" s="73" t="n">
        <v>240.36</v>
      </c>
      <c r="AJ209" s="73" t="n">
        <v>-3.15</v>
      </c>
      <c r="AK209" s="73" t="n">
        <v>-11.45</v>
      </c>
      <c r="AL209" s="73" t="n">
        <v>245.03</v>
      </c>
      <c r="AM209" s="73" t="n">
        <v>-12.79</v>
      </c>
      <c r="AN209" s="73" t="n">
        <v>-2.84</v>
      </c>
      <c r="AO209" s="73" t="n">
        <v>-1.5</v>
      </c>
      <c r="AP209" s="63" t="inlineStr">
        <is>
          <t>Hang Seng Index</t>
        </is>
      </c>
      <c r="AQ209" s="73" t="n">
        <v>-29.79</v>
      </c>
      <c r="AR209" s="64" t="inlineStr">
        <is>
          <t>2026-08-20</t>
        </is>
      </c>
      <c r="AS209" s="65" t="n">
        <v>9698.9</v>
      </c>
      <c r="AT209" s="68" t="n">
        <v>661.7</v>
      </c>
      <c r="AU209" s="63" t="inlineStr">
        <is>
          <t>Y</t>
        </is>
      </c>
      <c r="AV209" s="74" t="n">
        <v>11.3</v>
      </c>
      <c r="AW209" s="74" t="n"/>
      <c r="AX209" s="74" t="n">
        <v>3</v>
      </c>
      <c r="AY209" s="74" t="n">
        <v>0.8</v>
      </c>
      <c r="AZ209" s="75" t="inlineStr">
        <is>
          <t>N</t>
        </is>
      </c>
      <c r="BA209" s="76">
        <f>IF('BBG Verify'!K209="","not filed — run on terminal",'BBG Verify'!K209)</f>
        <v/>
      </c>
      <c r="BB209" s="63" t="inlineStr">
        <is>
          <t>N/A</t>
        </is>
      </c>
      <c r="BC209" s="63" t="inlineStr">
        <is>
          <t>N/A</t>
        </is>
      </c>
      <c r="BD209" s="63" t="inlineStr">
        <is>
          <t>N/A</t>
        </is>
      </c>
      <c r="BE209" s="63" t="inlineStr">
        <is>
          <t>N/A</t>
        </is>
      </c>
      <c r="BF209" s="63" t="inlineStr">
        <is>
          <t>N/A</t>
        </is>
      </c>
      <c r="BG209" s="75" t="n"/>
      <c r="BH209" s="63" t="inlineStr">
        <is>
          <t>China International Capital Corporation Hong Kong Securities Limited; China Securities (International) Corporate Finance Company Limited</t>
        </is>
      </c>
      <c r="BI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7">
        <f>HYPERLINK("https://www1.hkexnews.hk/listedco/listconews/sehk/2023/0918/2023091800015.pdf","prospectus")</f>
        <v/>
      </c>
      <c r="BL209" s="77">
        <f>HYPERLINK("https://www1.hkexnews.hk/listedco/listconews/sehk/2023/0927/2023092700046.htm","allotment")</f>
        <v/>
      </c>
      <c r="BM209" s="77">
        <f>HYPERLINK("https://www1.hkexnews.hk/listedco/listconews/sehk/2023/1023/2023102300009.pdf","stabilisation")</f>
        <v/>
      </c>
      <c r="BN209" s="75" t="n"/>
      <c r="BO209" s="63"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7" t="n">
        <v>2.74</v>
      </c>
      <c r="W210" s="63" t="inlineStr">
        <is>
          <t>Montage Technology Holdings Company Limited; New China Capital Management Limited</t>
        </is>
      </c>
      <c r="X210" s="63" t="inlineStr">
        <is>
          <t>montage;new</t>
        </is>
      </c>
      <c r="Y210" s="67" t="n">
        <v>17.6</v>
      </c>
      <c r="Z210" s="63" t="inlineStr">
        <is>
          <t>partial</t>
        </is>
      </c>
      <c r="AA210" s="72" t="n">
        <v>5.22</v>
      </c>
      <c r="AB210" s="73" t="n">
        <v>13.49</v>
      </c>
      <c r="AC210" s="73" t="n">
        <v>-7.29</v>
      </c>
      <c r="AD210" s="73" t="n">
        <v>-2.88</v>
      </c>
      <c r="AE210" s="73" t="n">
        <v>-6.47</v>
      </c>
      <c r="AF210" s="73" t="n">
        <v>-10.79</v>
      </c>
      <c r="AG210" s="73" t="n">
        <v>-7.7</v>
      </c>
      <c r="AH210" s="73" t="n">
        <v>-11.11</v>
      </c>
      <c r="AI210" s="73" t="n">
        <v>-15.22</v>
      </c>
      <c r="AJ210" s="73" t="n">
        <v>-2.51</v>
      </c>
      <c r="AK210" s="73" t="n">
        <v>-4.66</v>
      </c>
      <c r="AL210" s="73" t="n">
        <v>-7.97</v>
      </c>
      <c r="AM210" s="73" t="n">
        <v>-10.67</v>
      </c>
      <c r="AN210" s="73" t="n">
        <v>-1.81</v>
      </c>
      <c r="AO210" s="73" t="n">
        <v>-0.44</v>
      </c>
      <c r="AP210" s="63" t="inlineStr">
        <is>
          <t>HSTECH (Hang Seng TECH ETF)</t>
        </is>
      </c>
      <c r="AQ210" s="73" t="n">
        <v>-49.28</v>
      </c>
      <c r="AR210" s="64" t="inlineStr">
        <is>
          <t>2026-08-20</t>
        </is>
      </c>
      <c r="AS210" s="65" t="n">
        <v>3391.3</v>
      </c>
      <c r="AT210" s="68" t="n">
        <v>-1818.3</v>
      </c>
      <c r="AU210" s="63" t="inlineStr">
        <is>
          <t>N</t>
        </is>
      </c>
      <c r="AV210" s="63" t="inlineStr">
        <is>
          <t>n/m</t>
        </is>
      </c>
      <c r="AW210" s="74" t="n"/>
      <c r="AX210" s="74" t="n"/>
      <c r="AY210" s="74" t="n">
        <v>6.7</v>
      </c>
      <c r="AZ210" s="75" t="inlineStr">
        <is>
          <t>N</t>
        </is>
      </c>
      <c r="BA210" s="76">
        <f>IF('BBG Verify'!K210="","not filed — run on terminal",'BBG Verify'!K210)</f>
        <v/>
      </c>
      <c r="BB210" s="63" t="inlineStr">
        <is>
          <t>N/A</t>
        </is>
      </c>
      <c r="BC210" s="63" t="inlineStr">
        <is>
          <t>N/A</t>
        </is>
      </c>
      <c r="BD210" s="63" t="inlineStr">
        <is>
          <t>N/A</t>
        </is>
      </c>
      <c r="BE210" s="63" t="inlineStr">
        <is>
          <t>N/A</t>
        </is>
      </c>
      <c r="BF210" s="63" t="inlineStr">
        <is>
          <t>N/A</t>
        </is>
      </c>
      <c r="BG210" s="75" t="inlineStr">
        <is>
          <t>China International Capital Corporation Hong Kong Securities Limited</t>
        </is>
      </c>
      <c r="BH210" s="63" t="inlineStr">
        <is>
          <t>China International Capital Corporation Hong Kong Securities Limited</t>
        </is>
      </c>
      <c r="BI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7">
        <f>HYPERLINK("https://www1.hkexnews.hk/listedco/listconews/sehk/2023/0918/2023091800009.pdf","prospectus")</f>
        <v/>
      </c>
      <c r="BL210" s="77">
        <f>HYPERLINK("https://www1.hkexnews.hk/listedco/listconews/sehk/2023/0927/2023092700070.htm","allotment")</f>
        <v/>
      </c>
      <c r="BM210" s="77">
        <f>HYPERLINK("https://www1.hkexnews.hk/listedco/listconews/sehk/2023/1023/2023102300123.pdf","stabilisation")</f>
        <v/>
      </c>
      <c r="BN210" s="75" t="n"/>
      <c r="BO210" s="63"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7" t="n">
        <v>10.08</v>
      </c>
      <c r="W211" s="63" t="inlineStr">
        <is>
          <t>Qingdao Haiming, Qingdao Hainuo and Qingdao Financial; Shenzhen Futian Guiding Fund Investment Co., Ltd</t>
        </is>
      </c>
      <c r="X211" s="63" t="inlineStr">
        <is>
          <t>qingdao;shenzhen-futian</t>
        </is>
      </c>
      <c r="Y211" s="67" t="n">
        <v>15.21</v>
      </c>
      <c r="Z211" s="63" t="inlineStr">
        <is>
          <t>lapsed (no over-allocation)</t>
        </is>
      </c>
      <c r="AA211" s="72" t="n">
        <v>-24.92</v>
      </c>
      <c r="AB211" s="73" t="n">
        <v>-17.08</v>
      </c>
      <c r="AC211" s="73" t="n">
        <v>-9.449999999999999</v>
      </c>
      <c r="AD211" s="73" t="n">
        <v>-38.46</v>
      </c>
      <c r="AE211" s="73" t="n">
        <v>-13.85</v>
      </c>
      <c r="AF211" s="73" t="n">
        <v>-20.15</v>
      </c>
      <c r="AG211" s="73" t="n">
        <v>-18.03</v>
      </c>
      <c r="AH211" s="73" t="n">
        <v>14.74</v>
      </c>
      <c r="AI211" s="73" t="n">
        <v>6.35</v>
      </c>
      <c r="AJ211" s="73" t="n">
        <v>-42.8</v>
      </c>
      <c r="AK211" s="73" t="n">
        <v>-15.01</v>
      </c>
      <c r="AL211" s="73" t="n">
        <v>-17.37</v>
      </c>
      <c r="AM211" s="73" t="n">
        <v>15.47</v>
      </c>
      <c r="AN211" s="73" t="n">
        <v>1.16</v>
      </c>
      <c r="AO211" s="73" t="n">
        <v>-0.73</v>
      </c>
      <c r="AP211" s="63" t="inlineStr">
        <is>
          <t>Hang Seng Finance sub-index</t>
        </is>
      </c>
      <c r="AQ211" s="73" t="n">
        <v>-69.23</v>
      </c>
      <c r="AR211" s="64" t="inlineStr">
        <is>
          <t>2026-08-19</t>
        </is>
      </c>
      <c r="AS211" s="65" t="n">
        <v>465.5</v>
      </c>
      <c r="AT211" s="68" t="n">
        <v>823.9</v>
      </c>
      <c r="AU211" s="63" t="inlineStr">
        <is>
          <t>Y</t>
        </is>
      </c>
      <c r="AV211" s="74" t="n">
        <v>7.6</v>
      </c>
      <c r="AW211" s="74" t="n"/>
      <c r="AX211" s="74" t="n">
        <v>6</v>
      </c>
      <c r="AY211" s="74" t="n">
        <v>13.4</v>
      </c>
      <c r="AZ211" s="75" t="inlineStr">
        <is>
          <t>N</t>
        </is>
      </c>
      <c r="BA211" s="76">
        <f>IF('BBG Verify'!K211="","not filed — run on terminal",'BBG Verify'!K211)</f>
        <v/>
      </c>
      <c r="BB211" s="63" t="inlineStr">
        <is>
          <t>N/A</t>
        </is>
      </c>
      <c r="BC211" s="63" t="inlineStr">
        <is>
          <t>N/A</t>
        </is>
      </c>
      <c r="BD211" s="63" t="inlineStr">
        <is>
          <t>N/A</t>
        </is>
      </c>
      <c r="BE211" s="63" t="inlineStr">
        <is>
          <t>N/A</t>
        </is>
      </c>
      <c r="BF211" s="63" t="inlineStr">
        <is>
          <t>N/A</t>
        </is>
      </c>
      <c r="BG211" s="75" t="inlineStr">
        <is>
          <t>Huatai Financial Holdings (Hong Kong) Limited; BOCI Asia Limited</t>
        </is>
      </c>
      <c r="BH211" s="63" t="inlineStr">
        <is>
          <t>Huatai Financial Holdings (Hong Kong) Limited; BOCI Asia Limited</t>
        </is>
      </c>
      <c r="BI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7">
        <f>HYPERLINK("https://www1.hkexnews.hk/listedco/listconews/sehk/2023/0925/2023092500007.pdf","prospectus")</f>
        <v/>
      </c>
      <c r="BL211" s="77">
        <f>HYPERLINK("https://www1.hkexnews.hk/listedco/listconews/sehk/2023/1005/2023100500006.htm","allotment")</f>
        <v/>
      </c>
      <c r="BM211" s="77">
        <f>HYPERLINK("https://www1.hkexnews.hk/listedco/listconews/sehk/2023/1101/2023110102578.pdf","stabilisation")</f>
        <v/>
      </c>
      <c r="BN211" s="75" t="n"/>
      <c r="BO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v>0</v>
      </c>
      <c r="V212" s="67" t="n">
        <v>24.08</v>
      </c>
      <c r="W212" s="63" t="n"/>
      <c r="X212" s="63" t="n"/>
      <c r="Y212" s="67" t="n">
        <v>15</v>
      </c>
      <c r="Z212" s="63" t="n"/>
      <c r="AA212" s="72" t="n">
        <v>38.14</v>
      </c>
      <c r="AB212" s="73" t="n">
        <v>4.24</v>
      </c>
      <c r="AC212" s="73" t="n">
        <v>32.52</v>
      </c>
      <c r="AD212" s="73" t="n">
        <v>14.41</v>
      </c>
      <c r="AE212" s="73" t="n">
        <v>11.86</v>
      </c>
      <c r="AF212" s="73" t="n">
        <v>-2.54</v>
      </c>
      <c r="AG212" s="73" t="n">
        <v>-17.18</v>
      </c>
      <c r="AH212" s="73" t="n">
        <v>-19.02</v>
      </c>
      <c r="AI212" s="73" t="n">
        <v>-29.45</v>
      </c>
      <c r="AJ212" s="73" t="n">
        <v>16.88</v>
      </c>
      <c r="AK212" s="73" t="n">
        <v>11.6</v>
      </c>
      <c r="AL212" s="73" t="n">
        <v>8.029999999999999</v>
      </c>
      <c r="AM212" s="73" t="n">
        <v>-17.22</v>
      </c>
      <c r="AN212" s="73" t="n">
        <v>0.26</v>
      </c>
      <c r="AO212" s="73" t="n">
        <v>-1.8</v>
      </c>
      <c r="AP212" s="63" t="inlineStr">
        <is>
          <t>HSTECH (Hang Seng TECH ETF)</t>
        </is>
      </c>
      <c r="AQ212" s="73" t="n">
        <v>23.73</v>
      </c>
      <c r="AR212" s="64" t="inlineStr">
        <is>
          <t>2026-08-20</t>
        </is>
      </c>
      <c r="AS212" s="65" t="n">
        <v>267.6</v>
      </c>
      <c r="AT212" s="68" t="n">
        <v>54</v>
      </c>
      <c r="AU212" s="63" t="inlineStr">
        <is>
          <t>Y</t>
        </is>
      </c>
      <c r="AV212" s="74" t="n">
        <v>11.3</v>
      </c>
      <c r="AW212" s="74" t="n"/>
      <c r="AX212" s="74" t="n">
        <v>100.2</v>
      </c>
      <c r="AY212" s="74" t="n">
        <v>2.3</v>
      </c>
      <c r="AZ212" s="75" t="inlineStr">
        <is>
          <t>N</t>
        </is>
      </c>
      <c r="BA212" s="76">
        <f>IF('BBG Verify'!K212="","not filed — run on terminal",'BBG Verify'!K212)</f>
        <v/>
      </c>
      <c r="BB212" s="63" t="inlineStr">
        <is>
          <t>N/A</t>
        </is>
      </c>
      <c r="BC212" s="63" t="inlineStr">
        <is>
          <t>N/A</t>
        </is>
      </c>
      <c r="BD212" s="63" t="inlineStr">
        <is>
          <t>N/A</t>
        </is>
      </c>
      <c r="BE212" s="63" t="inlineStr">
        <is>
          <t>N/A</t>
        </is>
      </c>
      <c r="BF212" s="63" t="inlineStr">
        <is>
          <t>N/A</t>
        </is>
      </c>
      <c r="BG212" s="75" t="inlineStr">
        <is>
          <t>Quam Capital Limited</t>
        </is>
      </c>
      <c r="BH212" s="63" t="inlineStr">
        <is>
          <t>Quam Capital Limited</t>
        </is>
      </c>
      <c r="BI212" s="63"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7">
        <f>HYPERLINK("https://www1.hkexnews.hk/listedco/listconews/sehk/2023/0928/2023092800100.htm","prospectus")</f>
        <v/>
      </c>
      <c r="BL212" s="77">
        <f>HYPERLINK("https://www1.hkexnews.hk/listedco/listconews/sehk/2023/1010/2023101000016.htm","allotment")</f>
        <v/>
      </c>
      <c r="BM212" s="63" t="n"/>
      <c r="BN212" s="75" t="n"/>
      <c r="BO212"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7" t="n">
        <v>3.73</v>
      </c>
      <c r="W213" s="63" t="inlineStr">
        <is>
          <t>Xinmin Tianshi Agricultural Industry Development Company Limited</t>
        </is>
      </c>
      <c r="X213" s="63" t="inlineStr">
        <is>
          <t>xinmin</t>
        </is>
      </c>
      <c r="Y213" s="67" t="n"/>
      <c r="Z213" s="63" t="n"/>
      <c r="AA213" s="72" t="n">
        <v>22.66</v>
      </c>
      <c r="AB213" s="73" t="n">
        <v>8.07</v>
      </c>
      <c r="AC213" s="73" t="n">
        <v>13.5</v>
      </c>
      <c r="AD213" s="73" t="n">
        <v>60.81</v>
      </c>
      <c r="AE213" s="73" t="n">
        <v>61.46</v>
      </c>
      <c r="AF213" s="73" t="n">
        <v>68.29000000000001</v>
      </c>
      <c r="AG213" s="73" t="n">
        <v>31.1</v>
      </c>
      <c r="AH213" s="73" t="n">
        <v>31.63</v>
      </c>
      <c r="AI213" s="73" t="n">
        <v>37.2</v>
      </c>
      <c r="AJ213" s="73" t="n">
        <v>64.68000000000001</v>
      </c>
      <c r="AK213" s="73" t="n">
        <v>63.15</v>
      </c>
      <c r="AL213" s="73" t="n">
        <v>80.25</v>
      </c>
      <c r="AM213" s="73" t="n">
        <v>34.98</v>
      </c>
      <c r="AN213" s="73" t="n">
        <v>-1.69</v>
      </c>
      <c r="AO213" s="73" t="n">
        <v>-3.35</v>
      </c>
      <c r="AP213" s="63" t="inlineStr">
        <is>
          <t>Hang Seng Commerce &amp; Industry sub-index</t>
        </is>
      </c>
      <c r="AQ213" s="73" t="n">
        <v>-68.39</v>
      </c>
      <c r="AR213" s="64" t="inlineStr">
        <is>
          <t>2026-08-20</t>
        </is>
      </c>
      <c r="AS213" s="65" t="n">
        <v>4986.2</v>
      </c>
      <c r="AT213" s="68" t="n">
        <v>-413.4</v>
      </c>
      <c r="AU213" s="63" t="inlineStr">
        <is>
          <t>N</t>
        </is>
      </c>
      <c r="AV213" s="63" t="inlineStr">
        <is>
          <t>n/m</t>
        </is>
      </c>
      <c r="AW213" s="74" t="n"/>
      <c r="AX213" s="74" t="n">
        <v>9.199999999999999</v>
      </c>
      <c r="AY213" s="74" t="n">
        <v>3.3</v>
      </c>
      <c r="AZ213" s="75" t="inlineStr">
        <is>
          <t>N</t>
        </is>
      </c>
      <c r="BA213" s="76">
        <f>IF('BBG Verify'!K213="","not filed — run on terminal",'BBG Verify'!K213)</f>
        <v/>
      </c>
      <c r="BB213" s="63" t="inlineStr">
        <is>
          <t>N/A</t>
        </is>
      </c>
      <c r="BC213" s="63" t="inlineStr">
        <is>
          <t>N/A</t>
        </is>
      </c>
      <c r="BD213" s="63" t="inlineStr">
        <is>
          <t>N/A</t>
        </is>
      </c>
      <c r="BE213" s="63" t="inlineStr">
        <is>
          <t>N/A</t>
        </is>
      </c>
      <c r="BF213" s="63" t="inlineStr">
        <is>
          <t>N/A</t>
        </is>
      </c>
      <c r="BG213" s="75" t="n"/>
      <c r="BH213" s="63" t="inlineStr">
        <is>
          <t>China International Capital Corporation Hong Kong Securities Limited; Morgan Stanley Asia Limited; China Securities (International) Corporate Finance Company Limited</t>
        </is>
      </c>
      <c r="BI213" s="63" t="inlineStr">
        <is>
          <t>Morgan Stanley Asia Limited; China International Capital Corporation Hong Kong Securities Limited; China Securities (International) Corporate Finance Company Limited</t>
        </is>
      </c>
      <c r="BJ213" s="63" t="inlineStr">
        <is>
          <t>China International Capital Corporation Hong Kong Securities Limited; China Securities (International) Corporate Finance Company Limited; Morgan Stanley Asia Limited; Tiger Brokers (HK) Global Limited</t>
        </is>
      </c>
      <c r="BK213" s="77">
        <f>HYPERLINK("https://www1.hkexnews.hk/listedco/listconews/sehk/2023/0928/2023092800446.pdf","prospectus")</f>
        <v/>
      </c>
      <c r="BL213" s="77">
        <f>HYPERLINK("https://www1.hkexnews.hk/listedco/listconews/sehk/2023/1011/2023101100010.htm","allotment")</f>
        <v/>
      </c>
      <c r="BM213" s="63" t="n"/>
      <c r="BN213" s="75" t="n"/>
      <c r="BO213"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2560</v>
      </c>
      <c r="R214" s="63" t="inlineStr">
        <is>
          <t>prospectus:stated market capitalisation</t>
        </is>
      </c>
      <c r="S214" s="69" t="n">
        <v>15</v>
      </c>
      <c r="T214" s="70" t="n">
        <v>1.13</v>
      </c>
      <c r="U214" s="71" t="n">
        <v>31.1</v>
      </c>
      <c r="V214" s="67" t="n">
        <v>21.16</v>
      </c>
      <c r="W214" s="63" t="inlineStr">
        <is>
          <t>Chongqing Dazuhuaiyuan Construction Investment Co., L; Hainan Dongfang Runze Private Equity Fund Management Co., Ltd; Jinhua Industrial Fund Co., Ltd; Jinhua Jinkai State Owned Capital Investments Co., Ltd; Phylion Battery Co., Ltd</t>
        </is>
      </c>
      <c r="X214" s="63" t="inlineStr">
        <is>
          <t>chongqing;hainan;jinhua;phylion</t>
        </is>
      </c>
      <c r="Y214" s="67" t="n"/>
      <c r="Z214" s="63" t="n"/>
      <c r="AA214" s="72" t="n">
        <v>0.95</v>
      </c>
      <c r="AB214" s="73" t="n">
        <v>-0.41</v>
      </c>
      <c r="AC214" s="73" t="n">
        <v>1.37</v>
      </c>
      <c r="AD214" s="73" t="n">
        <v>-1.63</v>
      </c>
      <c r="AE214" s="73" t="n">
        <v>0.54</v>
      </c>
      <c r="AF214" s="73" t="n">
        <v>-1.36</v>
      </c>
      <c r="AG214" s="73" t="n">
        <v>-2.56</v>
      </c>
      <c r="AH214" s="73" t="n">
        <v>-0.41</v>
      </c>
      <c r="AI214" s="73" t="n">
        <v>-2.29</v>
      </c>
      <c r="AJ214" s="73" t="n">
        <v>2.24</v>
      </c>
      <c r="AK214" s="73" t="n">
        <v>2.23</v>
      </c>
      <c r="AL214" s="73" t="n">
        <v>10.6</v>
      </c>
      <c r="AM214" s="73" t="n">
        <v>2.94</v>
      </c>
      <c r="AN214" s="73" t="n">
        <v>-1.69</v>
      </c>
      <c r="AO214" s="73" t="n">
        <v>-3.35</v>
      </c>
      <c r="AP214" s="63" t="inlineStr">
        <is>
          <t>Hang Seng Commerce &amp; Industry sub-index</t>
        </is>
      </c>
      <c r="AQ214" s="73" t="n">
        <v>77.61</v>
      </c>
      <c r="AR214" s="64" t="inlineStr">
        <is>
          <t>2026-08-20</t>
        </is>
      </c>
      <c r="AS214" s="65" t="n">
        <v>5261.3</v>
      </c>
      <c r="AT214" s="68" t="n">
        <v>129.8</v>
      </c>
      <c r="AU214" s="63" t="inlineStr">
        <is>
          <t>Y</t>
        </is>
      </c>
      <c r="AV214" s="74" t="n">
        <v>19.7</v>
      </c>
      <c r="AW214" s="74" t="n"/>
      <c r="AX214" s="74" t="n">
        <v>24.3</v>
      </c>
      <c r="AY214" s="74" t="n">
        <v>0.5</v>
      </c>
      <c r="AZ214" s="75" t="inlineStr">
        <is>
          <t>N</t>
        </is>
      </c>
      <c r="BA214" s="76">
        <f>IF('BBG Verify'!K214="","not filed — run on terminal",'BBG Verify'!K214)</f>
        <v/>
      </c>
      <c r="BB214" s="63" t="inlineStr">
        <is>
          <t>N/A</t>
        </is>
      </c>
      <c r="BC214" s="63" t="inlineStr">
        <is>
          <t>N/A</t>
        </is>
      </c>
      <c r="BD214" s="63" t="inlineStr">
        <is>
          <t>N/A</t>
        </is>
      </c>
      <c r="BE214" s="63" t="inlineStr">
        <is>
          <t>N/A</t>
        </is>
      </c>
      <c r="BF214" s="63" t="inlineStr">
        <is>
          <t>N/A</t>
        </is>
      </c>
      <c r="BG214" s="75" t="n"/>
      <c r="BH214" s="63" t="inlineStr">
        <is>
          <t>China Securities (International) Corporate Finance Company Limited</t>
        </is>
      </c>
      <c r="BI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7">
        <f>HYPERLINK("https://www1.hkexnews.hk/listedco/listconews/sehk/2023/0928/2023092800027.pdf","prospectus")</f>
        <v/>
      </c>
      <c r="BL214" s="77">
        <f>HYPERLINK("https://www1.hkexnews.hk/listedco/listconews/sehk/2023/1011/2023101100034.htm","allotment")</f>
        <v/>
      </c>
      <c r="BM214" s="63" t="n"/>
      <c r="BN214" s="75" t="n"/>
      <c r="BO214" s="63"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7" t="n">
        <v>2.23</v>
      </c>
      <c r="W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3" t="inlineStr">
        <is>
          <t>aspex;celestial;d1;dahlia;eternal;hidden;huang-river;jallion;jnry;joyous;parallel;sc</t>
        </is>
      </c>
      <c r="Y215" s="67" t="n">
        <v>16.4</v>
      </c>
      <c r="Z215" s="63" t="inlineStr">
        <is>
          <t>lapsed</t>
        </is>
      </c>
      <c r="AA215" s="72" t="n">
        <v>0</v>
      </c>
      <c r="AB215" s="73" t="n">
        <v>0</v>
      </c>
      <c r="AC215" s="73" t="n">
        <v>0</v>
      </c>
      <c r="AD215" s="73" t="n">
        <v>3.33</v>
      </c>
      <c r="AE215" s="73" t="n">
        <v>-1.17</v>
      </c>
      <c r="AF215" s="73" t="n">
        <v>34</v>
      </c>
      <c r="AG215" s="73" t="n">
        <v>3.33</v>
      </c>
      <c r="AH215" s="73" t="n">
        <v>-1.17</v>
      </c>
      <c r="AI215" s="73" t="n">
        <v>34</v>
      </c>
      <c r="AJ215" s="73" t="n">
        <v>-0.78</v>
      </c>
      <c r="AK215" s="73" t="n">
        <v>-4.04</v>
      </c>
      <c r="AL215" s="73" t="n">
        <v>43.21</v>
      </c>
      <c r="AM215" s="73" t="n">
        <v>-1.55</v>
      </c>
      <c r="AN215" s="73" t="n">
        <v>2.87</v>
      </c>
      <c r="AO215" s="73" t="n">
        <v>0.38</v>
      </c>
      <c r="AP215" s="63" t="inlineStr">
        <is>
          <t>Hang Seng Commerce &amp; Industry sub-index</t>
        </is>
      </c>
      <c r="AQ215" s="73" t="n">
        <v>-16.33</v>
      </c>
      <c r="AR215" s="64" t="inlineStr">
        <is>
          <t>2026-08-20</t>
        </is>
      </c>
      <c r="AS215" s="65" t="n">
        <v>56685.9</v>
      </c>
      <c r="AT215" s="68" t="n">
        <v>12918.1</v>
      </c>
      <c r="AU215" s="63" t="inlineStr">
        <is>
          <t>Y</t>
        </is>
      </c>
      <c r="AV215" s="74" t="n">
        <v>8.199999999999999</v>
      </c>
      <c r="AW215" s="74" t="n"/>
      <c r="AX215" s="74" t="n">
        <v>54.9</v>
      </c>
      <c r="AY215" s="74" t="n">
        <v>1.9</v>
      </c>
      <c r="AZ215" s="75" t="inlineStr">
        <is>
          <t>N</t>
        </is>
      </c>
      <c r="BA215" s="76">
        <f>IF('BBG Verify'!K215="","not filed — run on terminal",'BBG Verify'!K215)</f>
        <v/>
      </c>
      <c r="BB215" s="63" t="inlineStr">
        <is>
          <t>N/A</t>
        </is>
      </c>
      <c r="BC215" s="63" t="inlineStr">
        <is>
          <t>N/A</t>
        </is>
      </c>
      <c r="BD215" s="63" t="inlineStr">
        <is>
          <t>N/A</t>
        </is>
      </c>
      <c r="BE215" s="63" t="inlineStr">
        <is>
          <t>N/A</t>
        </is>
      </c>
      <c r="BF215" s="63" t="inlineStr">
        <is>
          <t>N/A</t>
        </is>
      </c>
      <c r="BG215" s="75" t="inlineStr">
        <is>
          <t>Morgan Stanley Asia Limited; Merrill Lynch (Asia Pacific) Limited; Central, Hong Kong China International Capital Corporation Hong Kong Securities Limited</t>
        </is>
      </c>
      <c r="BH215" s="63" t="inlineStr">
        <is>
          <t>China International Capital Corporation Hong Kong Securities Limited; Morgan Stanley Asia Limited; Merrill Lynch (Asia Pacific) Limited</t>
        </is>
      </c>
      <c r="BI215" s="63"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7">
        <f>HYPERLINK("https://www1.hkexnews.hk/listedco/listconews/sehk/2023/1016/2023101600009.pdf","prospectus")</f>
        <v/>
      </c>
      <c r="BL215" s="77">
        <f>HYPERLINK("https://www1.hkexnews.hk/listedco/listconews/sehk/2023/1026/2023102600028.htm","allotment")</f>
        <v/>
      </c>
      <c r="BM215" s="77">
        <f>HYPERLINK("https://www1.hkexnews.hk/listedco/listconews/sehk/2023/1119/2023111900085.pdf","stabilisation")</f>
        <v/>
      </c>
      <c r="BN215" s="75" t="n"/>
      <c r="BO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7" t="n">
        <v>1.35</v>
      </c>
      <c r="W216" s="63" t="inlineStr">
        <is>
          <t>COFCO Capital Special Opportunity Fund 2 SP; Jiangsu Hengshun Vinegar Industry Co., Ltd; Jinding Capital Management (Shenzhen) Co., Ltd; Profit Joy (Hong Kong) Limited</t>
        </is>
      </c>
      <c r="X216" s="63" t="inlineStr">
        <is>
          <t>cofco;jiangsu;jinding;profit</t>
        </is>
      </c>
      <c r="Y216" s="67" t="n">
        <v>15</v>
      </c>
      <c r="Z216" s="63" t="inlineStr">
        <is>
          <t>partial</t>
        </is>
      </c>
      <c r="AA216" s="72" t="n">
        <v>0</v>
      </c>
      <c r="AB216" s="73" t="n">
        <v>0</v>
      </c>
      <c r="AC216" s="73" t="n">
        <v>0</v>
      </c>
      <c r="AD216" s="73" t="n">
        <v>6.52</v>
      </c>
      <c r="AE216" s="73" t="n">
        <v>22.91</v>
      </c>
      <c r="AF216" s="73" t="n">
        <v>42.14</v>
      </c>
      <c r="AG216" s="73" t="n">
        <v>6.52</v>
      </c>
      <c r="AH216" s="73" t="n">
        <v>22.91</v>
      </c>
      <c r="AI216" s="73" t="n">
        <v>42.14</v>
      </c>
      <c r="AJ216" s="73" t="n">
        <v>3.04</v>
      </c>
      <c r="AK216" s="73" t="n">
        <v>25.35</v>
      </c>
      <c r="AL216" s="73" t="n">
        <v>55.18</v>
      </c>
      <c r="AM216" s="73" t="n">
        <v>25.99</v>
      </c>
      <c r="AN216" s="73" t="n">
        <v>-2.44</v>
      </c>
      <c r="AO216" s="73" t="n">
        <v>-3.08</v>
      </c>
      <c r="AP216" s="63" t="inlineStr">
        <is>
          <t>Hang Seng Commerce &amp; Industry sub-index</t>
        </is>
      </c>
      <c r="AQ216" s="73" t="n">
        <v>-69.98</v>
      </c>
      <c r="AR216" s="64" t="inlineStr">
        <is>
          <t>2026-08-20</t>
        </is>
      </c>
      <c r="AS216" s="65" t="n">
        <v>7890.8</v>
      </c>
      <c r="AT216" s="68" t="n">
        <v>365.2</v>
      </c>
      <c r="AU216" s="63" t="inlineStr">
        <is>
          <t>Y</t>
        </is>
      </c>
      <c r="AV216" s="74" t="n">
        <v>38.8</v>
      </c>
      <c r="AW216" s="74" t="n"/>
      <c r="AX216" s="74" t="n">
        <v>9.6</v>
      </c>
      <c r="AY216" s="74" t="n">
        <v>1.8</v>
      </c>
      <c r="AZ216" s="75" t="inlineStr">
        <is>
          <t>N</t>
        </is>
      </c>
      <c r="BA216" s="76">
        <f>IF('BBG Verify'!K216="","not filed — run on terminal",'BBG Verify'!K216)</f>
        <v/>
      </c>
      <c r="BB216" s="63" t="inlineStr">
        <is>
          <t>N/A</t>
        </is>
      </c>
      <c r="BC216" s="63" t="inlineStr">
        <is>
          <t>N/A</t>
        </is>
      </c>
      <c r="BD216" s="63" t="inlineStr">
        <is>
          <t>N/A</t>
        </is>
      </c>
      <c r="BE216" s="63" t="inlineStr">
        <is>
          <t>N/A</t>
        </is>
      </c>
      <c r="BF216" s="63" t="inlineStr">
        <is>
          <t>N/A</t>
        </is>
      </c>
      <c r="BG216" s="75" t="inlineStr">
        <is>
          <t>Huatai Financial Holdings (Hong Kong) Limited; China International Capital Corporation Hong Kong Securities Limited</t>
        </is>
      </c>
      <c r="BH216" s="63" t="inlineStr">
        <is>
          <t>China International Capital Corporation Hong Kong Securities Limited; Huatai Financial Holdings (Hong Kong) Limited</t>
        </is>
      </c>
      <c r="BI216" s="63" t="inlineStr">
        <is>
          <t>Huatai Financial Holdings (Hong Kong) Limited; China International Capital Corporation Hong Kong Securities Limited; CMB International Capital Limited; Central China International Capital Limited</t>
        </is>
      </c>
      <c r="BJ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7">
        <f>HYPERLINK("https://www1.hkexnews.hk/listedco/listconews/sehk/2023/1020/2023102000007.pdf","prospectus")</f>
        <v/>
      </c>
      <c r="BL216" s="77">
        <f>HYPERLINK("https://www1.hkexnews.hk/listedco/listconews/sehk/2023/1101/2023110100018.htm","allotment")</f>
        <v/>
      </c>
      <c r="BM216" s="77">
        <f>HYPERLINK("https://www1.hkexnews.hk/listedco/listconews/sehk/2023/1127/2023112700202.pdf","stabilisation")</f>
        <v/>
      </c>
      <c r="BN216" s="75" t="n"/>
      <c r="BO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7330.5</v>
      </c>
      <c r="R217" s="63" t="inlineStr">
        <is>
          <t>prospectus:stated market capitalisation</t>
        </is>
      </c>
      <c r="S217" s="69" t="n">
        <v>11.29</v>
      </c>
      <c r="T217" s="70" t="n">
        <v>1.41</v>
      </c>
      <c r="U217" s="71" t="n">
        <v>29.4</v>
      </c>
      <c r="V217" s="67" t="n">
        <v>2.25</v>
      </c>
      <c r="W217" s="63" t="inlineStr">
        <is>
          <t>Nayuki Holdings Limited; SensePower Management Limited; Shenzhen Maliujia Network Technology Co., Ltd; Wei Jinbing</t>
        </is>
      </c>
      <c r="X217" s="63" t="inlineStr">
        <is>
          <t>nayuki;sensepower;shenzhen-maliujia;wei-jinbing</t>
        </is>
      </c>
      <c r="Y217" s="67" t="n"/>
      <c r="Z217" s="63" t="n"/>
      <c r="AA217" s="72" t="n">
        <v>40.87</v>
      </c>
      <c r="AB217" s="73" t="n">
        <v>20.77</v>
      </c>
      <c r="AC217" s="73" t="n">
        <v>16.64</v>
      </c>
      <c r="AD217" s="73" t="n">
        <v>20.77</v>
      </c>
      <c r="AE217" s="73" t="n">
        <v>55.94</v>
      </c>
      <c r="AF217" s="73" t="n">
        <v>79.13</v>
      </c>
      <c r="AG217" s="73" t="n">
        <v>-14.27</v>
      </c>
      <c r="AH217" s="73" t="n">
        <v>10.7</v>
      </c>
      <c r="AI217" s="73" t="n">
        <v>27.16</v>
      </c>
      <c r="AJ217" s="73" t="n">
        <v>20.21</v>
      </c>
      <c r="AK217" s="73" t="n">
        <v>60.49</v>
      </c>
      <c r="AL217" s="73" t="n">
        <v>92.8</v>
      </c>
      <c r="AM217" s="73" t="n">
        <v>17.78</v>
      </c>
      <c r="AN217" s="73" t="n">
        <v>-4.55</v>
      </c>
      <c r="AO217" s="73" t="n">
        <v>-7.08</v>
      </c>
      <c r="AP217" s="63" t="inlineStr">
        <is>
          <t>Hang Seng Commerce &amp; Industry sub-index</t>
        </is>
      </c>
      <c r="AQ217" s="73" t="n">
        <v>-82.31999999999999</v>
      </c>
      <c r="AR217" s="64" t="inlineStr">
        <is>
          <t>2026-08-20</t>
        </is>
      </c>
      <c r="AS217" s="65" t="n">
        <v>2943.9</v>
      </c>
      <c r="AT217" s="68" t="n">
        <v>-203.1</v>
      </c>
      <c r="AU217" s="63" t="inlineStr">
        <is>
          <t>N</t>
        </is>
      </c>
      <c r="AV217" s="63" t="inlineStr">
        <is>
          <t>n/m</t>
        </is>
      </c>
      <c r="AW217" s="74" t="n"/>
      <c r="AX217" s="74" t="n"/>
      <c r="AY217" s="74" t="n">
        <v>2.5</v>
      </c>
      <c r="AZ217" s="75" t="inlineStr">
        <is>
          <t>N</t>
        </is>
      </c>
      <c r="BA217" s="76">
        <f>IF('BBG Verify'!K217="","not filed — run on terminal",'BBG Verify'!K217)</f>
        <v/>
      </c>
      <c r="BB217" s="63" t="inlineStr">
        <is>
          <t>N/A</t>
        </is>
      </c>
      <c r="BC217" s="63" t="inlineStr">
        <is>
          <t>N/A</t>
        </is>
      </c>
      <c r="BD217" s="63" t="inlineStr">
        <is>
          <t>N/A</t>
        </is>
      </c>
      <c r="BE217" s="63" t="inlineStr">
        <is>
          <t>N/A</t>
        </is>
      </c>
      <c r="BF217" s="63" t="inlineStr">
        <is>
          <t>N/A</t>
        </is>
      </c>
      <c r="BG217" s="75" t="inlineStr">
        <is>
          <t>China Securities (International) Corporate Finance Company Limited; Huatai Financial Holdings (Hong Kong) Limited</t>
        </is>
      </c>
      <c r="BH217" s="63" t="inlineStr">
        <is>
          <t>Huatai Financial Holdings (Hong Kong) Limited; China Securities (International) Corporate Finance Company Limited</t>
        </is>
      </c>
      <c r="BI217" s="63" t="inlineStr">
        <is>
          <t>Huatai Financial Holdings (Hong Kong) Limited; China Securities (International) Corporate Finance Company Limited</t>
        </is>
      </c>
      <c r="BJ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7">
        <f>HYPERLINK("https://www1.hkexnews.hk/listedco/listconews/sehk/2023/1024/2023102400007.pdf","prospectus")</f>
        <v/>
      </c>
      <c r="BL217" s="77">
        <f>HYPERLINK("https://www1.hkexnews.hk/listedco/listconews/sehk/2023/1102/2023110200032.htm","allotment")</f>
        <v/>
      </c>
      <c r="BM217" s="63" t="n"/>
      <c r="BN217" s="75" t="n"/>
      <c r="BO217" s="63"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c r="L218" s="66" t="n">
        <v>1.36</v>
      </c>
      <c r="M218" s="66" t="n">
        <v>1.1</v>
      </c>
      <c r="N218" s="63" t="inlineStr">
        <is>
          <t>N</t>
        </is>
      </c>
      <c r="O218" s="67" t="n">
        <v>80.90000000000001</v>
      </c>
      <c r="P218" s="67" t="n"/>
      <c r="Q218" s="68" t="n">
        <v>670.7</v>
      </c>
      <c r="R218" s="63" t="inlineStr">
        <is>
          <t>aastocks:上市市值 at the struck price</t>
        </is>
      </c>
      <c r="S218" s="69" t="n">
        <v>14.71</v>
      </c>
      <c r="T218" s="70" t="n">
        <v>1.01</v>
      </c>
      <c r="U218" s="71" t="n">
        <v>0</v>
      </c>
      <c r="V218" s="67" t="n">
        <v>4.29</v>
      </c>
      <c r="W218" s="63" t="n"/>
      <c r="X218" s="63" t="n"/>
      <c r="Y218" s="67" t="n">
        <v>10</v>
      </c>
      <c r="Z218" s="63" t="n"/>
      <c r="AA218" s="72" t="n">
        <v>49.09</v>
      </c>
      <c r="AB218" s="73" t="n">
        <v>98.18000000000001</v>
      </c>
      <c r="AC218" s="73" t="n">
        <v>-24.77</v>
      </c>
      <c r="AD218" s="73" t="n">
        <v>46.36</v>
      </c>
      <c r="AE218" s="73" t="n">
        <v>121.82</v>
      </c>
      <c r="AF218" s="73" t="n">
        <v>166.36</v>
      </c>
      <c r="AG218" s="73" t="n">
        <v>-1.83</v>
      </c>
      <c r="AH218" s="73" t="n">
        <v>48.78</v>
      </c>
      <c r="AI218" s="73" t="n">
        <v>78.66</v>
      </c>
      <c r="AJ218" s="73" t="n">
        <v>45.68</v>
      </c>
      <c r="AK218" s="73" t="n">
        <v>131.01</v>
      </c>
      <c r="AL218" s="73" t="n">
        <v>181.38</v>
      </c>
      <c r="AM218" s="73" t="n">
        <v>57.69</v>
      </c>
      <c r="AN218" s="73" t="n">
        <v>-9.19</v>
      </c>
      <c r="AO218" s="73" t="n">
        <v>-8.91</v>
      </c>
      <c r="AP218" s="63" t="inlineStr">
        <is>
          <t>Hang Seng Commerce &amp; Industry sub-index</t>
        </is>
      </c>
      <c r="AQ218" s="73" t="n">
        <v>18.64</v>
      </c>
      <c r="AR218" s="64" t="inlineStr">
        <is>
          <t>2026-08-24</t>
        </is>
      </c>
      <c r="AS218" s="65" t="n">
        <v>1255.7</v>
      </c>
      <c r="AT218" s="68" t="n">
        <v>84.8</v>
      </c>
      <c r="AU218" s="63" t="inlineStr">
        <is>
          <t>Y</t>
        </is>
      </c>
      <c r="AV218" s="74" t="n">
        <v>7.9</v>
      </c>
      <c r="AW218" s="74" t="n">
        <v>5.1</v>
      </c>
      <c r="AX218" s="74" t="n">
        <v>13.6</v>
      </c>
      <c r="AY218" s="74" t="n">
        <v>0.5</v>
      </c>
      <c r="AZ218" s="75" t="inlineStr">
        <is>
          <t>N</t>
        </is>
      </c>
      <c r="BA218" s="76">
        <f>IF('BBG Verify'!K218="","not filed — run on terminal",'BBG Verify'!K218)</f>
        <v/>
      </c>
      <c r="BB218" s="63" t="inlineStr">
        <is>
          <t>N/A</t>
        </is>
      </c>
      <c r="BC218" s="63" t="inlineStr">
        <is>
          <t>N/A</t>
        </is>
      </c>
      <c r="BD218" s="63" t="inlineStr">
        <is>
          <t>N/A</t>
        </is>
      </c>
      <c r="BE218" s="63" t="inlineStr">
        <is>
          <t>N/A</t>
        </is>
      </c>
      <c r="BF218" s="63" t="inlineStr">
        <is>
          <t>N/A</t>
        </is>
      </c>
      <c r="BG218" s="75" t="inlineStr">
        <is>
          <t>Quam Capital Limited</t>
        </is>
      </c>
      <c r="BH218" s="63" t="inlineStr">
        <is>
          <t>Quam Capital Limited</t>
        </is>
      </c>
      <c r="BI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7">
        <f>HYPERLINK("https://www1.hkexnews.hk/listedco/listconews/sehk/2023/1030/2023103000013.pdf","prospectus")</f>
        <v/>
      </c>
      <c r="BL218" s="77">
        <f>HYPERLINK("https://www1.hkexnews.hk/listedco/listconews/sehk/2023/1108/2023110800016.htm","allotment")</f>
        <v/>
      </c>
      <c r="BM218" s="63" t="n"/>
      <c r="BN218" s="75" t="n"/>
      <c r="BO218"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678.2</v>
      </c>
      <c r="R219" s="63" t="inlineStr">
        <is>
          <t>prospectus:stated market capitalisation</t>
        </is>
      </c>
      <c r="S219" s="69" t="n">
        <v>12.62</v>
      </c>
      <c r="T219" s="70" t="n">
        <v>1.09</v>
      </c>
      <c r="U219" s="71" t="n">
        <v>0</v>
      </c>
      <c r="V219" s="67" t="n">
        <v>19.17</v>
      </c>
      <c r="W219" s="63" t="n"/>
      <c r="X219" s="63" t="n"/>
      <c r="Y219" s="67" t="n"/>
      <c r="Z219" s="63" t="n"/>
      <c r="AA219" s="72" t="n">
        <v>55.77</v>
      </c>
      <c r="AB219" s="73" t="n">
        <v>58.65</v>
      </c>
      <c r="AC219" s="73" t="n">
        <v>-1.82</v>
      </c>
      <c r="AD219" s="73" t="n">
        <v>84.62</v>
      </c>
      <c r="AE219" s="73" t="n">
        <v>100</v>
      </c>
      <c r="AF219" s="73" t="n">
        <v>-60.1</v>
      </c>
      <c r="AG219" s="73" t="n">
        <v>18.52</v>
      </c>
      <c r="AH219" s="73" t="n">
        <v>28.39</v>
      </c>
      <c r="AI219" s="73" t="n">
        <v>-74.39</v>
      </c>
      <c r="AJ219" s="73" t="n">
        <v>86.56</v>
      </c>
      <c r="AK219" s="73" t="n">
        <v>110.02</v>
      </c>
      <c r="AL219" s="73" t="n">
        <v>-46.49</v>
      </c>
      <c r="AM219" s="73" t="n">
        <v>36.4</v>
      </c>
      <c r="AN219" s="73" t="n">
        <v>-10.02</v>
      </c>
      <c r="AO219" s="73" t="n">
        <v>-8.01</v>
      </c>
      <c r="AP219" s="63" t="inlineStr">
        <is>
          <t>Hang Seng Commerce &amp; Industry sub-index</t>
        </is>
      </c>
      <c r="AQ219" s="73" t="n">
        <v>-75.95999999999999</v>
      </c>
      <c r="AR219" s="64" t="inlineStr">
        <is>
          <t>2026-08-20</t>
        </is>
      </c>
      <c r="AS219" s="65" t="n">
        <v>227.9</v>
      </c>
      <c r="AT219" s="68" t="n">
        <v>50.2</v>
      </c>
      <c r="AU219" s="63" t="inlineStr">
        <is>
          <t>Y</t>
        </is>
      </c>
      <c r="AV219" s="74" t="n">
        <v>13.5</v>
      </c>
      <c r="AW219" s="74" t="n"/>
      <c r="AX219" s="74" t="n">
        <v>2.3</v>
      </c>
      <c r="AY219" s="74" t="n">
        <v>3</v>
      </c>
      <c r="AZ219" s="75" t="inlineStr">
        <is>
          <t>N</t>
        </is>
      </c>
      <c r="BA219" s="76">
        <f>IF('BBG Verify'!K219="","not filed — run on terminal",'BBG Verify'!K219)</f>
        <v/>
      </c>
      <c r="BB219" s="63" t="inlineStr">
        <is>
          <t>N/A</t>
        </is>
      </c>
      <c r="BC219" s="63" t="inlineStr">
        <is>
          <t>N/A</t>
        </is>
      </c>
      <c r="BD219" s="63" t="inlineStr">
        <is>
          <t>N/A</t>
        </is>
      </c>
      <c r="BE219" s="63" t="inlineStr">
        <is>
          <t>N/A</t>
        </is>
      </c>
      <c r="BF219" s="63" t="inlineStr">
        <is>
          <t>N/A</t>
        </is>
      </c>
      <c r="BG219" s="75" t="inlineStr">
        <is>
          <t>Rainbow Capital (HK) Limited</t>
        </is>
      </c>
      <c r="BH219" s="63" t="inlineStr">
        <is>
          <t>Rainbow Capital (HK) Limited</t>
        </is>
      </c>
      <c r="BI219" s="63"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7">
        <f>HYPERLINK("https://www1.hkexnews.hk/listedco/listconews/sehk/2023/1031/2023103100019.pdf","prospectus")</f>
        <v/>
      </c>
      <c r="BL219" s="77">
        <f>HYPERLINK("https://www1.hkexnews.hk/listedco/listconews/sehk/2023/1109/2023110900026.htm","allotment")</f>
        <v/>
      </c>
      <c r="BM219" s="63" t="n"/>
      <c r="BN219" s="75" t="n"/>
      <c r="BO21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7" t="n">
        <v>3.51</v>
      </c>
      <c r="W220" s="63" t="inlineStr">
        <is>
          <t>Liugong Machinery Hongkong Co., Limited</t>
        </is>
      </c>
      <c r="X220" s="63" t="inlineStr">
        <is>
          <t>liugong</t>
        </is>
      </c>
      <c r="Y220" s="67" t="n">
        <v>15</v>
      </c>
      <c r="Z220" s="63" t="inlineStr">
        <is>
          <t>lapsed (no over-allocation)</t>
        </is>
      </c>
      <c r="AA220" s="72" t="n">
        <v>3.36</v>
      </c>
      <c r="AB220" s="73" t="n">
        <v>8.4</v>
      </c>
      <c r="AC220" s="73" t="n">
        <v>-4.65</v>
      </c>
      <c r="AD220" s="73" t="n">
        <v>3.78</v>
      </c>
      <c r="AE220" s="73" t="n">
        <v>2.66</v>
      </c>
      <c r="AF220" s="73" t="n">
        <v>0.14</v>
      </c>
      <c r="AG220" s="73" t="n">
        <v>0.41</v>
      </c>
      <c r="AH220" s="73" t="n">
        <v>-0.68</v>
      </c>
      <c r="AI220" s="73" t="n">
        <v>-3.12</v>
      </c>
      <c r="AJ220" s="73" t="n">
        <v>5.72</v>
      </c>
      <c r="AK220" s="73" t="n">
        <v>12.68</v>
      </c>
      <c r="AL220" s="73" t="n">
        <v>13.75</v>
      </c>
      <c r="AM220" s="73" t="n">
        <v>7.33</v>
      </c>
      <c r="AN220" s="73" t="n">
        <v>-10.02</v>
      </c>
      <c r="AO220" s="73" t="n">
        <v>-8.01</v>
      </c>
      <c r="AP220" s="63" t="inlineStr">
        <is>
          <t>Hang Seng Commerce &amp; Industry sub-index</t>
        </is>
      </c>
      <c r="AQ220" s="73" t="n">
        <v>-59.45</v>
      </c>
      <c r="AR220" s="64" t="inlineStr">
        <is>
          <t>2026-08-20</t>
        </is>
      </c>
      <c r="AS220" s="65" t="n">
        <v>1313.6</v>
      </c>
      <c r="AT220" s="68" t="n">
        <v>39</v>
      </c>
      <c r="AU220" s="63" t="inlineStr">
        <is>
          <t>Y</t>
        </is>
      </c>
      <c r="AV220" s="74" t="n">
        <v>126.5</v>
      </c>
      <c r="AW220" s="74" t="n"/>
      <c r="AX220" s="74" t="n">
        <v>21.8</v>
      </c>
      <c r="AY220" s="74" t="n">
        <v>3.8</v>
      </c>
      <c r="AZ220" s="75" t="inlineStr">
        <is>
          <t>N</t>
        </is>
      </c>
      <c r="BA220" s="76">
        <f>IF('BBG Verify'!K220="","not filed — run on terminal",'BBG Verify'!K220)</f>
        <v/>
      </c>
      <c r="BB220" s="63" t="inlineStr">
        <is>
          <t>N/A</t>
        </is>
      </c>
      <c r="BC220" s="63" t="inlineStr">
        <is>
          <t>N/A</t>
        </is>
      </c>
      <c r="BD220" s="63" t="inlineStr">
        <is>
          <t>N/A</t>
        </is>
      </c>
      <c r="BE220" s="63" t="inlineStr">
        <is>
          <t>N/A</t>
        </is>
      </c>
      <c r="BF220" s="63" t="inlineStr">
        <is>
          <t>N/A</t>
        </is>
      </c>
      <c r="BG220" s="75" t="inlineStr">
        <is>
          <t>Haitong International Capital Limited; Haitong International Securities Company Limited</t>
        </is>
      </c>
      <c r="BH220" s="63" t="inlineStr">
        <is>
          <t>Haitong International Capital Limited</t>
        </is>
      </c>
      <c r="BI220" s="63" t="inlineStr">
        <is>
          <t>Haitong International Securities Company Limited; GF Securities (Hong Kong) Brokerage Limited; Huatai Financial Holdings (Hong Kong) Limited</t>
        </is>
      </c>
      <c r="BJ220" s="63" t="inlineStr">
        <is>
          <t>GF Securities (Hong Kong) Brokerage Limited; Huatai Financial Holdings (Hong Kong) Limited; Haitong International Securities Company Limited</t>
        </is>
      </c>
      <c r="BK220" s="77">
        <f>HYPERLINK("https://www1.hkexnews.hk/listedco/listconews/sehk/2023/1031/2023103100017.pdf","prospectus")</f>
        <v/>
      </c>
      <c r="BL220" s="77">
        <f>HYPERLINK("https://www1.hkexnews.hk/listedco/listconews/sehk/2023/1109/2023110900052.htm","allotment")</f>
        <v/>
      </c>
      <c r="BM220" s="77">
        <f>HYPERLINK("https://www1.hkexnews.hk/listedco/listconews/sehk/2023/1204/2023120400033.pdf","stabilisation")</f>
        <v/>
      </c>
      <c r="BN220" s="75" t="n"/>
      <c r="BO220" s="63" t="inlineStr">
        <is>
          <t>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v>19.9</v>
      </c>
      <c r="L221" s="66" t="n">
        <v>20.6</v>
      </c>
      <c r="M221" s="66" t="n">
        <v>20.6</v>
      </c>
      <c r="N221" s="63" t="inlineStr">
        <is>
          <t>Y</t>
        </is>
      </c>
      <c r="O221" s="67" t="n">
        <v>100</v>
      </c>
      <c r="P221" s="67" t="n">
        <v>100</v>
      </c>
      <c r="Q221" s="68" t="n">
        <v>24670.7</v>
      </c>
      <c r="R221" s="63" t="inlineStr">
        <is>
          <t>aastocks:上市市值 at the struck price</t>
        </is>
      </c>
      <c r="S221" s="69" t="n">
        <v>49.96</v>
      </c>
      <c r="T221" s="70" t="n">
        <v>19.6</v>
      </c>
      <c r="U221" s="71" t="n">
        <v>0.014</v>
      </c>
      <c r="V221" s="67" t="n">
        <v>14.9</v>
      </c>
      <c r="W221" s="63" t="inlineStr">
        <is>
          <t>Al-Rayyan Holding LLC; General Atlantic Singapore SPV 64 Pte. Ltd; HSG Growth VII Holdco, Ltd; Invesco Advisers, Inc; Lake Bleu Prime Healthcare Master Fund Limited; Novo Holdings A / S; UBS Asset Management (Singapore) Ltd</t>
        </is>
      </c>
      <c r="X221" s="63" t="inlineStr">
        <is>
          <t>al;general;hsg;invesco;lake;novo;ubs</t>
        </is>
      </c>
      <c r="Y221" s="67" t="n">
        <v>9.949999999999999</v>
      </c>
      <c r="Z221" s="63" t="n"/>
      <c r="AA221" s="72" t="n">
        <v>35.92</v>
      </c>
      <c r="AB221" s="73" t="n">
        <v>30.83</v>
      </c>
      <c r="AC221" s="73" t="n">
        <v>3.89</v>
      </c>
      <c r="AD221" s="73" t="n">
        <v>40.78</v>
      </c>
      <c r="AE221" s="73" t="n">
        <v>51.21</v>
      </c>
      <c r="AF221" s="73" t="n">
        <v>-10</v>
      </c>
      <c r="AG221" s="73" t="n">
        <v>3.58</v>
      </c>
      <c r="AH221" s="73" t="n">
        <v>11.25</v>
      </c>
      <c r="AI221" s="73" t="n">
        <v>-33.78</v>
      </c>
      <c r="AJ221" s="73" t="n">
        <v>40.26</v>
      </c>
      <c r="AK221" s="73" t="n">
        <v>58.49</v>
      </c>
      <c r="AL221" s="73" t="n">
        <v>11.86</v>
      </c>
      <c r="AM221" s="73" t="n">
        <v>19.23</v>
      </c>
      <c r="AN221" s="73" t="n">
        <v>-7.28</v>
      </c>
      <c r="AO221" s="73" t="n">
        <v>-7.98</v>
      </c>
      <c r="AP221" s="63" t="inlineStr">
        <is>
          <t>China Biotech ETF (HS biotech proxy)</t>
        </is>
      </c>
      <c r="AQ221" s="73" t="n">
        <v>240.78</v>
      </c>
      <c r="AR221" s="64" t="inlineStr">
        <is>
          <t>2026-08-20</t>
        </is>
      </c>
      <c r="AS221" s="65" t="n">
        <v>1089.5</v>
      </c>
      <c r="AT221" s="68" t="n">
        <v>171.3</v>
      </c>
      <c r="AU221" s="63" t="inlineStr">
        <is>
          <t>Y</t>
        </is>
      </c>
      <c r="AV221" s="74" t="n">
        <v>144</v>
      </c>
      <c r="AW221" s="74" t="n"/>
      <c r="AX221" s="74" t="n">
        <v>45.8</v>
      </c>
      <c r="AY221" s="74" t="n">
        <v>22.6</v>
      </c>
      <c r="AZ221" s="75" t="inlineStr">
        <is>
          <t>N</t>
        </is>
      </c>
      <c r="BA221" s="76">
        <f>IF('BBG Verify'!K221="","not filed — run on terminal",'BBG Verify'!K221)</f>
        <v/>
      </c>
      <c r="BB221" s="63" t="inlineStr">
        <is>
          <t>N/A</t>
        </is>
      </c>
      <c r="BC221" s="63" t="inlineStr">
        <is>
          <t>N/A</t>
        </is>
      </c>
      <c r="BD221" s="63" t="inlineStr">
        <is>
          <t>N/A</t>
        </is>
      </c>
      <c r="BE221" s="63" t="inlineStr">
        <is>
          <t>N/A</t>
        </is>
      </c>
      <c r="BF221" s="63" t="inlineStr">
        <is>
          <t>N/A</t>
        </is>
      </c>
      <c r="BG221" s="75" t="inlineStr">
        <is>
          <t>Morgan Stanley Asia Limited; Goldman Sachs (Asia) L.L.C; J.P. Morgan Securities (Far East) Limited</t>
        </is>
      </c>
      <c r="BH221" s="63" t="inlineStr">
        <is>
          <t>Morgan Stanley Asia Limited; J.P. Morgan Securities (Far East) Limited; Goldman Sachs (Asia) L.L.C.</t>
        </is>
      </c>
      <c r="BI221" s="63"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3" t="inlineStr">
        <is>
          <t>Citigroup Global Markets Asia Limited; China International Capital Corporation Hong Kong Securities Limited; Goldman Sachs (Asia) L.L.C.; Huatai Financial Holdings (Hong Kong) Limited; J.P. Morgan Securities (Asia Pacific) Limited; Morgan Stanley Asia Limited</t>
        </is>
      </c>
      <c r="BK221" s="77">
        <f>HYPERLINK("https://www1.hkexnews.hk/listedco/listconews/sehk/2023/1107/2023110700021.pdf","prospectus")</f>
        <v/>
      </c>
      <c r="BL221" s="77">
        <f>HYPERLINK("https://www1.hkexnews.hk/listedco/listconews/sehk/2023/1116/2023111600008.htm","allotment")</f>
        <v/>
      </c>
      <c r="BM221" s="63" t="n"/>
      <c r="BN221" s="75" t="n"/>
      <c r="BO221" s="63"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2520</v>
      </c>
      <c r="R222" s="63" t="inlineStr">
        <is>
          <t>prospectus:stated market capitalisation</t>
        </is>
      </c>
      <c r="S222" s="69" t="n">
        <v>0.6</v>
      </c>
      <c r="T222" s="70" t="n">
        <v>1.33</v>
      </c>
      <c r="U222" s="71" t="n">
        <v>23</v>
      </c>
      <c r="V222" s="67" t="n">
        <v>22.2</v>
      </c>
      <c r="W222" s="63" t="inlineStr">
        <is>
          <t>Mingyang Smart Energy Group Co., Ltd</t>
        </is>
      </c>
      <c r="X222" s="63" t="inlineStr">
        <is>
          <t>mingyang</t>
        </is>
      </c>
      <c r="Y222" s="67" t="n">
        <v>19.5</v>
      </c>
      <c r="Z222" s="63" t="inlineStr">
        <is>
          <t>partial</t>
        </is>
      </c>
      <c r="AA222" s="72" t="n">
        <v>0</v>
      </c>
      <c r="AB222" s="73" t="n">
        <v>0</v>
      </c>
      <c r="AC222" s="73" t="n">
        <v>0</v>
      </c>
      <c r="AD222" s="73" t="n">
        <v>-5.5</v>
      </c>
      <c r="AE222" s="73" t="n">
        <v>-17.43</v>
      </c>
      <c r="AF222" s="73" t="n">
        <v>-11.47</v>
      </c>
      <c r="AG222" s="73" t="n">
        <v>-5.5</v>
      </c>
      <c r="AH222" s="73" t="n">
        <v>-17.43</v>
      </c>
      <c r="AI222" s="73" t="n">
        <v>-11.47</v>
      </c>
      <c r="AJ222" s="73" t="n">
        <v>-0.71</v>
      </c>
      <c r="AK222" s="73" t="n">
        <v>-9.460000000000001</v>
      </c>
      <c r="AL222" s="73" t="n">
        <v>-2.85</v>
      </c>
      <c r="AM222" s="73" t="n">
        <v>-9.550000000000001</v>
      </c>
      <c r="AN222" s="73" t="n">
        <v>-7.97</v>
      </c>
      <c r="AO222" s="73" t="n">
        <v>-7.88</v>
      </c>
      <c r="AP222" s="63" t="inlineStr">
        <is>
          <t>Hang Seng Commerce &amp; Industry sub-index</t>
        </is>
      </c>
      <c r="AQ222" s="73" t="n">
        <v>2.29</v>
      </c>
      <c r="AR222" s="64" t="inlineStr">
        <is>
          <t>2026-08-20</t>
        </is>
      </c>
      <c r="AS222" s="65" t="n">
        <v>14129.3</v>
      </c>
      <c r="AT222" s="68" t="n">
        <v>220.5</v>
      </c>
      <c r="AU222" s="63" t="inlineStr">
        <is>
          <t>Y</t>
        </is>
      </c>
      <c r="AV222" s="74" t="n">
        <v>11.4</v>
      </c>
      <c r="AW222" s="74" t="n"/>
      <c r="AX222" s="74" t="n">
        <v>19</v>
      </c>
      <c r="AY222" s="74" t="n">
        <v>0.2</v>
      </c>
      <c r="AZ222" s="75" t="inlineStr">
        <is>
          <t>N</t>
        </is>
      </c>
      <c r="BA222" s="76">
        <f>IF('BBG Verify'!K222="","not filed — run on terminal",'BBG Verify'!K222)</f>
        <v/>
      </c>
      <c r="BB222" s="63" t="inlineStr">
        <is>
          <t>N/A</t>
        </is>
      </c>
      <c r="BC222" s="63" t="inlineStr">
        <is>
          <t>N/A</t>
        </is>
      </c>
      <c r="BD222" s="63" t="inlineStr">
        <is>
          <t>N/A</t>
        </is>
      </c>
      <c r="BE222" s="63" t="inlineStr">
        <is>
          <t>N/A</t>
        </is>
      </c>
      <c r="BF222" s="63" t="inlineStr">
        <is>
          <t>N/A</t>
        </is>
      </c>
      <c r="BG222" s="75" t="inlineStr">
        <is>
          <t>Huatai Financial Holdings (Hong Kong) Limited; Shanxi Securities International Capital Limited</t>
        </is>
      </c>
      <c r="BH222" s="63" t="inlineStr">
        <is>
          <t>Huatai Financial Holdings (Hong Kong) Limited; Shanxi Securities International Capital Limited</t>
        </is>
      </c>
      <c r="BI222" s="63" t="inlineStr">
        <is>
          <t>BOCOM International Securities Limited; China Everbright Securities (HK) Limited; CMB International Capital Limited; ICBC International Capital Limited; Zhongtai International Securities Limited</t>
        </is>
      </c>
      <c r="BJ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7">
        <f>HYPERLINK("https://www1.hkexnews.hk/listedco/listconews/sehk/2023/1110/2023111000017.pdf","prospectus")</f>
        <v/>
      </c>
      <c r="BL222" s="77">
        <f>HYPERLINK("https://www1.hkexnews.hk/listedco/listconews/sehk/2023/1121/2023112100014.htm","allotment")</f>
        <v/>
      </c>
      <c r="BM222" s="77">
        <f>HYPERLINK("https://www1.hkexnews.hk/listedco/listconews/sehk/2023/1215/2023121501152.pdf","stabilisation")</f>
        <v/>
      </c>
      <c r="BN222" s="75" t="n"/>
      <c r="BO222" s="63" t="inlineStr">
        <is>
          <t>A/H: no A-share listing</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7" t="n">
        <v>23</v>
      </c>
      <c r="W223" s="63" t="n"/>
      <c r="X223" s="63" t="n"/>
      <c r="Y223" s="67" t="n"/>
      <c r="Z223" s="63" t="n"/>
      <c r="AA223" s="72" t="n">
        <v>3.12</v>
      </c>
      <c r="AB223" s="73" t="n">
        <v>-6.25</v>
      </c>
      <c r="AC223" s="73" t="n">
        <v>9.99</v>
      </c>
      <c r="AD223" s="73" t="n">
        <v>15.63</v>
      </c>
      <c r="AE223" s="73" t="n">
        <v>10.94</v>
      </c>
      <c r="AF223" s="73" t="n">
        <v>-18.75</v>
      </c>
      <c r="AG223" s="73" t="n">
        <v>12.13</v>
      </c>
      <c r="AH223" s="73" t="n">
        <v>7.58</v>
      </c>
      <c r="AI223" s="73" t="n">
        <v>-21.21</v>
      </c>
      <c r="AJ223" s="73" t="n">
        <v>16.31</v>
      </c>
      <c r="AK223" s="73" t="n">
        <v>11.51</v>
      </c>
      <c r="AL223" s="73" t="n">
        <v>-9.6</v>
      </c>
      <c r="AM223" s="73" t="n">
        <v>6.19</v>
      </c>
      <c r="AN223" s="73" t="n">
        <v>-0.57</v>
      </c>
      <c r="AO223" s="73" t="n">
        <v>1.39</v>
      </c>
      <c r="AP223" s="63" t="inlineStr">
        <is>
          <t>Hang Seng Properties sub-index</t>
        </is>
      </c>
      <c r="AQ223" s="73" t="n">
        <v>198.44</v>
      </c>
      <c r="AR223" s="64" t="inlineStr">
        <is>
          <t>2026-08-20</t>
        </is>
      </c>
      <c r="AS223" s="65" t="n">
        <v>653.6</v>
      </c>
      <c r="AT223" s="68" t="n">
        <v>37.8</v>
      </c>
      <c r="AU223" s="63" t="inlineStr">
        <is>
          <t>Y</t>
        </is>
      </c>
      <c r="AV223" s="74" t="n">
        <v>13.8</v>
      </c>
      <c r="AW223" s="74" t="n"/>
      <c r="AX223" s="74" t="n">
        <v>61.3</v>
      </c>
      <c r="AY223" s="74" t="n">
        <v>0.8</v>
      </c>
      <c r="AZ223" s="75" t="inlineStr">
        <is>
          <t>N</t>
        </is>
      </c>
      <c r="BA223" s="76">
        <f>IF('BBG Verify'!K223="","not filed — run on terminal",'BBG Verify'!K223)</f>
        <v/>
      </c>
      <c r="BB223" s="63" t="inlineStr">
        <is>
          <t>N/A</t>
        </is>
      </c>
      <c r="BC223" s="63" t="inlineStr">
        <is>
          <t>N/A</t>
        </is>
      </c>
      <c r="BD223" s="63" t="inlineStr">
        <is>
          <t>N/A</t>
        </is>
      </c>
      <c r="BE223" s="63" t="inlineStr">
        <is>
          <t>N/A</t>
        </is>
      </c>
      <c r="BF223" s="63" t="inlineStr">
        <is>
          <t>N/A</t>
        </is>
      </c>
      <c r="BG223" s="75" t="n"/>
      <c r="BH223" s="63" t="inlineStr">
        <is>
          <t>Cinda International Capital Limited</t>
        </is>
      </c>
      <c r="BI223" s="63" t="inlineStr">
        <is>
          <t>Cinda International Capital Limited; ICBC International Securities Limited; CCB International Capital Limited; Central, Hong Kong Yuen Meta (International) Securities Limited</t>
        </is>
      </c>
      <c r="BJ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7">
        <f>HYPERLINK("https://www1.hkexnews.hk/listedco/listconews/sehk/2023/1127/2023112700086.pdf","prospectus")</f>
        <v/>
      </c>
      <c r="BL223" s="77">
        <f>HYPERLINK("https://www1.hkexnews.hk/listedco/listconews/sehk/2023/1204/2023120402525.pdf","allotment")</f>
        <v/>
      </c>
      <c r="BM223" s="63" t="n"/>
      <c r="BN223" s="75" t="n"/>
      <c r="BO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c r="L224" s="66" t="n">
        <v>21.35</v>
      </c>
      <c r="M224" s="66" t="n">
        <v>19.66</v>
      </c>
      <c r="N224" s="63" t="inlineStr">
        <is>
          <t>N</t>
        </is>
      </c>
      <c r="O224" s="67" t="n">
        <v>92.09999999999999</v>
      </c>
      <c r="P224" s="67" t="n"/>
      <c r="Q224" s="68" t="n">
        <v>10184.7</v>
      </c>
      <c r="R224" s="63" t="inlineStr">
        <is>
          <t>derived:price x shares upon listing</t>
        </is>
      </c>
      <c r="S224" s="69" t="n">
        <v>1.18</v>
      </c>
      <c r="T224" s="70" t="n">
        <v>1.13</v>
      </c>
      <c r="U224" s="71" t="n">
        <v>0</v>
      </c>
      <c r="V224" s="67" t="n">
        <v>15.35</v>
      </c>
      <c r="W224" s="63" t="n"/>
      <c r="X224" s="63" t="n"/>
      <c r="Y224" s="67" t="n"/>
      <c r="Z224" s="63" t="n"/>
      <c r="AA224" s="72" t="n">
        <v>0.71</v>
      </c>
      <c r="AB224" s="73" t="n">
        <v>-16.07</v>
      </c>
      <c r="AC224" s="73" t="n">
        <v>19.99</v>
      </c>
      <c r="AD224" s="73" t="n">
        <v>-22.38</v>
      </c>
      <c r="AE224" s="73" t="n">
        <v>-19.13</v>
      </c>
      <c r="AF224" s="73" t="n">
        <v>-5.9</v>
      </c>
      <c r="AG224" s="73" t="n">
        <v>-22.93</v>
      </c>
      <c r="AH224" s="73" t="n">
        <v>-19.7</v>
      </c>
      <c r="AI224" s="73" t="n">
        <v>-6.56</v>
      </c>
      <c r="AJ224" s="73" t="n">
        <v>-20.46</v>
      </c>
      <c r="AK224" s="73" t="n">
        <v>-14.97</v>
      </c>
      <c r="AL224" s="73" t="n">
        <v>-3.11</v>
      </c>
      <c r="AM224" s="73" t="n">
        <v>-17.28</v>
      </c>
      <c r="AN224" s="73" t="n">
        <v>-4.16</v>
      </c>
      <c r="AO224" s="73" t="n">
        <v>-2.42</v>
      </c>
      <c r="AP224" s="63" t="inlineStr">
        <is>
          <t>Hang Seng Commerce &amp; Industry sub-index</t>
        </is>
      </c>
      <c r="AQ224" s="73" t="n">
        <v>-87.26000000000001</v>
      </c>
      <c r="AR224" s="64" t="inlineStr">
        <is>
          <t>2026-08-20</t>
        </is>
      </c>
      <c r="AS224" s="65" t="n">
        <v>823.3</v>
      </c>
      <c r="AT224" s="68" t="n">
        <v>-308.2</v>
      </c>
      <c r="AU224" s="63" t="inlineStr">
        <is>
          <t>N</t>
        </is>
      </c>
      <c r="AV224" s="63" t="inlineStr">
        <is>
          <t>n/m</t>
        </is>
      </c>
      <c r="AW224" s="74" t="n"/>
      <c r="AX224" s="74" t="n"/>
      <c r="AY224" s="74" t="n">
        <v>12.4</v>
      </c>
      <c r="AZ224" s="75" t="inlineStr">
        <is>
          <t>N</t>
        </is>
      </c>
      <c r="BA224" s="76">
        <f>IF('BBG Verify'!K224="","not filed — run on terminal",'BBG Verify'!K224)</f>
        <v/>
      </c>
      <c r="BB224" s="63" t="inlineStr">
        <is>
          <t>N/A</t>
        </is>
      </c>
      <c r="BC224" s="63" t="inlineStr">
        <is>
          <t>N/A</t>
        </is>
      </c>
      <c r="BD224" s="63" t="inlineStr">
        <is>
          <t>N/A</t>
        </is>
      </c>
      <c r="BE224" s="63" t="inlineStr">
        <is>
          <t>N/A</t>
        </is>
      </c>
      <c r="BF224" s="63" t="inlineStr">
        <is>
          <t>N/A</t>
        </is>
      </c>
      <c r="BG224" s="75" t="inlineStr">
        <is>
          <t>Huatai Financial Holdings (Hong Kong) Limited</t>
        </is>
      </c>
      <c r="BH224" s="63" t="inlineStr">
        <is>
          <t>Huatai Financial Holdings (Hong Kong) Limited</t>
        </is>
      </c>
      <c r="BI224" s="63" t="inlineStr">
        <is>
          <t>Huatai Financial Holdings (Hong Kong) Limited; CMB International Capital Limited; GF Securities (Hong Kong) Brokerage Limited; Haitong International Securities Company Limited; Livermore Holdings Limited</t>
        </is>
      </c>
      <c r="BJ224" s="63" t="inlineStr">
        <is>
          <t>CMB International Capital Limited; GF Securities (Hong Kong) Brokerage Limited; Huatai Financial Holdings (Hong Kong) Limited; Haitong International Securities Company Limited; Livermore Holdings Limited</t>
        </is>
      </c>
      <c r="BK224" s="77">
        <f>HYPERLINK("https://www1.hkexnews.hk/listedco/listconews/sehk/2023/1127/2023112700007.pdf","prospectus")</f>
        <v/>
      </c>
      <c r="BL224" s="77">
        <f>HYPERLINK("https://www1.hkexnews.hk/listedco/listconews/sehk/2023/1204/2023120402568.htm","allotment")</f>
        <v/>
      </c>
      <c r="BM224" s="63" t="n"/>
      <c r="BN224" s="75" t="n"/>
      <c r="BO224"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c r="L225" s="66" t="n">
        <v>1.96</v>
      </c>
      <c r="M225" s="66" t="n">
        <v>1.8</v>
      </c>
      <c r="N225" s="63" t="inlineStr">
        <is>
          <t>N</t>
        </is>
      </c>
      <c r="O225" s="67" t="n">
        <v>91.8</v>
      </c>
      <c r="P225" s="67" t="n"/>
      <c r="Q225" s="68" t="n">
        <v>900</v>
      </c>
      <c r="R225" s="63" t="inlineStr">
        <is>
          <t>derived:price x shares upon listing</t>
        </is>
      </c>
      <c r="S225" s="69" t="n">
        <v>18.93</v>
      </c>
      <c r="T225" s="70" t="n">
        <v>1.24</v>
      </c>
      <c r="U225" s="71" t="n">
        <v>24.7</v>
      </c>
      <c r="V225" s="67" t="n">
        <v>18.82</v>
      </c>
      <c r="W225" s="63" t="n"/>
      <c r="X225" s="63" t="n"/>
      <c r="Y225" s="67" t="n">
        <v>5</v>
      </c>
      <c r="Z225" s="63" t="inlineStr">
        <is>
          <t>lapsed</t>
        </is>
      </c>
      <c r="AA225" s="72" t="n">
        <v>-0.5600000000000001</v>
      </c>
      <c r="AB225" s="73" t="n">
        <v>-10.56</v>
      </c>
      <c r="AC225" s="73" t="n">
        <v>11.18</v>
      </c>
      <c r="AD225" s="73" t="n">
        <v>-5</v>
      </c>
      <c r="AE225" s="73" t="n">
        <v>-5</v>
      </c>
      <c r="AF225" s="73" t="n">
        <v>-5</v>
      </c>
      <c r="AG225" s="73" t="n">
        <v>-4.47</v>
      </c>
      <c r="AH225" s="73" t="n">
        <v>-4.47</v>
      </c>
      <c r="AI225" s="73" t="n">
        <v>-4.47</v>
      </c>
      <c r="AJ225" s="73" t="n">
        <v>-3.28</v>
      </c>
      <c r="AK225" s="73" t="n">
        <v>-3.95</v>
      </c>
      <c r="AL225" s="73" t="n">
        <v>-4.87</v>
      </c>
      <c r="AM225" s="73" t="n">
        <v>-5.71</v>
      </c>
      <c r="AN225" s="73" t="n">
        <v>-1.05</v>
      </c>
      <c r="AO225" s="73" t="n">
        <v>1.24</v>
      </c>
      <c r="AP225" s="63" t="inlineStr">
        <is>
          <t>Hang Seng Finance sub-index</t>
        </is>
      </c>
      <c r="AQ225" s="73" t="n">
        <v>-1.11</v>
      </c>
      <c r="AR225" s="64" t="inlineStr">
        <is>
          <t>2026-08-19</t>
        </is>
      </c>
      <c r="AS225" s="65" t="n">
        <v>2022</v>
      </c>
      <c r="AT225" s="68" t="n">
        <v>67.90000000000001</v>
      </c>
      <c r="AU225" s="63" t="inlineStr">
        <is>
          <t>Y</t>
        </is>
      </c>
      <c r="AV225" s="74" t="n">
        <v>13.3</v>
      </c>
      <c r="AW225" s="74" t="n"/>
      <c r="AX225" s="74" t="n">
        <v>9.699999999999999</v>
      </c>
      <c r="AY225" s="74" t="n">
        <v>0.4</v>
      </c>
      <c r="AZ225" s="75" t="inlineStr">
        <is>
          <t>N</t>
        </is>
      </c>
      <c r="BA225" s="76">
        <f>IF('BBG Verify'!K225="","not filed — run on terminal",'BBG Verify'!K225)</f>
        <v/>
      </c>
      <c r="BB225" s="63" t="inlineStr">
        <is>
          <t>N/A</t>
        </is>
      </c>
      <c r="BC225" s="63" t="inlineStr">
        <is>
          <t>N/A</t>
        </is>
      </c>
      <c r="BD225" s="63" t="inlineStr">
        <is>
          <t>N/A</t>
        </is>
      </c>
      <c r="BE225" s="63" t="inlineStr">
        <is>
          <t>N/A</t>
        </is>
      </c>
      <c r="BF225" s="63" t="inlineStr">
        <is>
          <t>N/A</t>
        </is>
      </c>
      <c r="BG225" s="75" t="inlineStr">
        <is>
          <t>DBS Asia Capital Limited; Ping An of China Capital (Hong Kong) Company Limited</t>
        </is>
      </c>
      <c r="BH225" s="63" t="inlineStr">
        <is>
          <t>Ping An of China Capital (Hong Kong) Company Limited; DBS Asia Capital Limited</t>
        </is>
      </c>
      <c r="BI225" s="63" t="inlineStr">
        <is>
          <t>and CMIs CCB International Capital Limited; Elstone Securities Limited; Valuable Capital Limited</t>
        </is>
      </c>
      <c r="BJ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7">
        <f>HYPERLINK("https://www1.hkexnews.hk/listedco/listconews/sehk/2023/1127/2023112700082.pdf","prospectus")</f>
        <v/>
      </c>
      <c r="BL225" s="77">
        <f>HYPERLINK("https://www1.hkexnews.hk/listedco/listconews/sehk/2023/1204/2023120402869.pdf","allotment")</f>
        <v/>
      </c>
      <c r="BM225" s="77">
        <f>HYPERLINK("https://www1.hkexnews.hk/listedco/listconews/sehk/2024/0102/2024010200039.pdf","stabilisation")</f>
        <v/>
      </c>
      <c r="BN225" s="75" t="n"/>
      <c r="BO225" s="63" t="inlineStr">
        <is>
          <t>range low: cap-only pricing — the filing publishes a Maximum Offer Price and no indicative floor · 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7" t="n">
        <v>3.62</v>
      </c>
      <c r="W226" s="63" t="inlineStr">
        <is>
          <t>Guiyang Agricultural Investment Development Co., Ltd; Quxian Huixing Industrial Investment Co., Ltd; Xiushan County Xinzhiyuan Market Management Co., Ltd</t>
        </is>
      </c>
      <c r="X226" s="63" t="inlineStr">
        <is>
          <t>guiyang;quxian;xiushan</t>
        </is>
      </c>
      <c r="Y226" s="67" t="n"/>
      <c r="Z226" s="63" t="n"/>
      <c r="AA226" s="72" t="n">
        <v>1.49</v>
      </c>
      <c r="AB226" s="73" t="n">
        <v>0</v>
      </c>
      <c r="AC226" s="73" t="n">
        <v>1.49</v>
      </c>
      <c r="AD226" s="73" t="n">
        <v>2.17</v>
      </c>
      <c r="AE226" s="73" t="n">
        <v>59.68</v>
      </c>
      <c r="AF226" s="73" t="n">
        <v>18.94</v>
      </c>
      <c r="AG226" s="73" t="n">
        <v>0.67</v>
      </c>
      <c r="AH226" s="73" t="n">
        <v>57.34</v>
      </c>
      <c r="AI226" s="73" t="n">
        <v>17.19</v>
      </c>
      <c r="AJ226" s="73" t="n">
        <v>3.43</v>
      </c>
      <c r="AK226" s="73" t="n">
        <v>62.72</v>
      </c>
      <c r="AL226" s="73" t="n">
        <v>17.97</v>
      </c>
      <c r="AM226" s="73" t="n">
        <v>61.35</v>
      </c>
      <c r="AN226" s="73" t="n">
        <v>-3.04</v>
      </c>
      <c r="AO226" s="73" t="n">
        <v>-4.01</v>
      </c>
      <c r="AP226" s="63" t="inlineStr">
        <is>
          <t>Hang Seng Commerce &amp; Industry sub-index</t>
        </is>
      </c>
      <c r="AQ226" s="73" t="n">
        <v>46.01</v>
      </c>
      <c r="AR226" s="64" t="inlineStr">
        <is>
          <t>2026-08-20</t>
        </is>
      </c>
      <c r="AS226" s="65" t="n">
        <v>16540.7</v>
      </c>
      <c r="AT226" s="68" t="n">
        <v>1092.2</v>
      </c>
      <c r="AU226" s="63" t="inlineStr">
        <is>
          <t>Y</t>
        </is>
      </c>
      <c r="AV226" s="74" t="n">
        <v>13.2</v>
      </c>
      <c r="AW226" s="74" t="n"/>
      <c r="AX226" s="74" t="n">
        <v>11.9</v>
      </c>
      <c r="AY226" s="74" t="n">
        <v>0.9</v>
      </c>
      <c r="AZ226" s="75" t="inlineStr">
        <is>
          <t>N</t>
        </is>
      </c>
      <c r="BA226" s="76">
        <f>IF('BBG Verify'!K226="","not filed — run on terminal",'BBG Verify'!K226)</f>
        <v/>
      </c>
      <c r="BB226" s="63" t="inlineStr">
        <is>
          <t>N/A</t>
        </is>
      </c>
      <c r="BC226" s="63" t="inlineStr">
        <is>
          <t>N/A</t>
        </is>
      </c>
      <c r="BD226" s="63" t="inlineStr">
        <is>
          <t>N/A</t>
        </is>
      </c>
      <c r="BE226" s="63" t="inlineStr">
        <is>
          <t>N/A</t>
        </is>
      </c>
      <c r="BF226" s="63" t="inlineStr">
        <is>
          <t>N/A</t>
        </is>
      </c>
      <c r="BG226" s="75" t="inlineStr">
        <is>
          <t>China International Capital Corporation Hong Kong Securities Limited; Citigroup Global Markets Asia Limited</t>
        </is>
      </c>
      <c r="BH226" s="63" t="inlineStr">
        <is>
          <t>China International Capital Corporation Hong Kong Securities Limited; Citigroup Global Markets Asia Limited</t>
        </is>
      </c>
      <c r="BI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7">
        <f>HYPERLINK("https://www1.hkexnews.hk/listedco/listconews/sehk/2023/1127/2023112700009.pdf","prospectus")</f>
        <v/>
      </c>
      <c r="BL226" s="77">
        <f>HYPERLINK("https://www1.hkexnews.hk/listedco/listconews/sehk/2023/1205/2023120502409.pdf","allotment")</f>
        <v/>
      </c>
      <c r="BM226" s="63" t="n"/>
      <c r="BN226" s="75" t="n"/>
      <c r="BO226" s="63" t="inlineStr">
        <is>
          <t>greenshoe: no over-allotment option in the offer structure · A/H: no A-share listing · greenshoe size: no over-allotment option in the offer structure</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7" t="n">
        <v>4.11</v>
      </c>
      <c r="W227" s="63" t="inlineStr">
        <is>
          <t>PT Esta Indonesia; PT Niaga Cakrawala Sukses; PT. Anugerah Citra Walet Indonesia; Value Partners Hong Kong Limited; WONG Sing Kwong Cyrus; WU Chen</t>
        </is>
      </c>
      <c r="X227" s="63" t="inlineStr">
        <is>
          <t>pt;value;wong;wu-chen</t>
        </is>
      </c>
      <c r="Y227" s="67" t="n">
        <v>15</v>
      </c>
      <c r="Z227" s="63" t="inlineStr">
        <is>
          <t>lapsed</t>
        </is>
      </c>
      <c r="AA227" s="72" t="n">
        <v>0</v>
      </c>
      <c r="AB227" s="73" t="n">
        <v>8.25</v>
      </c>
      <c r="AC227" s="73" t="n">
        <v>-7.62</v>
      </c>
      <c r="AD227" s="73" t="n">
        <v>-5.15</v>
      </c>
      <c r="AE227" s="73" t="n">
        <v>1.03</v>
      </c>
      <c r="AF227" s="73" t="n">
        <v>3.09</v>
      </c>
      <c r="AG227" s="73" t="n">
        <v>-5.15</v>
      </c>
      <c r="AH227" s="73" t="n">
        <v>1.03</v>
      </c>
      <c r="AI227" s="73" t="n">
        <v>3.09</v>
      </c>
      <c r="AJ227" s="73" t="n">
        <v>-6.71</v>
      </c>
      <c r="AK227" s="73" t="n">
        <v>2.22</v>
      </c>
      <c r="AL227" s="73" t="n">
        <v>-0.7</v>
      </c>
      <c r="AM227" s="73" t="n">
        <v>3.39</v>
      </c>
      <c r="AN227" s="73" t="n">
        <v>-1.19</v>
      </c>
      <c r="AO227" s="73" t="n">
        <v>-2.36</v>
      </c>
      <c r="AP227" s="63" t="inlineStr">
        <is>
          <t>Hang Seng Commerce &amp; Industry sub-index</t>
        </is>
      </c>
      <c r="AQ227" s="73" t="n">
        <v>-39.18</v>
      </c>
      <c r="AR227" s="64" t="inlineStr">
        <is>
          <t>2026-08-20</t>
        </is>
      </c>
      <c r="AS227" s="65" t="n">
        <v>1902.9</v>
      </c>
      <c r="AT227" s="68" t="n">
        <v>226.5</v>
      </c>
      <c r="AU227" s="63" t="inlineStr">
        <is>
          <t>Y</t>
        </is>
      </c>
      <c r="AV227" s="74" t="n">
        <v>19.9</v>
      </c>
      <c r="AW227" s="74" t="n"/>
      <c r="AX227" s="74" t="n">
        <v>9.300000000000001</v>
      </c>
      <c r="AY227" s="74" t="n">
        <v>2.4</v>
      </c>
      <c r="AZ227" s="75" t="inlineStr">
        <is>
          <t>N</t>
        </is>
      </c>
      <c r="BA227" s="76">
        <f>IF('BBG Verify'!K227="","not filed — run on terminal",'BBG Verify'!K227)</f>
        <v/>
      </c>
      <c r="BB227" s="63" t="inlineStr">
        <is>
          <t>N/A</t>
        </is>
      </c>
      <c r="BC227" s="63" t="inlineStr">
        <is>
          <t>N/A</t>
        </is>
      </c>
      <c r="BD227" s="63" t="inlineStr">
        <is>
          <t>N/A</t>
        </is>
      </c>
      <c r="BE227" s="63" t="inlineStr">
        <is>
          <t>N/A</t>
        </is>
      </c>
      <c r="BF227" s="63" t="inlineStr">
        <is>
          <t>N/A</t>
        </is>
      </c>
      <c r="BG227" s="75" t="inlineStr">
        <is>
          <t>China International Capital Corporation Hong Kong Securities Limited; GF Capital (Hong Kong) Limited</t>
        </is>
      </c>
      <c r="BH227" s="63" t="inlineStr">
        <is>
          <t>China International Capital Corporation Hong Kong Securities Limited; GF Capital (Hong Kong) Limited</t>
        </is>
      </c>
      <c r="BI227" s="63" t="inlineStr">
        <is>
          <t>China International Capital Corporation Hong Kong Securities Limited; GF Securities (Hong Kong) Brokerage Limited; Citigroup Global Markets Asia Limited; Citigroup Global Markets Limited; London E14 5LB United Kingdom Valuable Capital Limited</t>
        </is>
      </c>
      <c r="BJ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7">
        <f>HYPERLINK("https://www1.hkexnews.hk/listedco/listconews/sehk/2023/1130/2023113000061.pdf","prospectus")</f>
        <v/>
      </c>
      <c r="BL227" s="77">
        <f>HYPERLINK("https://www1.hkexnews.hk/listedco/listconews/sehk/2023/1211/2023121101204.pdf","allotment")</f>
        <v/>
      </c>
      <c r="BM227" s="77">
        <f>HYPERLINK("https://www1.hkexnews.hk/listedco/listconews/sehk/2024/0108/2024010800315.pdf","stabilisation")</f>
        <v/>
      </c>
      <c r="BN227" s="75" t="n"/>
      <c r="BO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20.6</v>
      </c>
      <c r="M228" s="66" t="n">
        <v>18.3</v>
      </c>
      <c r="N228" s="63" t="inlineStr">
        <is>
          <t>N</t>
        </is>
      </c>
      <c r="O228" s="67" t="n">
        <v>88.8</v>
      </c>
      <c r="P228" s="67" t="n"/>
      <c r="Q228" s="68" t="n">
        <v>41666.8</v>
      </c>
      <c r="R228" s="63" t="inlineStr">
        <is>
          <t>derived:price x shares upon listing</t>
        </is>
      </c>
      <c r="S228" s="69" t="n">
        <v>1.27</v>
      </c>
      <c r="T228" s="70" t="n">
        <v>1.21</v>
      </c>
      <c r="U228" s="71" t="n">
        <v>0</v>
      </c>
      <c r="V228" s="67" t="n">
        <v>5.1</v>
      </c>
      <c r="W228" s="63" t="n"/>
      <c r="X228" s="63" t="n"/>
      <c r="Y228" s="67" t="n"/>
      <c r="Z228" s="63" t="n"/>
      <c r="AA228" s="72" t="n">
        <v>2.62</v>
      </c>
      <c r="AB228" s="73" t="n">
        <v>1.64</v>
      </c>
      <c r="AC228" s="73" t="n">
        <v>0.96</v>
      </c>
      <c r="AD228" s="73" t="n">
        <v>0.77</v>
      </c>
      <c r="AE228" s="73" t="n">
        <v>3.39</v>
      </c>
      <c r="AF228" s="73" t="n">
        <v>-21.09</v>
      </c>
      <c r="AG228" s="73" t="n">
        <v>-1.8</v>
      </c>
      <c r="AH228" s="73" t="n">
        <v>0.75</v>
      </c>
      <c r="AI228" s="73" t="n">
        <v>-23.1</v>
      </c>
      <c r="AJ228" s="73" t="n">
        <v>2.48</v>
      </c>
      <c r="AK228" s="73" t="n">
        <v>13.42</v>
      </c>
      <c r="AL228" s="73" t="n">
        <v>-23.07</v>
      </c>
      <c r="AM228" s="73" t="n">
        <v>10.01</v>
      </c>
      <c r="AN228" s="73" t="n">
        <v>-10.03</v>
      </c>
      <c r="AO228" s="73" t="n">
        <v>-9.26</v>
      </c>
      <c r="AP228" s="63" t="inlineStr">
        <is>
          <t>Hang Seng Commerce &amp; Industry sub-index</t>
        </is>
      </c>
      <c r="AQ228" s="73" t="n">
        <v>-42.02</v>
      </c>
      <c r="AR228" s="64" t="inlineStr">
        <is>
          <t>2026-08-21</t>
        </is>
      </c>
      <c r="AS228" s="65" t="n">
        <v>16112.6</v>
      </c>
      <c r="AT228" s="68" t="n">
        <v>-495.9</v>
      </c>
      <c r="AU228" s="63" t="inlineStr">
        <is>
          <t>N</t>
        </is>
      </c>
      <c r="AV228" s="63" t="inlineStr">
        <is>
          <t>n/m</t>
        </is>
      </c>
      <c r="AW228" s="74" t="n"/>
      <c r="AX228" s="74" t="n"/>
      <c r="AY228" s="74" t="n">
        <v>2.6</v>
      </c>
      <c r="AZ228" s="75" t="inlineStr">
        <is>
          <t>N</t>
        </is>
      </c>
      <c r="BA228" s="76">
        <f>IF('BBG Verify'!K228="","not filed — run on terminal",'BBG Verify'!K228)</f>
        <v/>
      </c>
      <c r="BB228" s="63" t="inlineStr">
        <is>
          <t>N/A</t>
        </is>
      </c>
      <c r="BC228" s="63" t="inlineStr">
        <is>
          <t>N/A</t>
        </is>
      </c>
      <c r="BD228" s="63" t="inlineStr">
        <is>
          <t>N/A</t>
        </is>
      </c>
      <c r="BE228" s="63" t="inlineStr">
        <is>
          <t>N/A</t>
        </is>
      </c>
      <c r="BF228" s="63" t="inlineStr">
        <is>
          <t>N/A</t>
        </is>
      </c>
      <c r="BG228" s="75" t="inlineStr">
        <is>
          <t>Morgan Stanley Asia Limited; CITIC Securities (Hong Kong) Limited</t>
        </is>
      </c>
      <c r="BH228" s="63" t="inlineStr">
        <is>
          <t>Morgan Stanley Asia Limited; CITIC Securities (Hong Kong) Limited</t>
        </is>
      </c>
      <c r="BI228" s="63"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7">
        <f>HYPERLINK("https://www1.hkexnews.hk/listedco/listconews/sehk/2023/1208/2023120800019.pdf","prospectus")</f>
        <v/>
      </c>
      <c r="BL228" s="77">
        <f>HYPERLINK("https://www1.hkexnews.hk/listedco/listconews/sehk/2023/1215/2023121501598.pdf","allotment")</f>
        <v/>
      </c>
      <c r="BM228" s="63" t="n"/>
      <c r="BN228" s="75" t="n"/>
      <c r="BO228"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7" t="n">
        <v>10.72</v>
      </c>
      <c r="W229" s="63" t="inlineStr">
        <is>
          <t>Genesis M Co., Limited; Max Success Group Holdings Limited; Prosperity Steel United Singapore Pte. Ltd; Zhongsheng Holdings Company Limited</t>
        </is>
      </c>
      <c r="X229" s="63" t="inlineStr">
        <is>
          <t>genesis;max;prosperity;zhongsheng</t>
        </is>
      </c>
      <c r="Y229" s="67" t="n">
        <v>5</v>
      </c>
      <c r="Z229" s="63" t="inlineStr">
        <is>
          <t>lapsed</t>
        </is>
      </c>
      <c r="AA229" s="72" t="n">
        <v>-27.5</v>
      </c>
      <c r="AB229" s="73" t="n">
        <v>-11.67</v>
      </c>
      <c r="AC229" s="73" t="n">
        <v>-17.92</v>
      </c>
      <c r="AD229" s="73" t="n">
        <v>-20.83</v>
      </c>
      <c r="AE229" s="73" t="n">
        <v>-28.33</v>
      </c>
      <c r="AF229" s="73" t="n">
        <v>-37.5</v>
      </c>
      <c r="AG229" s="73" t="n">
        <v>9.199999999999999</v>
      </c>
      <c r="AH229" s="73" t="n">
        <v>-1.14</v>
      </c>
      <c r="AI229" s="73" t="n">
        <v>-13.79</v>
      </c>
      <c r="AJ229" s="73" t="n">
        <v>-23.55</v>
      </c>
      <c r="AK229" s="73" t="n">
        <v>-19.91</v>
      </c>
      <c r="AL229" s="73" t="n">
        <v>-38.8</v>
      </c>
      <c r="AM229" s="73" t="n">
        <v>7.92</v>
      </c>
      <c r="AN229" s="73" t="n">
        <v>-8.42</v>
      </c>
      <c r="AO229" s="73" t="n">
        <v>-9.06</v>
      </c>
      <c r="AP229" s="63" t="inlineStr">
        <is>
          <t>Hang Seng Commerce &amp; Industry sub-index</t>
        </is>
      </c>
      <c r="AQ229" s="73" t="n">
        <v>-49.17</v>
      </c>
      <c r="AR229" s="64" t="inlineStr">
        <is>
          <t>2026-08-20</t>
        </is>
      </c>
      <c r="AS229" s="65" t="n">
        <v>2480</v>
      </c>
      <c r="AT229" s="68" t="n">
        <v>213.5</v>
      </c>
      <c r="AU229" s="63" t="inlineStr">
        <is>
          <t>Y</t>
        </is>
      </c>
      <c r="AV229" s="74" t="n">
        <v>5.4</v>
      </c>
      <c r="AW229" s="74" t="n"/>
      <c r="AX229" s="74" t="n"/>
      <c r="AY229" s="74" t="n">
        <v>0.5</v>
      </c>
      <c r="AZ229" s="75" t="inlineStr">
        <is>
          <t>N</t>
        </is>
      </c>
      <c r="BA229" s="76">
        <f>IF('BBG Verify'!K229="","not filed — run on terminal",'BBG Verify'!K229)</f>
        <v/>
      </c>
      <c r="BB229" s="63" t="inlineStr">
        <is>
          <t>N/A</t>
        </is>
      </c>
      <c r="BC229" s="63" t="inlineStr">
        <is>
          <t>N/A</t>
        </is>
      </c>
      <c r="BD229" s="63" t="inlineStr">
        <is>
          <t>N/A</t>
        </is>
      </c>
      <c r="BE229" s="63" t="inlineStr">
        <is>
          <t>N/A</t>
        </is>
      </c>
      <c r="BF229" s="63" t="inlineStr">
        <is>
          <t>N/A</t>
        </is>
      </c>
      <c r="BG229" s="75" t="inlineStr">
        <is>
          <t>Haitong International Capital Limited</t>
        </is>
      </c>
      <c r="BH229" s="63" t="inlineStr">
        <is>
          <t>Haitong International Capital Limited</t>
        </is>
      </c>
      <c r="BI229" s="63" t="inlineStr">
        <is>
          <t>ABCI Capital Limited; ABCI Securities Company Limited</t>
        </is>
      </c>
      <c r="BJ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7">
        <f>HYPERLINK("https://www1.hkexnews.hk/listedco/listconews/sehk/2023/1212/2023121200021.pdf","prospectus")</f>
        <v/>
      </c>
      <c r="BL229" s="77">
        <f>HYPERLINK("https://www1.hkexnews.hk/listedco/listconews/sehk/2023/1219/2023121901110.pdf","allotment")</f>
        <v/>
      </c>
      <c r="BM229" s="77">
        <f>HYPERLINK("https://www1.hkexnews.hk/listedco/listconews/sehk/2024/0115/2024011500035.pdf","stabilisation")</f>
        <v/>
      </c>
      <c r="BN229" s="75" t="n"/>
      <c r="BO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7" t="n">
        <v>2.04</v>
      </c>
      <c r="W230" s="63" t="inlineStr">
        <is>
          <t>Harvest International Premium Value (Secondary Market) Fund SPC; SilkyWater Absolute Return LPF; Zhejiang Qixin Zhixing Information Technology Co., Ltd</t>
        </is>
      </c>
      <c r="X230" s="63" t="inlineStr">
        <is>
          <t>harvest;silkywater;zhejiang</t>
        </is>
      </c>
      <c r="Y230" s="67" t="n"/>
      <c r="Z230" s="63" t="n"/>
      <c r="AA230" s="72" t="n">
        <v>-12.82</v>
      </c>
      <c r="AB230" s="73" t="n">
        <v>-0.34</v>
      </c>
      <c r="AC230" s="73" t="n">
        <v>-12.52</v>
      </c>
      <c r="AD230" s="73" t="n">
        <v>13.66</v>
      </c>
      <c r="AE230" s="73" t="n">
        <v>59.36</v>
      </c>
      <c r="AF230" s="73" t="n">
        <v>171.5</v>
      </c>
      <c r="AG230" s="73" t="n">
        <v>30.37</v>
      </c>
      <c r="AH230" s="73" t="n">
        <v>82.79000000000001</v>
      </c>
      <c r="AI230" s="73" t="n">
        <v>211.42</v>
      </c>
      <c r="AJ230" s="73" t="n">
        <v>12.12</v>
      </c>
      <c r="AK230" s="73" t="n">
        <v>74.64</v>
      </c>
      <c r="AL230" s="73" t="n">
        <v>178.92</v>
      </c>
      <c r="AM230" s="73" t="n">
        <v>98.39</v>
      </c>
      <c r="AN230" s="73" t="n">
        <v>-15.28</v>
      </c>
      <c r="AO230" s="73" t="n">
        <v>-15.6</v>
      </c>
      <c r="AP230" s="63" t="inlineStr">
        <is>
          <t>HSTECH (Hang Seng TECH ETF)</t>
        </is>
      </c>
      <c r="AQ230" s="73" t="n">
        <v>-90.39</v>
      </c>
      <c r="AR230" s="64" t="inlineStr">
        <is>
          <t>2026-08-20</t>
        </is>
      </c>
      <c r="AS230" s="65" t="n">
        <v>1458.5</v>
      </c>
      <c r="AT230" s="68" t="n">
        <v>-376.6</v>
      </c>
      <c r="AU230" s="63" t="inlineStr">
        <is>
          <t>N</t>
        </is>
      </c>
      <c r="AV230" s="63" t="inlineStr">
        <is>
          <t>n/m</t>
        </is>
      </c>
      <c r="AW230" s="74" t="n"/>
      <c r="AX230" s="74" t="n"/>
      <c r="AY230" s="74" t="n">
        <v>4.6</v>
      </c>
      <c r="AZ230" s="75" t="inlineStr">
        <is>
          <t>N</t>
        </is>
      </c>
      <c r="BA230" s="76">
        <f>IF('BBG Verify'!K230="","not filed — run on terminal",'BBG Verify'!K230)</f>
        <v/>
      </c>
      <c r="BB230" s="63" t="inlineStr">
        <is>
          <t>N/A</t>
        </is>
      </c>
      <c r="BC230" s="63" t="inlineStr">
        <is>
          <t>N/A</t>
        </is>
      </c>
      <c r="BD230" s="63" t="inlineStr">
        <is>
          <t>N/A</t>
        </is>
      </c>
      <c r="BE230" s="63" t="inlineStr">
        <is>
          <t>N/A</t>
        </is>
      </c>
      <c r="BF230" s="63" t="inlineStr">
        <is>
          <t>N/A</t>
        </is>
      </c>
      <c r="BG230" s="75" t="inlineStr">
        <is>
          <t>Citigroup Global Markets Asia Limited; Huatai Financial Holdings (Hong Kong) Limited; CCB International Capital Limited</t>
        </is>
      </c>
      <c r="BH230" s="63" t="inlineStr">
        <is>
          <t>CCB International Capital Limited; Huatai Financial Holdings (Hong Kong) Limited; Citigroup Global Markets Asia Limited</t>
        </is>
      </c>
      <c r="BI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7">
        <f>HYPERLINK("https://www1.hkexnews.hk/listedco/listconews/sehk/2023/1212/2023121200019.pdf","prospectus")</f>
        <v/>
      </c>
      <c r="BL230" s="77">
        <f>HYPERLINK("https://www1.hkexnews.hk/listedco/listconews/sehk/2023/1219/2023121901176.pdf","allotment")</f>
        <v/>
      </c>
      <c r="BM230" s="63" t="n"/>
      <c r="BN230" s="75" t="n"/>
      <c r="BO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7" t="n">
        <v>10.83</v>
      </c>
      <c r="W231" s="63" t="inlineStr">
        <is>
          <t>Guo Shaojun; Liu Liyun; Yang Yingwu</t>
        </is>
      </c>
      <c r="X231" s="63" t="inlineStr">
        <is>
          <t>guo-shaojun;liu-liyun;yang-yingwu</t>
        </is>
      </c>
      <c r="Y231" s="67" t="n">
        <v>7.12</v>
      </c>
      <c r="Z231" s="63" t="inlineStr">
        <is>
          <t>lapsed (no over-allocation)</t>
        </is>
      </c>
      <c r="AA231" s="72" t="n">
        <v>11.11</v>
      </c>
      <c r="AB231" s="73" t="n">
        <v>44.44</v>
      </c>
      <c r="AC231" s="73" t="n">
        <v>-23.08</v>
      </c>
      <c r="AD231" s="73" t="n">
        <v>6.67</v>
      </c>
      <c r="AE231" s="73" t="n">
        <v>-7.78</v>
      </c>
      <c r="AF231" s="73" t="n">
        <v>-36.67</v>
      </c>
      <c r="AG231" s="73" t="n">
        <v>-4</v>
      </c>
      <c r="AH231" s="73" t="n">
        <v>-17</v>
      </c>
      <c r="AI231" s="73" t="n">
        <v>-43</v>
      </c>
      <c r="AJ231" s="73" t="n">
        <v>6.82</v>
      </c>
      <c r="AK231" s="73" t="n">
        <v>-4.31</v>
      </c>
      <c r="AL231" s="73" t="n">
        <v>-37.02</v>
      </c>
      <c r="AM231" s="73" t="n">
        <v>-16.52</v>
      </c>
      <c r="AN231" s="73" t="n">
        <v>-3.47</v>
      </c>
      <c r="AO231" s="73" t="n">
        <v>-0.48</v>
      </c>
      <c r="AP231" s="63" t="inlineStr">
        <is>
          <t>Hang Seng Commerce &amp; Industry sub-index</t>
        </is>
      </c>
      <c r="AQ231" s="73" t="n">
        <v>-15.56</v>
      </c>
      <c r="AR231" s="64" t="inlineStr">
        <is>
          <t>2026-08-20</t>
        </is>
      </c>
      <c r="AS231" s="65" t="n">
        <v>1377.2</v>
      </c>
      <c r="AT231" s="68" t="n">
        <v>28.4</v>
      </c>
      <c r="AU231" s="63" t="inlineStr">
        <is>
          <t>Y</t>
        </is>
      </c>
      <c r="AV231" s="74" t="n">
        <v>24.7</v>
      </c>
      <c r="AW231" s="74" t="n"/>
      <c r="AX231" s="74" t="n">
        <v>115.1</v>
      </c>
      <c r="AY231" s="74" t="n">
        <v>0.5</v>
      </c>
      <c r="AZ231" s="75" t="inlineStr">
        <is>
          <t>N</t>
        </is>
      </c>
      <c r="BA231" s="76">
        <f>IF('BBG Verify'!K231="","not filed — run on terminal",'BBG Verify'!K231)</f>
        <v/>
      </c>
      <c r="BB231" s="63" t="inlineStr">
        <is>
          <t>N/A</t>
        </is>
      </c>
      <c r="BC231" s="63" t="inlineStr">
        <is>
          <t>N/A</t>
        </is>
      </c>
      <c r="BD231" s="63" t="inlineStr">
        <is>
          <t>N/A</t>
        </is>
      </c>
      <c r="BE231" s="63" t="inlineStr">
        <is>
          <t>N/A</t>
        </is>
      </c>
      <c r="BF231" s="63" t="inlineStr">
        <is>
          <t>N/A</t>
        </is>
      </c>
      <c r="BG231" s="75" t="inlineStr">
        <is>
          <t>Grand Moore Capital Limited</t>
        </is>
      </c>
      <c r="BH231" s="63" t="inlineStr">
        <is>
          <t>Grand Moore Capital Limited</t>
        </is>
      </c>
      <c r="BI231" s="63" t="inlineStr">
        <is>
          <t>Grand Moore Capital Limited; Valuable Capital Limited</t>
        </is>
      </c>
      <c r="BJ231" s="63" t="inlineStr">
        <is>
          <t>CMBC Securities Company Limited; China PA Securities (Hong Kong) Company Limited; Grand Moore Capital Limited; ICBC International Securities Limited; Shenwan Hongyuan Securities (H.K.) Limited; Valuable Capital Limited</t>
        </is>
      </c>
      <c r="BK231" s="77">
        <f>HYPERLINK("https://www1.hkexnews.hk/listedco/listconews/sehk/2023/1212/2023121200092.htm","prospectus")</f>
        <v/>
      </c>
      <c r="BL231" s="77">
        <f>HYPERLINK("https://www1.hkexnews.hk/listedco/listconews/sehk/2023/1221/2023122101228.pdf","allotment")</f>
        <v/>
      </c>
      <c r="BM231" s="77">
        <f>HYPERLINK("https://www1.hkexnews.hk/listedco/listconews/sehk/2024/0118/2024011800257.pdf","stabilisation")</f>
        <v/>
      </c>
      <c r="BN231" s="75" t="n"/>
      <c r="BO231" s="63" t="inlineStr">
        <is>
          <t>price range: fixed-price offering (no indicative range) · range low: cap-only pricing — the filing publishes a Maximum Offer Price and no indicative floor · A/H: no A-share listing</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v>0.55</v>
      </c>
      <c r="L232" s="66" t="n">
        <v>0.75</v>
      </c>
      <c r="M232" s="66" t="n">
        <v>0.55</v>
      </c>
      <c r="N232" s="63" t="inlineStr">
        <is>
          <t>N</t>
        </is>
      </c>
      <c r="O232" s="67" t="n">
        <v>73.3</v>
      </c>
      <c r="P232" s="67" t="n">
        <v>0</v>
      </c>
      <c r="Q232" s="68" t="n">
        <v>1100</v>
      </c>
      <c r="R232" s="63" t="inlineStr">
        <is>
          <t>derived:price x shares upon listing</t>
        </is>
      </c>
      <c r="S232" s="69" t="n">
        <v>8.76</v>
      </c>
      <c r="T232" s="70" t="n">
        <v>1.03</v>
      </c>
      <c r="U232" s="71" t="n">
        <v>39.6</v>
      </c>
      <c r="V232" s="67" t="n">
        <v>15.1</v>
      </c>
      <c r="W232" s="63" t="inlineStr">
        <is>
          <t>Dongfang Gold Industry (Hong Kong) Limited</t>
        </is>
      </c>
      <c r="X232" s="63" t="inlineStr">
        <is>
          <t>dongfang</t>
        </is>
      </c>
      <c r="Y232" s="67" t="n">
        <v>15</v>
      </c>
      <c r="Z232" s="63" t="inlineStr">
        <is>
          <t>lapsed</t>
        </is>
      </c>
      <c r="AA232" s="72" t="n">
        <v>1.82</v>
      </c>
      <c r="AB232" s="73" t="n">
        <v>-7.27</v>
      </c>
      <c r="AC232" s="73" t="n">
        <v>9.800000000000001</v>
      </c>
      <c r="AD232" s="73" t="n">
        <v>0</v>
      </c>
      <c r="AE232" s="73" t="n">
        <v>1.82</v>
      </c>
      <c r="AF232" s="73" t="n">
        <v>12.73</v>
      </c>
      <c r="AG232" s="73" t="n">
        <v>-1.79</v>
      </c>
      <c r="AH232" s="73" t="n">
        <v>0</v>
      </c>
      <c r="AI232" s="73" t="n">
        <v>10.71</v>
      </c>
      <c r="AJ232" s="73" t="n">
        <v>0.15</v>
      </c>
      <c r="AK232" s="73" t="n">
        <v>5.29</v>
      </c>
      <c r="AL232" s="73" t="n">
        <v>12.38</v>
      </c>
      <c r="AM232" s="73" t="n">
        <v>0.48</v>
      </c>
      <c r="AN232" s="73" t="n">
        <v>-3.47</v>
      </c>
      <c r="AO232" s="73" t="n">
        <v>-0.48</v>
      </c>
      <c r="AP232" s="63" t="inlineStr">
        <is>
          <t>Hang Seng Commerce &amp; Industry sub-index</t>
        </is>
      </c>
      <c r="AQ232" s="73" t="n">
        <v>65.45</v>
      </c>
      <c r="AR232" s="64" t="inlineStr">
        <is>
          <t>2026-08-20</t>
        </is>
      </c>
      <c r="AS232" s="65" t="n">
        <v>460.3</v>
      </c>
      <c r="AT232" s="68" t="n">
        <v>133.1</v>
      </c>
      <c r="AU232" s="63" t="inlineStr">
        <is>
          <t>Y</t>
        </is>
      </c>
      <c r="AV232" s="74" t="n">
        <v>8.300000000000001</v>
      </c>
      <c r="AW232" s="74" t="n"/>
      <c r="AX232" s="74" t="n">
        <v>14</v>
      </c>
      <c r="AY232" s="74" t="n">
        <v>2.4</v>
      </c>
      <c r="AZ232" s="75" t="inlineStr">
        <is>
          <t>N</t>
        </is>
      </c>
      <c r="BA232" s="76">
        <f>IF('BBG Verify'!K232="","not filed — run on terminal",'BBG Verify'!K232)</f>
        <v/>
      </c>
      <c r="BB232" s="63" t="inlineStr">
        <is>
          <t>N/A</t>
        </is>
      </c>
      <c r="BC232" s="63" t="inlineStr">
        <is>
          <t>N/A</t>
        </is>
      </c>
      <c r="BD232" s="63" t="inlineStr">
        <is>
          <t>N/A</t>
        </is>
      </c>
      <c r="BE232" s="63" t="inlineStr">
        <is>
          <t>N/A</t>
        </is>
      </c>
      <c r="BF232" s="63" t="inlineStr">
        <is>
          <t>N/A</t>
        </is>
      </c>
      <c r="BG232" s="75" t="inlineStr">
        <is>
          <t>Innovax Capital Limited</t>
        </is>
      </c>
      <c r="BH232" s="63" t="inlineStr">
        <is>
          <t>Innovax Capital Limited</t>
        </is>
      </c>
      <c r="BI232" s="63"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7">
        <f>HYPERLINK("https://www1.hkexnews.hk/listedco/listconews/sehk/2023/1214/2023121400088.htm","prospectus")</f>
        <v/>
      </c>
      <c r="BL232" s="77">
        <f>HYPERLINK("https://www1.hkexnews.hk/listedco/listconews/sehk/2023/1221/2023122101236.pdf","allotment")</f>
        <v/>
      </c>
      <c r="BM232" s="77">
        <f>HYPERLINK("https://www1.hkexnews.hk/listedco/listconews/sehk/2024/0119/2024011900977.pdf","stabilisation")</f>
        <v/>
      </c>
      <c r="BN232" s="75" t="n"/>
      <c r="BO232" s="63" t="inlineStr">
        <is>
          <t>A/H: no A-share listing</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7" t="n">
        <v>2.86</v>
      </c>
      <c r="W233" s="63" t="inlineStr">
        <is>
          <t>Cangzhou Chuangrong Equity Investment Fund Co., Ltd</t>
        </is>
      </c>
      <c r="X233" s="63" t="inlineStr">
        <is>
          <t>cangzhou</t>
        </is>
      </c>
      <c r="Y233" s="67" t="n"/>
      <c r="Z233" s="63" t="n"/>
      <c r="AA233" s="72" t="n">
        <v>7.65</v>
      </c>
      <c r="AB233" s="73" t="n">
        <v>3.65</v>
      </c>
      <c r="AC233" s="73" t="n">
        <v>3.86</v>
      </c>
      <c r="AD233" s="73" t="n">
        <v>1.91</v>
      </c>
      <c r="AE233" s="73" t="n">
        <v>5.22</v>
      </c>
      <c r="AF233" s="73" t="n">
        <v>-50.61</v>
      </c>
      <c r="AG233" s="73" t="n">
        <v>-5.33</v>
      </c>
      <c r="AH233" s="73" t="n">
        <v>-2.26</v>
      </c>
      <c r="AI233" s="73" t="n">
        <v>-54.12</v>
      </c>
      <c r="AJ233" s="73" t="n">
        <v>0.98</v>
      </c>
      <c r="AK233" s="73" t="n">
        <v>13.58</v>
      </c>
      <c r="AL233" s="73" t="n">
        <v>-35.04</v>
      </c>
      <c r="AM233" s="73" t="n">
        <v>4.86</v>
      </c>
      <c r="AN233" s="73" t="n">
        <v>-8.359999999999999</v>
      </c>
      <c r="AO233" s="73" t="n">
        <v>-7.12</v>
      </c>
      <c r="AP233" s="63" t="inlineStr">
        <is>
          <t>China Biotech ETF (HS biotech proxy)</t>
        </is>
      </c>
      <c r="AQ233" s="73" t="n">
        <v>-70.65000000000001</v>
      </c>
      <c r="AR233" s="64" t="inlineStr">
        <is>
          <t>2026-08-20</t>
        </is>
      </c>
      <c r="AS233" s="65" t="n">
        <v>0</v>
      </c>
      <c r="AT233" s="68" t="n">
        <v>-209.2</v>
      </c>
      <c r="AU233" s="63" t="inlineStr">
        <is>
          <t>N</t>
        </is>
      </c>
      <c r="AV233" s="63" t="inlineStr">
        <is>
          <t>n/m</t>
        </is>
      </c>
      <c r="AW233" s="74" t="n"/>
      <c r="AX233" s="74" t="n"/>
      <c r="AY233" s="63" t="inlineStr">
        <is>
          <t>pre-rev</t>
        </is>
      </c>
      <c r="AZ233" s="75" t="inlineStr">
        <is>
          <t>N</t>
        </is>
      </c>
      <c r="BA233" s="76">
        <f>IF('BBG Verify'!K233="","not filed — run on terminal",'BBG Verify'!K233)</f>
        <v/>
      </c>
      <c r="BB233" s="63" t="inlineStr">
        <is>
          <t>N/A</t>
        </is>
      </c>
      <c r="BC233" s="63" t="inlineStr">
        <is>
          <t>N/A</t>
        </is>
      </c>
      <c r="BD233" s="63" t="inlineStr">
        <is>
          <t>N/A</t>
        </is>
      </c>
      <c r="BE233" s="63" t="inlineStr">
        <is>
          <t>N/A</t>
        </is>
      </c>
      <c r="BF233" s="63" t="inlineStr">
        <is>
          <t>N/A</t>
        </is>
      </c>
      <c r="BG233" s="75" t="n"/>
      <c r="BH233" s="63" t="inlineStr">
        <is>
          <t>UBS Securities Hong Kong Limited; Huatai Financial Holdings (Hong Kong) Limited</t>
        </is>
      </c>
      <c r="BI233" s="63" t="inlineStr">
        <is>
          <t>sa nd Joint Lead Managers UBS AG Hon g Kong Branch; CapitalM arket Interme diarie s UBS AG Hon g Kong Branch</t>
        </is>
      </c>
      <c r="BJ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7">
        <f>HYPERLINK("https://www1.hkexnews.hk/listedco/listconews/sehk/2023/1214/2023121400045.pdf","prospectus")</f>
        <v/>
      </c>
      <c r="BL233" s="77">
        <f>HYPERLINK("https://www1.hkexnews.hk/listedco/listconews/sehk/2023/1221/2023122101298.pdf","allotment")</f>
        <v/>
      </c>
      <c r="BM233" s="63" t="n"/>
      <c r="BN233" s="75" t="n"/>
      <c r="BO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no revenue line in the filed P&amp;L (pre-revenue issuer) — no sales multiple can exist; the cell reads pre-rev, not blank</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7" t="n">
        <v>12.42</v>
      </c>
      <c r="W234" s="63" t="inlineStr">
        <is>
          <t>China Ocean View Group Limited; Harvest Global Capital Investments Limited; Lancang Green Resource Investment Co., Ltd; ROSY DAY INVESTMENTS LIMITED; Wang Chunyu</t>
        </is>
      </c>
      <c r="X234" s="63" t="inlineStr">
        <is>
          <t>ocean;harvest;lancang;rosy;wang-chunyu</t>
        </is>
      </c>
      <c r="Y234" s="67" t="n">
        <v>2.6</v>
      </c>
      <c r="Z234" s="63" t="inlineStr">
        <is>
          <t>lapsed</t>
        </is>
      </c>
      <c r="AA234" s="72" t="n">
        <v>-18.69</v>
      </c>
      <c r="AB234" s="73" t="n">
        <v>0</v>
      </c>
      <c r="AC234" s="73" t="n">
        <v>-18.69</v>
      </c>
      <c r="AD234" s="73" t="n">
        <v>0</v>
      </c>
      <c r="AE234" s="73" t="n">
        <v>-14.77</v>
      </c>
      <c r="AF234" s="73" t="n">
        <v>2.8</v>
      </c>
      <c r="AG234" s="73" t="n">
        <v>22.99</v>
      </c>
      <c r="AH234" s="73" t="n">
        <v>4.82</v>
      </c>
      <c r="AI234" s="73" t="n">
        <v>26.43</v>
      </c>
      <c r="AJ234" s="73" t="n">
        <v>0.15</v>
      </c>
      <c r="AK234" s="73" t="n">
        <v>-11.3</v>
      </c>
      <c r="AL234" s="73" t="n">
        <v>2.45</v>
      </c>
      <c r="AM234" s="73" t="n">
        <v>5.3</v>
      </c>
      <c r="AN234" s="73" t="n">
        <v>-3.47</v>
      </c>
      <c r="AO234" s="73" t="n">
        <v>-0.48</v>
      </c>
      <c r="AP234" s="63" t="inlineStr">
        <is>
          <t>Hang Seng Commerce &amp; Industry sub-index</t>
        </is>
      </c>
      <c r="AQ234" s="73" t="n">
        <v>-69.16</v>
      </c>
      <c r="AR234" s="64" t="inlineStr">
        <is>
          <t>2026-08-24</t>
        </is>
      </c>
      <c r="AS234" s="65" t="n">
        <v>509.2</v>
      </c>
      <c r="AT234" s="68" t="n">
        <v>77.5</v>
      </c>
      <c r="AU234" s="63" t="inlineStr">
        <is>
          <t>Y</t>
        </is>
      </c>
      <c r="AV234" s="74" t="n">
        <v>11.6</v>
      </c>
      <c r="AW234" s="74" t="n"/>
      <c r="AX234" s="74" t="n"/>
      <c r="AY234" s="74" t="n">
        <v>1.8</v>
      </c>
      <c r="AZ234" s="75" t="inlineStr">
        <is>
          <t>N</t>
        </is>
      </c>
      <c r="BA234" s="76">
        <f>IF('BBG Verify'!K234="","not filed — run on terminal",'BBG Verify'!K234)</f>
        <v/>
      </c>
      <c r="BB234" s="63" t="inlineStr">
        <is>
          <t>N/A</t>
        </is>
      </c>
      <c r="BC234" s="63" t="inlineStr">
        <is>
          <t>N/A</t>
        </is>
      </c>
      <c r="BD234" s="63" t="inlineStr">
        <is>
          <t>N/A</t>
        </is>
      </c>
      <c r="BE234" s="63" t="inlineStr">
        <is>
          <t>N/A</t>
        </is>
      </c>
      <c r="BF234" s="63" t="inlineStr">
        <is>
          <t>N/A</t>
        </is>
      </c>
      <c r="BG234" s="75" t="inlineStr">
        <is>
          <t>China Securities (International) Corporate Finance Company Limited; China Merchants Securities (HK) Co., Limited</t>
        </is>
      </c>
      <c r="BH234" s="63" t="inlineStr">
        <is>
          <t>China Securities (International) Corporate Finance Company Limited; China Merchants Securities (HK) Company Limited</t>
        </is>
      </c>
      <c r="BI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7">
        <f>HYPERLINK("https://www1.hkexnews.hk/listedco/listconews/sehk/2023/1214/2023121400011.pdf","prospectus")</f>
        <v/>
      </c>
      <c r="BL234" s="77">
        <f>HYPERLINK("https://www1.hkexnews.hk/listedco/listconews/sehk/2023/1221/2023122101314.pdf","allotment")</f>
        <v/>
      </c>
      <c r="BM234" s="77">
        <f>HYPERLINK("https://www1.hkexnews.hk/listedco/listconews/sehk/2024/0118/2024011800501.pdf","stabilisation")</f>
        <v/>
      </c>
      <c r="BN234" s="75" t="n"/>
      <c r="BO234" s="63" t="inlineStr">
        <is>
          <t>A/H: no A-share listing</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c r="L235" s="66" t="n">
        <v>38.45</v>
      </c>
      <c r="M235" s="66" t="n">
        <v>27.47</v>
      </c>
      <c r="N235" s="63" t="inlineStr">
        <is>
          <t>N</t>
        </is>
      </c>
      <c r="O235" s="67" t="n">
        <v>71.40000000000001</v>
      </c>
      <c r="P235" s="67" t="n"/>
      <c r="Q235" s="68" t="n">
        <v>1648.2</v>
      </c>
      <c r="R235" s="63" t="inlineStr">
        <is>
          <t>derived:price x shares upon listing</t>
        </is>
      </c>
      <c r="S235" s="69" t="n">
        <v>1.34</v>
      </c>
      <c r="T235" s="70" t="n">
        <v>1.36</v>
      </c>
      <c r="U235" s="71" t="n">
        <v>0</v>
      </c>
      <c r="V235" s="67" t="n">
        <v>25</v>
      </c>
      <c r="W235" s="63" t="n"/>
      <c r="X235" s="63" t="n"/>
      <c r="Y235" s="67" t="n">
        <v>13.2</v>
      </c>
      <c r="Z235" s="63" t="inlineStr">
        <is>
          <t>lapsed (no over-allocation)</t>
        </is>
      </c>
      <c r="AA235" s="72" t="n">
        <v>-17.36</v>
      </c>
      <c r="AB235" s="73" t="n">
        <v>-8.81</v>
      </c>
      <c r="AC235" s="73" t="n">
        <v>-9.380000000000001</v>
      </c>
      <c r="AD235" s="73" t="n">
        <v>-8.630000000000001</v>
      </c>
      <c r="AE235" s="73" t="n">
        <v>-25.74</v>
      </c>
      <c r="AF235" s="73" t="n">
        <v>-13.36</v>
      </c>
      <c r="AG235" s="73" t="n">
        <v>10.56</v>
      </c>
      <c r="AH235" s="73" t="n">
        <v>-10.14</v>
      </c>
      <c r="AI235" s="73" t="n">
        <v>4.84</v>
      </c>
      <c r="AJ235" s="73" t="n">
        <v>-7.51</v>
      </c>
      <c r="AK235" s="73" t="n">
        <v>-13.87</v>
      </c>
      <c r="AL235" s="73" t="n">
        <v>-10.39</v>
      </c>
      <c r="AM235" s="73" t="n">
        <v>4.5</v>
      </c>
      <c r="AN235" s="73" t="n">
        <v>-11.87</v>
      </c>
      <c r="AO235" s="73" t="n">
        <v>-14.64</v>
      </c>
      <c r="AP235" s="63" t="inlineStr">
        <is>
          <t>HSTECH (Hang Seng TECH ETF)</t>
        </is>
      </c>
      <c r="AQ235" s="73" t="n">
        <v>28.14</v>
      </c>
      <c r="AR235" s="64" t="inlineStr">
        <is>
          <t>2026-08-20</t>
        </is>
      </c>
      <c r="AS235" s="65" t="n">
        <v>387.8</v>
      </c>
      <c r="AT235" s="68" t="n">
        <v>104.8</v>
      </c>
      <c r="AU235" s="63" t="inlineStr">
        <is>
          <t>Y</t>
        </is>
      </c>
      <c r="AV235" s="74" t="n">
        <v>15.7</v>
      </c>
      <c r="AW235" s="74" t="n"/>
      <c r="AX235" s="74" t="n">
        <v>13.4</v>
      </c>
      <c r="AY235" s="74" t="n">
        <v>4.3</v>
      </c>
      <c r="AZ235" s="75" t="inlineStr">
        <is>
          <t>N</t>
        </is>
      </c>
      <c r="BA235" s="76">
        <f>IF('BBG Verify'!K235="","not filed — run on terminal",'BBG Verify'!K235)</f>
        <v/>
      </c>
      <c r="BB235" s="63" t="inlineStr">
        <is>
          <t>N/A</t>
        </is>
      </c>
      <c r="BC235" s="63" t="inlineStr">
        <is>
          <t>N/A</t>
        </is>
      </c>
      <c r="BD235" s="63" t="inlineStr">
        <is>
          <t>N/A</t>
        </is>
      </c>
      <c r="BE235" s="63" t="inlineStr">
        <is>
          <t>N/A</t>
        </is>
      </c>
      <c r="BF235" s="63" t="inlineStr">
        <is>
          <t>N/A</t>
        </is>
      </c>
      <c r="BG235" s="75" t="n"/>
      <c r="BH235" s="63" t="inlineStr">
        <is>
          <t>China International Capital Corporation Hong Kong Securities Limited</t>
        </is>
      </c>
      <c r="BI235" s="63"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7">
        <f>HYPERLINK("https://www1.hkexnews.hk/listedco/listconews/sehk/2023/1218/2023121800007.pdf","prospectus")</f>
        <v/>
      </c>
      <c r="BL235" s="77">
        <f>HYPERLINK("https://www1.hkexnews.hk/listedco/listconews/sehk/2023/1227/2023122701489.pdf","allotment")</f>
        <v/>
      </c>
      <c r="BM235" s="77">
        <f>HYPERLINK("https://www1.hkexnews.hk/listedco/listconews/sehk/2024/0122/2024012200299.pdf","stabilisation")</f>
        <v/>
      </c>
      <c r="BN235" s="75" t="n"/>
      <c r="BO235" s="63"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c r="L236" s="66" t="n">
        <v>116</v>
      </c>
      <c r="M236" s="66" t="n">
        <v>90</v>
      </c>
      <c r="N236" s="63" t="inlineStr">
        <is>
          <t>N</t>
        </is>
      </c>
      <c r="O236" s="67" t="n">
        <v>77.59999999999999</v>
      </c>
      <c r="P236" s="67" t="n"/>
      <c r="Q236" s="68" t="n">
        <v>37606.6</v>
      </c>
      <c r="R236" s="63" t="inlineStr">
        <is>
          <t>derived:price x shares upon listing</t>
        </is>
      </c>
      <c r="S236" s="69" t="n">
        <v>5.16</v>
      </c>
      <c r="T236" s="70" t="n">
        <v>2.16</v>
      </c>
      <c r="U236" s="71" t="n">
        <v>54.2</v>
      </c>
      <c r="V236" s="67" t="n">
        <v>1.24</v>
      </c>
      <c r="W236" s="63" t="inlineStr">
        <is>
          <t>E-Town International Holding (Hong Kong) Co., Limited</t>
        </is>
      </c>
      <c r="X236" s="63" t="inlineStr">
        <is>
          <t>town</t>
        </is>
      </c>
      <c r="Y236" s="67" t="n">
        <v>15</v>
      </c>
      <c r="Z236" s="63" t="inlineStr">
        <is>
          <t>partial</t>
        </is>
      </c>
      <c r="AA236" s="72" t="n">
        <v>0.9399999999999999</v>
      </c>
      <c r="AB236" s="73" t="n">
        <v>-0.11</v>
      </c>
      <c r="AC236" s="73" t="n">
        <v>1.05</v>
      </c>
      <c r="AD236" s="73" t="n">
        <v>-2.22</v>
      </c>
      <c r="AE236" s="73" t="n">
        <v>0</v>
      </c>
      <c r="AF236" s="73" t="n">
        <v>143.78</v>
      </c>
      <c r="AG236" s="73" t="n">
        <v>-3.13</v>
      </c>
      <c r="AH236" s="73" t="n">
        <v>-0.93</v>
      </c>
      <c r="AI236" s="73" t="n">
        <v>141.51</v>
      </c>
      <c r="AJ236" s="73" t="n">
        <v>5.21</v>
      </c>
      <c r="AK236" s="73" t="n">
        <v>17.95</v>
      </c>
      <c r="AL236" s="73" t="n">
        <v>151.59</v>
      </c>
      <c r="AM236" s="73" t="n">
        <v>17.15</v>
      </c>
      <c r="AN236" s="73" t="n">
        <v>-17.95</v>
      </c>
      <c r="AO236" s="73" t="n">
        <v>-18.08</v>
      </c>
      <c r="AP236" s="63" t="inlineStr">
        <is>
          <t>HSTECH (Hang Seng TECH ETF)</t>
        </is>
      </c>
      <c r="AQ236" s="73" t="n">
        <v>-9.720000000000001</v>
      </c>
      <c r="AR236" s="64" t="inlineStr">
        <is>
          <t>2026-08-20</t>
        </is>
      </c>
      <c r="AS236" s="65" t="n">
        <v>1109.1</v>
      </c>
      <c r="AT236" s="68" t="n">
        <v>-1086.1</v>
      </c>
      <c r="AU236" s="63" t="inlineStr">
        <is>
          <t>N</t>
        </is>
      </c>
      <c r="AV236" s="63" t="inlineStr">
        <is>
          <t>n/m</t>
        </is>
      </c>
      <c r="AW236" s="74" t="n"/>
      <c r="AX236" s="74" t="n"/>
      <c r="AY236" s="74" t="n">
        <v>33.9</v>
      </c>
      <c r="AZ236" s="75" t="inlineStr">
        <is>
          <t>N</t>
        </is>
      </c>
      <c r="BA236" s="76">
        <f>IF('BBG Verify'!K236="","not filed — run on terminal",'BBG Verify'!K236)</f>
        <v/>
      </c>
      <c r="BB236" s="63" t="inlineStr">
        <is>
          <t>N/A</t>
        </is>
      </c>
      <c r="BC236" s="63" t="inlineStr">
        <is>
          <t>N/A</t>
        </is>
      </c>
      <c r="BD236" s="63" t="inlineStr">
        <is>
          <t>N/A</t>
        </is>
      </c>
      <c r="BE236" s="63" t="inlineStr">
        <is>
          <t>N/A</t>
        </is>
      </c>
      <c r="BF236" s="63" t="inlineStr">
        <is>
          <t>N/A</t>
        </is>
      </c>
      <c r="BG236" s="75" t="inlineStr">
        <is>
          <t>Guotai Junan Capital Limited</t>
        </is>
      </c>
      <c r="BH236" s="63" t="inlineStr">
        <is>
          <t>Guotai Junan Capital Limited</t>
        </is>
      </c>
      <c r="BI236" s="63" t="inlineStr">
        <is>
          <t>ABCI Securities Company Limited</t>
        </is>
      </c>
      <c r="BJ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7">
        <f>HYPERLINK("https://www1.hkexnews.hk/listedco/listconews/sehk/2023/1219/2023121900021.pdf","prospectus")</f>
        <v/>
      </c>
      <c r="BL236" s="77">
        <f>HYPERLINK("https://www1.hkexnews.hk/listedco/listconews/sehk/2023/1228/2023122801642.pdf","allotment")</f>
        <v/>
      </c>
      <c r="BM236" s="77">
        <f>HYPERLINK("https://www1.hkexnews.hk/listedco/listconews/sehk/2024/0122/2024012200015.pdf","stabilisation")</f>
        <v/>
      </c>
      <c r="BN236" s="75" t="n"/>
      <c r="BO236" s="63"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7" t="n">
        <v>0.6</v>
      </c>
      <c r="W237" s="63" t="inlineStr">
        <is>
          <t>Shenzhen Nanshan Strategic Emerging Industries Investment Co., Ltd</t>
        </is>
      </c>
      <c r="X237" s="63" t="inlineStr">
        <is>
          <t>shenzhen-nanshan</t>
        </is>
      </c>
      <c r="Y237" s="67" t="n">
        <v>12.5</v>
      </c>
      <c r="Z237" s="63" t="inlineStr">
        <is>
          <t>partial</t>
        </is>
      </c>
      <c r="AA237" s="72" t="n">
        <v>0</v>
      </c>
      <c r="AB237" s="73" t="n">
        <v>0</v>
      </c>
      <c r="AC237" s="73" t="n">
        <v>0</v>
      </c>
      <c r="AD237" s="73" t="n">
        <v>0</v>
      </c>
      <c r="AE237" s="73" t="n">
        <v>-9.300000000000001</v>
      </c>
      <c r="AF237" s="73" t="n">
        <v>-1.16</v>
      </c>
      <c r="AG237" s="73" t="n">
        <v>0</v>
      </c>
      <c r="AH237" s="73" t="n">
        <v>-9.300000000000001</v>
      </c>
      <c r="AI237" s="73" t="n">
        <v>-1.16</v>
      </c>
      <c r="AJ237" s="73" t="n">
        <v>5.08</v>
      </c>
      <c r="AK237" s="73" t="n">
        <v>7.66</v>
      </c>
      <c r="AL237" s="73" t="n">
        <v>1.52</v>
      </c>
      <c r="AM237" s="73" t="n">
        <v>6.44</v>
      </c>
      <c r="AN237" s="73" t="n">
        <v>-16.96</v>
      </c>
      <c r="AO237" s="73" t="n">
        <v>-15.74</v>
      </c>
      <c r="AP237" s="63" t="inlineStr">
        <is>
          <t>HSTECH (Hang Seng TECH ETF)</t>
        </is>
      </c>
      <c r="AQ237" s="73" t="n">
        <v>-50.51</v>
      </c>
      <c r="AR237" s="64" t="inlineStr">
        <is>
          <t>2026-08-20</t>
        </is>
      </c>
      <c r="AS237" s="65" t="n">
        <v>583.4</v>
      </c>
      <c r="AT237" s="68" t="n">
        <v>-2294.7</v>
      </c>
      <c r="AU237" s="63" t="inlineStr">
        <is>
          <t>N</t>
        </is>
      </c>
      <c r="AV237" s="63" t="inlineStr">
        <is>
          <t>n/m</t>
        </is>
      </c>
      <c r="AW237" s="74" t="n"/>
      <c r="AX237" s="74" t="n"/>
      <c r="AY237" s="74" t="n">
        <v>33.1</v>
      </c>
      <c r="AZ237" s="75" t="inlineStr">
        <is>
          <t>N</t>
        </is>
      </c>
      <c r="BA237" s="76">
        <f>IF('BBG Verify'!K237="","not filed — run on terminal",'BBG Verify'!K237)</f>
        <v/>
      </c>
      <c r="BB237" s="63" t="inlineStr">
        <is>
          <t>N/A</t>
        </is>
      </c>
      <c r="BC237" s="63" t="inlineStr">
        <is>
          <t>N/A</t>
        </is>
      </c>
      <c r="BD237" s="63" t="inlineStr">
        <is>
          <t>N/A</t>
        </is>
      </c>
      <c r="BE237" s="63" t="inlineStr">
        <is>
          <t>N/A</t>
        </is>
      </c>
      <c r="BF237" s="63" t="inlineStr">
        <is>
          <t>N/A</t>
        </is>
      </c>
      <c r="BG237" s="75" t="inlineStr">
        <is>
          <t>J.P. Morgan Securities (Far East) Limited; China Renaissance Securities (Hong Kong) Limited</t>
        </is>
      </c>
      <c r="BH237" s="63" t="inlineStr">
        <is>
          <t>J.P. Morgan Securities (Far East) Limited; China Renaissance Securities (Hong Kong) Limited</t>
        </is>
      </c>
      <c r="BI237" s="63"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7">
        <f>HYPERLINK("https://www1.hkexnews.hk/listedco/listconews/sehk/2023/1227/2023122700027.pdf","prospectus")</f>
        <v/>
      </c>
      <c r="BL237" s="77">
        <f>HYPERLINK("https://www1.hkexnews.hk/listedco/listconews/sehk/2024/0104/2024010401780.pdf","allotment")</f>
        <v/>
      </c>
      <c r="BM237" s="77">
        <f>HYPERLINK("https://www1.hkexnews.hk/listedco/listconews/sehk/2024/0201/2024020103564.pdf","stabilisation")</f>
        <v/>
      </c>
      <c r="BN237" s="75" t="n"/>
      <c r="BO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7" t="n">
        <v>5.5</v>
      </c>
      <c r="W238" s="63" t="n"/>
      <c r="X238" s="63" t="n"/>
      <c r="Y238" s="67" t="n"/>
      <c r="Z238" s="63" t="n"/>
      <c r="AA238" s="72" t="n">
        <v>-22.41</v>
      </c>
      <c r="AB238" s="73" t="n">
        <v>-31.37</v>
      </c>
      <c r="AC238" s="73" t="n">
        <v>13.06</v>
      </c>
      <c r="AD238" s="73" t="n">
        <v>-2.24</v>
      </c>
      <c r="AE238" s="73" t="n">
        <v>-9.1</v>
      </c>
      <c r="AF238" s="73" t="n">
        <v>61.06</v>
      </c>
      <c r="AG238" s="73" t="n">
        <v>26</v>
      </c>
      <c r="AH238" s="73" t="n">
        <v>17.15</v>
      </c>
      <c r="AI238" s="73" t="n">
        <v>107.58</v>
      </c>
      <c r="AJ238" s="73" t="n">
        <v>-3.22</v>
      </c>
      <c r="AK238" s="73" t="n">
        <v>1.68</v>
      </c>
      <c r="AL238" s="73" t="n">
        <v>74.7</v>
      </c>
      <c r="AM238" s="73" t="n">
        <v>28.67</v>
      </c>
      <c r="AN238" s="73" t="n">
        <v>-10.78</v>
      </c>
      <c r="AO238" s="73" t="n">
        <v>-11.52</v>
      </c>
      <c r="AP238" s="63" t="inlineStr">
        <is>
          <t>China Biotech ETF (HS biotech proxy)</t>
        </is>
      </c>
      <c r="AQ238" s="73" t="n">
        <v>-93.98</v>
      </c>
      <c r="AR238" s="64" t="inlineStr">
        <is>
          <t>2026-08-20</t>
        </is>
      </c>
      <c r="AS238" s="65" t="n">
        <v>519.4</v>
      </c>
      <c r="AT238" s="68" t="n">
        <v>-700.9</v>
      </c>
      <c r="AU238" s="63" t="inlineStr">
        <is>
          <t>N</t>
        </is>
      </c>
      <c r="AV238" s="63" t="inlineStr">
        <is>
          <t>n/m</t>
        </is>
      </c>
      <c r="AW238" s="74" t="n"/>
      <c r="AX238" s="74" t="n"/>
      <c r="AY238" s="74" t="n">
        <v>19.7</v>
      </c>
      <c r="AZ238" s="75" t="inlineStr">
        <is>
          <t>N</t>
        </is>
      </c>
      <c r="BA238" s="76">
        <f>IF('BBG Verify'!K238="","not filed — run on terminal",'BBG Verify'!K238)</f>
        <v/>
      </c>
      <c r="BB238" s="63" t="inlineStr">
        <is>
          <t>N/A</t>
        </is>
      </c>
      <c r="BC238" s="63" t="inlineStr">
        <is>
          <t>N/A</t>
        </is>
      </c>
      <c r="BD238" s="63" t="inlineStr">
        <is>
          <t>N/A</t>
        </is>
      </c>
      <c r="BE238" s="63" t="inlineStr">
        <is>
          <t>N/A</t>
        </is>
      </c>
      <c r="BF238" s="63" t="inlineStr">
        <is>
          <t>N/A</t>
        </is>
      </c>
      <c r="BG238" s="75" t="inlineStr">
        <is>
          <t>China International Capital Corporation Hong Kong Securities Limited; Haitong International Capital Limited</t>
        </is>
      </c>
      <c r="BH238" s="63" t="inlineStr">
        <is>
          <t>Haitong International Capital Limited; China International Capital Corporation (HK) Ltd</t>
        </is>
      </c>
      <c r="BI238" s="63"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7">
        <f>HYPERLINK("https://www1.hkexnews.hk/listedco/listconews/sehk/2023/1229/2023122900023.pdf","prospectus")</f>
        <v/>
      </c>
      <c r="BL238" s="77">
        <f>HYPERLINK("https://www1.hkexnews.hk/listedco/listconews/sehk/2024/0108/2024010801006.pdf","allotment")</f>
        <v/>
      </c>
      <c r="BM238" s="63" t="n"/>
      <c r="BN238" s="75" t="n"/>
      <c r="BO238" s="63"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7" t="n">
        <v>25</v>
      </c>
      <c r="W239" s="63" t="n"/>
      <c r="X239" s="63" t="n"/>
      <c r="Y239" s="67" t="n"/>
      <c r="Z239" s="63" t="n"/>
      <c r="AA239" s="72" t="n">
        <v>-28</v>
      </c>
      <c r="AB239" s="73" t="n">
        <v>-19</v>
      </c>
      <c r="AC239" s="73" t="n">
        <v>-11.11</v>
      </c>
      <c r="AD239" s="73" t="n">
        <v>5</v>
      </c>
      <c r="AE239" s="73" t="n">
        <v>16</v>
      </c>
      <c r="AF239" s="73" t="n">
        <v>-24</v>
      </c>
      <c r="AG239" s="73" t="n">
        <v>45.83</v>
      </c>
      <c r="AH239" s="73" t="n">
        <v>61.11</v>
      </c>
      <c r="AI239" s="73" t="n">
        <v>5.56</v>
      </c>
      <c r="AJ239" s="73" t="n">
        <v>6.97</v>
      </c>
      <c r="AK239" s="73" t="n">
        <v>17.75</v>
      </c>
      <c r="AL239" s="73" t="n">
        <v>-31.44</v>
      </c>
      <c r="AM239" s="73" t="n">
        <v>62.24</v>
      </c>
      <c r="AN239" s="73" t="n">
        <v>-1.75</v>
      </c>
      <c r="AO239" s="73" t="n">
        <v>-1.13</v>
      </c>
      <c r="AP239" s="63" t="inlineStr">
        <is>
          <t>Hang Seng Commerce &amp; Industry sub-index</t>
        </is>
      </c>
      <c r="AQ239" s="73" t="n">
        <v>-74.5</v>
      </c>
      <c r="AR239" s="64" t="inlineStr">
        <is>
          <t>2026-08-20</t>
        </is>
      </c>
      <c r="AS239" s="65" t="n">
        <v>1515.9</v>
      </c>
      <c r="AT239" s="68" t="n">
        <v>42.1</v>
      </c>
      <c r="AU239" s="63" t="inlineStr">
        <is>
          <t>Y</t>
        </is>
      </c>
      <c r="AV239" s="74" t="n">
        <v>12.2</v>
      </c>
      <c r="AW239" s="74" t="n"/>
      <c r="AX239" s="74" t="n"/>
      <c r="AY239" s="74" t="n">
        <v>0.3</v>
      </c>
      <c r="AZ239" s="75" t="inlineStr">
        <is>
          <t>N</t>
        </is>
      </c>
      <c r="BA239" s="76">
        <f>IF('BBG Verify'!K239="","not filed — run on terminal",'BBG Verify'!K239)</f>
        <v/>
      </c>
      <c r="BB239" s="63" t="inlineStr">
        <is>
          <t>N/A</t>
        </is>
      </c>
      <c r="BC239" s="63" t="inlineStr">
        <is>
          <t>N/A</t>
        </is>
      </c>
      <c r="BD239" s="63" t="inlineStr">
        <is>
          <t>N/A</t>
        </is>
      </c>
      <c r="BE239" s="63" t="inlineStr">
        <is>
          <t>N/A</t>
        </is>
      </c>
      <c r="BF239" s="63" t="inlineStr">
        <is>
          <t>N/A</t>
        </is>
      </c>
      <c r="BG239" s="75" t="inlineStr">
        <is>
          <t>Kingsway Capital Limited</t>
        </is>
      </c>
      <c r="BH239" s="63" t="inlineStr">
        <is>
          <t>Kingsway Capital Limited</t>
        </is>
      </c>
      <c r="BI239" s="63" t="inlineStr">
        <is>
          <t>Kingsway Financial Services Group Limited; Beta International Securities Limited; Valuable Capital Limited</t>
        </is>
      </c>
      <c r="BJ239" s="63" t="inlineStr">
        <is>
          <t>Beta International Securities Limited; Valuable Capital Limited</t>
        </is>
      </c>
      <c r="BK239" s="77">
        <f>HYPERLINK("https://www1.hkexnews.hk/listedco/listconews/sehk/2023/1228/2023122800045.pdf","prospectus")</f>
        <v/>
      </c>
      <c r="BL239" s="77">
        <f>HYPERLINK("https://www1.hkexnews.hk/listedco/listconews/sehk/2024/0108/2024010801008.pdf","allotment")</f>
        <v/>
      </c>
      <c r="BM239" s="63" t="n"/>
      <c r="BN239" s="75" t="n"/>
      <c r="BO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c r="L240" s="66" t="n">
        <v>7.9</v>
      </c>
      <c r="M240" s="66" t="n">
        <v>5.95</v>
      </c>
      <c r="N240" s="63" t="inlineStr">
        <is>
          <t>N</t>
        </is>
      </c>
      <c r="O240" s="67" t="n">
        <v>75.3</v>
      </c>
      <c r="P240" s="67" t="n"/>
      <c r="Q240" s="68" t="n">
        <v>1202.9</v>
      </c>
      <c r="R240" s="63" t="inlineStr">
        <is>
          <t>derived:price x shares upon listing</t>
        </is>
      </c>
      <c r="S240" s="69" t="n">
        <v>11.67</v>
      </c>
      <c r="T240" s="70" t="n">
        <v>1.07</v>
      </c>
      <c r="U240" s="71" t="n">
        <v>0</v>
      </c>
      <c r="V240" s="67" t="n">
        <v>25</v>
      </c>
      <c r="W240" s="63" t="n"/>
      <c r="X240" s="63" t="n"/>
      <c r="Y240" s="67" t="n"/>
      <c r="Z240" s="63" t="n"/>
      <c r="AA240" s="72" t="n">
        <v>16.13</v>
      </c>
      <c r="AB240" s="73" t="n">
        <v>2.52</v>
      </c>
      <c r="AC240" s="73" t="n">
        <v>13.28</v>
      </c>
      <c r="AD240" s="73" t="n">
        <v>24.71</v>
      </c>
      <c r="AE240" s="73" t="n">
        <v>28.4</v>
      </c>
      <c r="AF240" s="73" t="n">
        <v>562.1799999999999</v>
      </c>
      <c r="AG240" s="73" t="n">
        <v>7.39</v>
      </c>
      <c r="AH240" s="73" t="n">
        <v>10.57</v>
      </c>
      <c r="AI240" s="73" t="n">
        <v>470.21</v>
      </c>
      <c r="AJ240" s="73" t="n">
        <v>29.28</v>
      </c>
      <c r="AK240" s="73" t="n">
        <v>36.95</v>
      </c>
      <c r="AL240" s="73" t="n">
        <v>562.12</v>
      </c>
      <c r="AM240" s="73" t="n">
        <v>18.53</v>
      </c>
      <c r="AN240" s="73" t="n">
        <v>-8.550000000000001</v>
      </c>
      <c r="AO240" s="73" t="n">
        <v>-7.96</v>
      </c>
      <c r="AP240" s="63" t="inlineStr">
        <is>
          <t>HSTECH (Hang Seng TECH ETF)</t>
        </is>
      </c>
      <c r="AQ240" s="73" t="n">
        <v>-40.84</v>
      </c>
      <c r="AR240" s="64" t="inlineStr">
        <is>
          <t>2026-08-20</t>
        </is>
      </c>
      <c r="AS240" s="65" t="n">
        <v>602.7</v>
      </c>
      <c r="AT240" s="68" t="n">
        <v>105.5</v>
      </c>
      <c r="AU240" s="63" t="inlineStr">
        <is>
          <t>Y</t>
        </is>
      </c>
      <c r="AV240" s="74" t="n">
        <v>11.4</v>
      </c>
      <c r="AW240" s="74" t="n"/>
      <c r="AX240" s="74" t="n">
        <v>4.3</v>
      </c>
      <c r="AY240" s="74" t="n">
        <v>2</v>
      </c>
      <c r="AZ240" s="75" t="inlineStr">
        <is>
          <t>N</t>
        </is>
      </c>
      <c r="BA240" s="76">
        <f>IF('BBG Verify'!K240="","not filed — run on terminal",'BBG Verify'!K240)</f>
        <v/>
      </c>
      <c r="BB240" s="63" t="inlineStr">
        <is>
          <t>N/A</t>
        </is>
      </c>
      <c r="BC240" s="63" t="inlineStr">
        <is>
          <t>N/A</t>
        </is>
      </c>
      <c r="BD240" s="63" t="inlineStr">
        <is>
          <t>N/A</t>
        </is>
      </c>
      <c r="BE240" s="63" t="inlineStr">
        <is>
          <t>N/A</t>
        </is>
      </c>
      <c r="BF240" s="63" t="inlineStr">
        <is>
          <t>N/A</t>
        </is>
      </c>
      <c r="BG240" s="75" t="inlineStr">
        <is>
          <t>CITIC Securities (Hong Kong) Limited; ICBC International Capital Limited</t>
        </is>
      </c>
      <c r="BH240" s="63" t="inlineStr">
        <is>
          <t>CITIC Securities (Hong Kong) Limited; ICBC International Capital Limited</t>
        </is>
      </c>
      <c r="BI240" s="63" t="inlineStr">
        <is>
          <t>CLSA Limited; ICBC International Securities Limited</t>
        </is>
      </c>
      <c r="BJ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7">
        <f>HYPERLINK("https://www1.hkexnews.hk/listedco/listconews/sehk/2023/1229/2023122900027.pdf","prospectus")</f>
        <v/>
      </c>
      <c r="BL240" s="77">
        <f>HYPERLINK("https://www1.hkexnews.hk/listedco/listconews/sehk/2024/0108/2024010801108.pdf","allotment")</f>
        <v/>
      </c>
      <c r="BM240" s="63" t="n"/>
      <c r="BN240" s="75" t="n"/>
      <c r="BO240"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7" t="n">
        <v>25</v>
      </c>
      <c r="W241" s="63" t="n"/>
      <c r="X241" s="63" t="n"/>
      <c r="Y241" s="67" t="n">
        <v>20</v>
      </c>
      <c r="Z241" s="63" t="inlineStr">
        <is>
          <t>lapsed (no over-allocation)</t>
        </is>
      </c>
      <c r="AA241" s="72" t="n">
        <v>164</v>
      </c>
      <c r="AB241" s="73" t="n">
        <v>77</v>
      </c>
      <c r="AC241" s="73" t="n">
        <v>49.15</v>
      </c>
      <c r="AD241" s="73" t="n">
        <v>250</v>
      </c>
      <c r="AE241" s="73" t="n">
        <v>230</v>
      </c>
      <c r="AF241" s="73" t="n">
        <v>232</v>
      </c>
      <c r="AG241" s="73" t="n">
        <v>32.58</v>
      </c>
      <c r="AH241" s="73" t="n">
        <v>25</v>
      </c>
      <c r="AI241" s="73" t="n">
        <v>25.76</v>
      </c>
      <c r="AJ241" s="73" t="n">
        <v>256.27</v>
      </c>
      <c r="AK241" s="73" t="n">
        <v>244.15</v>
      </c>
      <c r="AL241" s="73" t="n">
        <v>249.56</v>
      </c>
      <c r="AM241" s="73" t="n">
        <v>37.92</v>
      </c>
      <c r="AN241" s="73" t="n">
        <v>-14.15</v>
      </c>
      <c r="AO241" s="73" t="n">
        <v>-12.92</v>
      </c>
      <c r="AP241" s="63" t="inlineStr">
        <is>
          <t>China Biotech ETF (HS biotech proxy)</t>
        </is>
      </c>
      <c r="AQ241" s="73" t="n">
        <v>-6</v>
      </c>
      <c r="AR241" s="64" t="inlineStr">
        <is>
          <t>2026-08-26</t>
        </is>
      </c>
      <c r="AS241" s="65" t="n">
        <v>249.2</v>
      </c>
      <c r="AT241" s="68" t="n">
        <v>26.7</v>
      </c>
      <c r="AU241" s="63" t="inlineStr">
        <is>
          <t>Y</t>
        </is>
      </c>
      <c r="AV241" s="74" t="n">
        <v>18.7</v>
      </c>
      <c r="AW241" s="74" t="n"/>
      <c r="AX241" s="74" t="n">
        <v>64</v>
      </c>
      <c r="AY241" s="74" t="n">
        <v>2</v>
      </c>
      <c r="AZ241" s="75" t="inlineStr">
        <is>
          <t>N</t>
        </is>
      </c>
      <c r="BA241" s="76">
        <f>IF('BBG Verify'!K241="","not filed — run on terminal",'BBG Verify'!K241)</f>
        <v/>
      </c>
      <c r="BB241" s="63" t="inlineStr">
        <is>
          <t>N/A</t>
        </is>
      </c>
      <c r="BC241" s="63" t="inlineStr">
        <is>
          <t>N/A</t>
        </is>
      </c>
      <c r="BD241" s="63" t="inlineStr">
        <is>
          <t>N/A</t>
        </is>
      </c>
      <c r="BE241" s="63" t="inlineStr">
        <is>
          <t>N/A</t>
        </is>
      </c>
      <c r="BF241" s="63" t="inlineStr">
        <is>
          <t>N/A</t>
        </is>
      </c>
      <c r="BG241" s="75" t="inlineStr">
        <is>
          <t>Halcyon Capital Limited; Central, Hong Kong Eddid Capital Limited</t>
        </is>
      </c>
      <c r="BH241" s="63" t="inlineStr">
        <is>
          <t>Halcyon Capital Limited; Eddid Capital Limited</t>
        </is>
      </c>
      <c r="BI241" s="63"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7">
        <f>HYPERLINK("https://www1.hkexnews.hk/listedco/listconews/sehk/2023/1228/2023122800033.pdf","prospectus")</f>
        <v/>
      </c>
      <c r="BL241" s="77">
        <f>HYPERLINK("https://www1.hkexnews.hk/listedco/listconews/sehk/2024/0111/2024011101058.pdf","allotment")</f>
        <v/>
      </c>
      <c r="BM241" s="77">
        <f>HYPERLINK("https://www1.hkexnews.hk/listedco/listconews/sehk/2024/0208/2024020800426.pdf","stabilisation")</f>
        <v/>
      </c>
      <c r="BN241" s="75" t="n"/>
      <c r="BO241" s="63" t="inlineStr">
        <is>
          <t>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v>0</v>
      </c>
      <c r="V242" s="67" t="n">
        <v>25</v>
      </c>
      <c r="W242" s="63" t="n"/>
      <c r="X242" s="63" t="n"/>
      <c r="Y242" s="67" t="n">
        <v>15</v>
      </c>
      <c r="Z242" s="63" t="inlineStr">
        <is>
          <t>lapsed</t>
        </is>
      </c>
      <c r="AA242" s="72" t="n">
        <v>136</v>
      </c>
      <c r="AB242" s="73" t="n">
        <v>160</v>
      </c>
      <c r="AC242" s="73" t="n">
        <v>-9.23</v>
      </c>
      <c r="AD242" s="73" t="n">
        <v>156</v>
      </c>
      <c r="AE242" s="73" t="n">
        <v>156</v>
      </c>
      <c r="AF242" s="73" t="n">
        <v>132</v>
      </c>
      <c r="AG242" s="73" t="n">
        <v>8.470000000000001</v>
      </c>
      <c r="AH242" s="73" t="n">
        <v>8.470000000000001</v>
      </c>
      <c r="AI242" s="73" t="n">
        <v>-1.69</v>
      </c>
      <c r="AJ242" s="73" t="n">
        <v>151.85</v>
      </c>
      <c r="AK242" s="73" t="n">
        <v>147.36</v>
      </c>
      <c r="AL242" s="73" t="n">
        <v>117.92</v>
      </c>
      <c r="AM242" s="73" t="n">
        <v>0.53</v>
      </c>
      <c r="AN242" s="73" t="n">
        <v>8.640000000000001</v>
      </c>
      <c r="AO242" s="73" t="n">
        <v>7.94</v>
      </c>
      <c r="AP242" s="63" t="inlineStr">
        <is>
          <t>Hang Seng Commerce &amp; Industry sub-index</t>
        </is>
      </c>
      <c r="AQ242" s="73" t="n">
        <v>140</v>
      </c>
      <c r="AR242" s="64" t="inlineStr">
        <is>
          <t>2026-08-20</t>
        </is>
      </c>
      <c r="AS242" s="65" t="n">
        <v>336.4</v>
      </c>
      <c r="AT242" s="68" t="n">
        <v>39.3</v>
      </c>
      <c r="AU242" s="63" t="inlineStr">
        <is>
          <t>Y</t>
        </is>
      </c>
      <c r="AV242" s="74" t="n">
        <v>12.7</v>
      </c>
      <c r="AW242" s="74" t="n"/>
      <c r="AX242" s="74" t="n">
        <v>72.09999999999999</v>
      </c>
      <c r="AY242" s="74" t="n">
        <v>1.5</v>
      </c>
      <c r="AZ242" s="75" t="inlineStr">
        <is>
          <t>N</t>
        </is>
      </c>
      <c r="BA242" s="76">
        <f>IF('BBG Verify'!K242="","not filed — run on terminal",'BBG Verify'!K242)</f>
        <v/>
      </c>
      <c r="BB242" s="63" t="inlineStr">
        <is>
          <t>N/A</t>
        </is>
      </c>
      <c r="BC242" s="63" t="inlineStr">
        <is>
          <t>N/A</t>
        </is>
      </c>
      <c r="BD242" s="63" t="inlineStr">
        <is>
          <t>N/A</t>
        </is>
      </c>
      <c r="BE242" s="63" t="inlineStr">
        <is>
          <t>N/A</t>
        </is>
      </c>
      <c r="BF242" s="63" t="inlineStr">
        <is>
          <t>N/A</t>
        </is>
      </c>
      <c r="BG242" s="75" t="n"/>
      <c r="BH242" s="63" t="inlineStr">
        <is>
          <t>Grande Capital Limited</t>
        </is>
      </c>
      <c r="BI242" s="63" t="inlineStr">
        <is>
          <t>Eddid Securities and Futures Limited; Fortune Origin Securities Limited; Grand China Securities Limited; Grande Capital Limited; Lee Go Securities Limited; Livermore Holdings Limited</t>
        </is>
      </c>
      <c r="BJ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7">
        <f>HYPERLINK("https://www1.hkexnews.hk/listedco/listconews/sehk/2024/0229/2024022900018.htm","prospectus")</f>
        <v/>
      </c>
      <c r="BL242" s="77">
        <f>HYPERLINK("https://www1.hkexnews.hk/listedco/listconews/sehk/2024/0307/2024030700933.pdf","allotment")</f>
        <v/>
      </c>
      <c r="BM242" s="77">
        <f>HYPERLINK("https://www1.hkexnews.hk/listedco/listconews/sehk/2024/0405/2024040501467.pdf","stabilisation")</f>
        <v/>
      </c>
      <c r="BN242" s="75" t="n"/>
      <c r="BO242" s="63"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c r="L243" s="66" t="n">
        <v>1.1</v>
      </c>
      <c r="M243" s="66" t="n">
        <v>1.1</v>
      </c>
      <c r="N243" s="63" t="inlineStr">
        <is>
          <t>Y</t>
        </is>
      </c>
      <c r="O243" s="67" t="n">
        <v>100</v>
      </c>
      <c r="P243" s="67" t="n"/>
      <c r="Q243" s="68" t="n">
        <v>550</v>
      </c>
      <c r="R243" s="63" t="inlineStr">
        <is>
          <t>derived:price x shares upon listing</t>
        </is>
      </c>
      <c r="S243" s="69" t="n">
        <v>22.35</v>
      </c>
      <c r="T243" s="70" t="n">
        <v>1.46</v>
      </c>
      <c r="U243" s="71" t="n">
        <v>0</v>
      </c>
      <c r="V243" s="67" t="n">
        <v>25</v>
      </c>
      <c r="W243" s="63" t="n"/>
      <c r="X243" s="63" t="n"/>
      <c r="Y243" s="67" t="n">
        <v>20</v>
      </c>
      <c r="Z243" s="63" t="inlineStr">
        <is>
          <t>lapsed (no over-allocation)</t>
        </is>
      </c>
      <c r="AA243" s="72" t="n">
        <v>36.36</v>
      </c>
      <c r="AB243" s="73" t="n">
        <v>-18.18</v>
      </c>
      <c r="AC243" s="73" t="n">
        <v>66.66</v>
      </c>
      <c r="AD243" s="73" t="n">
        <v>166.36</v>
      </c>
      <c r="AE243" s="73" t="n">
        <v>219.09</v>
      </c>
      <c r="AF243" s="73" t="n">
        <v>90.91</v>
      </c>
      <c r="AG243" s="73" t="n">
        <v>95.34</v>
      </c>
      <c r="AH243" s="73" t="n">
        <v>134.01</v>
      </c>
      <c r="AI243" s="73" t="n">
        <v>40</v>
      </c>
      <c r="AJ243" s="73" t="n">
        <v>163.33</v>
      </c>
      <c r="AK243" s="73" t="n">
        <v>213.76</v>
      </c>
      <c r="AL243" s="73" t="n">
        <v>79.31</v>
      </c>
      <c r="AM243" s="73" t="n">
        <v>129.47</v>
      </c>
      <c r="AN243" s="73" t="n">
        <v>5.33</v>
      </c>
      <c r="AO243" s="73" t="n">
        <v>4.54</v>
      </c>
      <c r="AP243" s="63" t="inlineStr">
        <is>
          <t>Hang Seng Index</t>
        </is>
      </c>
      <c r="AQ243" s="73" t="n">
        <v>-30.91</v>
      </c>
      <c r="AR243" s="64" t="inlineStr">
        <is>
          <t>2026-08-19</t>
        </is>
      </c>
      <c r="AS243" s="65" t="n">
        <v>541.8</v>
      </c>
      <c r="AT243" s="68" t="n">
        <v>75.09999999999999</v>
      </c>
      <c r="AU243" s="63" t="inlineStr">
        <is>
          <t>Y</t>
        </is>
      </c>
      <c r="AV243" s="74" t="n">
        <v>7.3</v>
      </c>
      <c r="AW243" s="74" t="n"/>
      <c r="AX243" s="74" t="n">
        <v>8.300000000000001</v>
      </c>
      <c r="AY243" s="74" t="n">
        <v>1</v>
      </c>
      <c r="AZ243" s="75" t="inlineStr">
        <is>
          <t>N</t>
        </is>
      </c>
      <c r="BA243" s="76">
        <f>IF('BBG Verify'!K243="","not filed — run on terminal",'BBG Verify'!K243)</f>
        <v/>
      </c>
      <c r="BB243" s="63" t="inlineStr">
        <is>
          <t>N/A</t>
        </is>
      </c>
      <c r="BC243" s="63" t="inlineStr">
        <is>
          <t>N/A</t>
        </is>
      </c>
      <c r="BD243" s="63" t="inlineStr">
        <is>
          <t>N/A</t>
        </is>
      </c>
      <c r="BE243" s="63" t="inlineStr">
        <is>
          <t>N/A</t>
        </is>
      </c>
      <c r="BF243" s="63" t="inlineStr">
        <is>
          <t>N/A</t>
        </is>
      </c>
      <c r="BG243" s="75" t="inlineStr">
        <is>
          <t>China Sunrise Capital Limited</t>
        </is>
      </c>
      <c r="BH243" s="63" t="inlineStr">
        <is>
          <t>China Sunrise Capital Limited</t>
        </is>
      </c>
      <c r="BI243" s="63" t="inlineStr">
        <is>
          <t>China Sunrise Securities (International) Limited; ABCI Capital Limited; BOCI Asia Limited; BOCOM International S ecurities Limited; CEB International Capital Corporation Limited</t>
        </is>
      </c>
      <c r="BJ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7">
        <f>HYPERLINK("https://www1.hkexnews.hk/listedco/listconews/sehk/2024/0229/2024022900168.pdf","prospectus")</f>
        <v/>
      </c>
      <c r="BL243" s="77">
        <f>HYPERLINK("https://www1.hkexnews.hk/listedco/listconews/sehk/2024/0307/2024030700935.pdf","allotment")</f>
        <v/>
      </c>
      <c r="BM243" s="77">
        <f>HYPERLINK("https://www1.hkexnews.hk/listedco/listconews/sehk/2024/0405/2024040500023.pdf","stabilisation")</f>
        <v/>
      </c>
      <c r="BN243" s="75" t="n"/>
      <c r="BO243" s="63"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7" t="n">
        <v>0.97</v>
      </c>
      <c r="W244" s="63" t="inlineStr">
        <is>
          <t>Beevest Capital Limited; Huadong Medicine Investment Holding (Hong Kong) Limited; JianXin Medical Technology Limited</t>
        </is>
      </c>
      <c r="X244" s="63" t="inlineStr">
        <is>
          <t>beevest;huadong;jianxin</t>
        </is>
      </c>
      <c r="Y244" s="67" t="n"/>
      <c r="Z244" s="63" t="n"/>
      <c r="AA244" s="72" t="n">
        <v>23.74</v>
      </c>
      <c r="AB244" s="73" t="n">
        <v>38.38</v>
      </c>
      <c r="AC244" s="73" t="n">
        <v>-10.58</v>
      </c>
      <c r="AD244" s="73" t="n">
        <v>20.96</v>
      </c>
      <c r="AE244" s="73" t="n">
        <v>20.71</v>
      </c>
      <c r="AF244" s="73" t="n">
        <v>39.65</v>
      </c>
      <c r="AG244" s="73" t="n">
        <v>-2.25</v>
      </c>
      <c r="AH244" s="73" t="n">
        <v>-2.45</v>
      </c>
      <c r="AI244" s="73" t="n">
        <v>12.86</v>
      </c>
      <c r="AJ244" s="73" t="n">
        <v>24.95</v>
      </c>
      <c r="AK244" s="73" t="n">
        <v>27.75</v>
      </c>
      <c r="AL244" s="73" t="n">
        <v>50.34</v>
      </c>
      <c r="AM244" s="73" t="n">
        <v>4.74</v>
      </c>
      <c r="AN244" s="73" t="n">
        <v>-7.04</v>
      </c>
      <c r="AO244" s="73" t="n">
        <v>-7.19</v>
      </c>
      <c r="AP244" s="63" t="inlineStr">
        <is>
          <t>China Biotech ETF (HS biotech proxy)</t>
        </is>
      </c>
      <c r="AQ244" s="73" t="n">
        <v>-15.25</v>
      </c>
      <c r="AR244" s="64" t="inlineStr">
        <is>
          <t>2026-08-20</t>
        </is>
      </c>
      <c r="AS244" s="65" t="n">
        <v>81.2</v>
      </c>
      <c r="AT244" s="68" t="n">
        <v>-226.5</v>
      </c>
      <c r="AU244" s="63" t="inlineStr">
        <is>
          <t>N</t>
        </is>
      </c>
      <c r="AV244" s="63" t="inlineStr">
        <is>
          <t>n/m</t>
        </is>
      </c>
      <c r="AW244" s="74" t="n"/>
      <c r="AX244" s="74" t="n">
        <v>11.1</v>
      </c>
      <c r="AY244" s="74" t="n">
        <v>54.2</v>
      </c>
      <c r="AZ244" s="75" t="inlineStr">
        <is>
          <t>N</t>
        </is>
      </c>
      <c r="BA244" s="76">
        <f>IF('BBG Verify'!K244="","not filed — run on terminal",'BBG Verify'!K244)</f>
        <v/>
      </c>
      <c r="BB244" s="63" t="inlineStr">
        <is>
          <t>N/A</t>
        </is>
      </c>
      <c r="BC244" s="63" t="inlineStr">
        <is>
          <t>N/A</t>
        </is>
      </c>
      <c r="BD244" s="63" t="inlineStr">
        <is>
          <t>N/A</t>
        </is>
      </c>
      <c r="BE244" s="63" t="inlineStr">
        <is>
          <t>N/A</t>
        </is>
      </c>
      <c r="BF244" s="63" t="inlineStr">
        <is>
          <t>N/A</t>
        </is>
      </c>
      <c r="BG244" s="75" t="n"/>
      <c r="BH244" s="63" t="inlineStr">
        <is>
          <t>China International Capital Corporation Hong Kong Securities Limited</t>
        </is>
      </c>
      <c r="BI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7">
        <f>HYPERLINK("https://www1.hkexnews.hk/listedco/listconews/sehk/2024/0312/2024031200007.pdf","prospectus")</f>
        <v/>
      </c>
      <c r="BL244" s="77">
        <f>HYPERLINK("https://www1.hkexnews.hk/listedco/listconews/sehk/2024/0319/2024031901351.pdf","allotment")</f>
        <v/>
      </c>
      <c r="BM244" s="63" t="n"/>
      <c r="BN244" s="75" t="n"/>
      <c r="BO244"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c r="L245" s="66" t="n">
        <v>4.3</v>
      </c>
      <c r="M245" s="66" t="n">
        <v>4.08</v>
      </c>
      <c r="N245" s="63" t="inlineStr">
        <is>
          <t>N</t>
        </is>
      </c>
      <c r="O245" s="67" t="n">
        <v>94.90000000000001</v>
      </c>
      <c r="P245" s="67" t="n"/>
      <c r="Q245" s="68" t="n">
        <v>3672</v>
      </c>
      <c r="R245" s="63" t="inlineStr">
        <is>
          <t>derived:price x shares upon listing</t>
        </is>
      </c>
      <c r="S245" s="69" t="n">
        <v>9.789999999999999</v>
      </c>
      <c r="T245" s="70" t="n">
        <v>1.28</v>
      </c>
      <c r="U245" s="71" t="n">
        <v>45.58</v>
      </c>
      <c r="V245" s="67" t="n">
        <v>13.61</v>
      </c>
      <c r="W245" s="63" t="inlineStr">
        <is>
          <t>Harvest; Mega Dynamic Group Limited; Pioneer Top Holdings Limited; Shenyang Xinchang Grain Trade Co., Ltd</t>
        </is>
      </c>
      <c r="X245" s="63" t="inlineStr">
        <is>
          <t>harvest;mega;pioneer;shenyang</t>
        </is>
      </c>
      <c r="Y245" s="67" t="n">
        <v>10</v>
      </c>
      <c r="Z245" s="63" t="inlineStr">
        <is>
          <t>partial</t>
        </is>
      </c>
      <c r="AA245" s="72" t="n">
        <v>0.25</v>
      </c>
      <c r="AB245" s="73" t="n">
        <v>7.35</v>
      </c>
      <c r="AC245" s="73" t="n">
        <v>-6.61</v>
      </c>
      <c r="AD245" s="73" t="n">
        <v>-0</v>
      </c>
      <c r="AE245" s="73" t="n">
        <v>31.13</v>
      </c>
      <c r="AF245" s="73" t="n">
        <v>98.53</v>
      </c>
      <c r="AG245" s="73" t="n">
        <v>-0.25</v>
      </c>
      <c r="AH245" s="73" t="n">
        <v>30.8</v>
      </c>
      <c r="AI245" s="73" t="n">
        <v>98.03</v>
      </c>
      <c r="AJ245" s="73" t="n">
        <v>-0.77</v>
      </c>
      <c r="AK245" s="73" t="n">
        <v>25.83</v>
      </c>
      <c r="AL245" s="73" t="n">
        <v>89.27</v>
      </c>
      <c r="AM245" s="73" t="n">
        <v>27.29</v>
      </c>
      <c r="AN245" s="73" t="n">
        <v>5.3</v>
      </c>
      <c r="AO245" s="73" t="n">
        <v>3.51</v>
      </c>
      <c r="AP245" s="63" t="inlineStr">
        <is>
          <t>Hang Seng Commerce &amp; Industry sub-index</t>
        </is>
      </c>
      <c r="AQ245" s="73" t="n">
        <v>129.78</v>
      </c>
      <c r="AR245" s="64" t="inlineStr">
        <is>
          <t>2026-08-20</t>
        </is>
      </c>
      <c r="AS245" s="65" t="n">
        <v>5195</v>
      </c>
      <c r="AT245" s="68" t="n">
        <v>436.2</v>
      </c>
      <c r="AU245" s="63" t="inlineStr">
        <is>
          <t>Y</t>
        </is>
      </c>
      <c r="AV245" s="74" t="n">
        <v>8.4</v>
      </c>
      <c r="AW245" s="74" t="n"/>
      <c r="AX245" s="74" t="n">
        <v>19.8</v>
      </c>
      <c r="AY245" s="74" t="n">
        <v>0.7</v>
      </c>
      <c r="AZ245" s="75" t="inlineStr">
        <is>
          <t>N</t>
        </is>
      </c>
      <c r="BA245" s="76">
        <f>IF('BBG Verify'!K245="","not filed — run on terminal",'BBG Verify'!K245)</f>
        <v/>
      </c>
      <c r="BB245" s="63" t="inlineStr">
        <is>
          <t>N/A</t>
        </is>
      </c>
      <c r="BC245" s="63" t="inlineStr">
        <is>
          <t>N/A</t>
        </is>
      </c>
      <c r="BD245" s="63" t="inlineStr">
        <is>
          <t>N/A</t>
        </is>
      </c>
      <c r="BE245" s="63" t="inlineStr">
        <is>
          <t>N/A</t>
        </is>
      </c>
      <c r="BF245" s="63" t="inlineStr">
        <is>
          <t>N/A</t>
        </is>
      </c>
      <c r="BG245" s="75" t="inlineStr">
        <is>
          <t>GF Capital (Hong Kong) Limited</t>
        </is>
      </c>
      <c r="BH245" s="63" t="inlineStr">
        <is>
          <t>GF Capital (Hong Kong) Limited</t>
        </is>
      </c>
      <c r="BI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7">
        <f>HYPERLINK("https://www1.hkexnews.hk/listedco/listconews/sehk/2024/0313/2024031300019.pdf","prospectus")</f>
        <v/>
      </c>
      <c r="BL245" s="77">
        <f>HYPERLINK("https://www1.hkexnews.hk/listedco/listconews/sehk/2024/0320/2024032001597.pdf","allotment")</f>
        <v/>
      </c>
      <c r="BM245" s="77">
        <f>HYPERLINK("https://www1.hkexnews.hk/listedco/listconews/sehk/2024/0417/2024041701556.pdf","stabilisation")</f>
        <v/>
      </c>
      <c r="BN245" s="75" t="n"/>
      <c r="BO245" s="63" t="inlineStr">
        <is>
          <t>range low: cap-only pricing — the filing publishes a Maximum Offer Price and no indicative floor · A/H: no A-share listing</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7" t="n"/>
      <c r="W246" s="63" t="inlineStr">
        <is>
          <t>XIANG SHANG GAMES CO., LTD</t>
        </is>
      </c>
      <c r="X246" s="63" t="inlineStr">
        <is>
          <t>xiang</t>
        </is>
      </c>
      <c r="Y246" s="67" t="n">
        <v>8.93</v>
      </c>
      <c r="Z246" s="63" t="inlineStr">
        <is>
          <t>partial</t>
        </is>
      </c>
      <c r="AA246" s="72" t="n">
        <v>15.38</v>
      </c>
      <c r="AB246" s="73" t="n">
        <v>5.77</v>
      </c>
      <c r="AC246" s="73" t="n">
        <v>9.09</v>
      </c>
      <c r="AD246" s="73" t="n">
        <v>111.54</v>
      </c>
      <c r="AE246" s="73" t="n">
        <v>111.92</v>
      </c>
      <c r="AF246" s="73" t="n">
        <v>129.62</v>
      </c>
      <c r="AG246" s="73" t="n">
        <v>83.34</v>
      </c>
      <c r="AH246" s="73" t="n">
        <v>83.67</v>
      </c>
      <c r="AI246" s="73" t="n">
        <v>99.01000000000001</v>
      </c>
      <c r="AJ246" s="73" t="n">
        <v>109.11</v>
      </c>
      <c r="AK246" s="73" t="n">
        <v>103.81</v>
      </c>
      <c r="AL246" s="73" t="n">
        <v>122.55</v>
      </c>
      <c r="AM246" s="73" t="n">
        <v>76.7</v>
      </c>
      <c r="AN246" s="73" t="n">
        <v>8.109999999999999</v>
      </c>
      <c r="AO246" s="73" t="n">
        <v>6.97</v>
      </c>
      <c r="AP246" s="63" t="inlineStr">
        <is>
          <t>Hang Seng Commerce &amp; Industry sub-index</t>
        </is>
      </c>
      <c r="AQ246" s="73" t="n">
        <v>-67.69</v>
      </c>
      <c r="AR246" s="64" t="inlineStr">
        <is>
          <t>2026-08-19</t>
        </is>
      </c>
      <c r="AS246" s="65" t="n">
        <v>529</v>
      </c>
      <c r="AT246" s="68" t="n">
        <v>44.2</v>
      </c>
      <c r="AU246" s="63" t="inlineStr">
        <is>
          <t>Y</t>
        </is>
      </c>
      <c r="AV246" s="74" t="n">
        <v>47.1</v>
      </c>
      <c r="AW246" s="74" t="n"/>
      <c r="AX246" s="74" t="n">
        <v>49</v>
      </c>
      <c r="AY246" s="74" t="n">
        <v>3.9</v>
      </c>
      <c r="AZ246" s="75" t="inlineStr">
        <is>
          <t>N</t>
        </is>
      </c>
      <c r="BA246" s="76">
        <f>IF('BBG Verify'!K246="","not filed — run on terminal",'BBG Verify'!K246)</f>
        <v/>
      </c>
      <c r="BB246" s="63" t="inlineStr">
        <is>
          <t>N/A</t>
        </is>
      </c>
      <c r="BC246" s="63" t="inlineStr">
        <is>
          <t>N/A</t>
        </is>
      </c>
      <c r="BD246" s="63" t="inlineStr">
        <is>
          <t>N/A</t>
        </is>
      </c>
      <c r="BE246" s="63" t="inlineStr">
        <is>
          <t>N/A</t>
        </is>
      </c>
      <c r="BF246" s="63" t="inlineStr">
        <is>
          <t>N/A</t>
        </is>
      </c>
      <c r="BG246" s="75" t="inlineStr">
        <is>
          <t>Guotai Junan Capital Limited</t>
        </is>
      </c>
      <c r="BH246" s="63" t="inlineStr">
        <is>
          <t>Guotai Junan Capital Limited</t>
        </is>
      </c>
      <c r="BI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7">
        <f>HYPERLINK("https://www1.hkexnews.hk/listedco/listconews/sehk/2024/0318/2024031800024.pdf","prospectus")</f>
        <v/>
      </c>
      <c r="BL246" s="77">
        <f>HYPERLINK("https://www1.hkexnews.hk/listedco/listconews/sehk/2024/0325/2024032501621.pdf","allotment")</f>
        <v/>
      </c>
      <c r="BM246" s="77">
        <f>HYPERLINK("https://www1.hkexnews.hk/listedco/listconews/sehk/2024/0422/2024042200005.pdf","stabilisation")</f>
        <v/>
      </c>
      <c r="BN246" s="75" t="n"/>
      <c r="BO246" s="63" t="inlineStr">
        <is>
          <t>range low: cap-only pricing — the filing publishes a Maximum Offer Price and no indicative floor · A/H: no A-share listing · deal size: no proceeds figure stated in any filing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c r="L247" s="66" t="n">
        <v>1.28</v>
      </c>
      <c r="M247" s="66" t="n">
        <v>1.08</v>
      </c>
      <c r="N247" s="63" t="inlineStr">
        <is>
          <t>N</t>
        </is>
      </c>
      <c r="O247" s="67" t="n">
        <v>84.40000000000001</v>
      </c>
      <c r="P247" s="67" t="n"/>
      <c r="Q247" s="68" t="n">
        <v>540</v>
      </c>
      <c r="R247" s="63" t="inlineStr">
        <is>
          <t>derived:price x shares upon listing</t>
        </is>
      </c>
      <c r="S247" s="69" t="n">
        <v>294.13</v>
      </c>
      <c r="T247" s="70" t="n">
        <v>0.96</v>
      </c>
      <c r="U247" s="71" t="n">
        <v>0</v>
      </c>
      <c r="V247" s="67" t="n">
        <v>20</v>
      </c>
      <c r="W247" s="63" t="n"/>
      <c r="X247" s="63" t="n"/>
      <c r="Y247" s="67" t="n">
        <v>15</v>
      </c>
      <c r="Z247" s="63" t="inlineStr">
        <is>
          <t>lapsed (no over-allocation)</t>
        </is>
      </c>
      <c r="AA247" s="72" t="n">
        <v>37.04</v>
      </c>
      <c r="AB247" s="73" t="n">
        <v>97.22</v>
      </c>
      <c r="AC247" s="73" t="n">
        <v>-30.51</v>
      </c>
      <c r="AD247" s="73" t="n">
        <v>14.81</v>
      </c>
      <c r="AE247" s="73" t="n">
        <v>-3.7</v>
      </c>
      <c r="AF247" s="73" t="n">
        <v>-4.63</v>
      </c>
      <c r="AG247" s="73" t="n">
        <v>-16.22</v>
      </c>
      <c r="AH247" s="73" t="n">
        <v>-29.73</v>
      </c>
      <c r="AI247" s="73" t="n">
        <v>-30.41</v>
      </c>
      <c r="AJ247" s="73" t="n">
        <v>11.5</v>
      </c>
      <c r="AK247" s="73" t="n">
        <v>-15.03</v>
      </c>
      <c r="AL247" s="73" t="n">
        <v>-14.97</v>
      </c>
      <c r="AM247" s="73" t="n">
        <v>-39.21</v>
      </c>
      <c r="AN247" s="73" t="n">
        <v>11.33</v>
      </c>
      <c r="AO247" s="73" t="n">
        <v>9.48</v>
      </c>
      <c r="AP247" s="63" t="inlineStr">
        <is>
          <t>Hang Seng Commerce &amp; Industry sub-index</t>
        </is>
      </c>
      <c r="AQ247" s="73" t="n">
        <v>-40.74</v>
      </c>
      <c r="AR247" s="64" t="inlineStr">
        <is>
          <t>2026-08-20</t>
        </is>
      </c>
      <c r="AS247" s="65" t="n">
        <v>139.4</v>
      </c>
      <c r="AT247" s="68" t="n">
        <v>35</v>
      </c>
      <c r="AU247" s="63" t="inlineStr">
        <is>
          <t>Y</t>
        </is>
      </c>
      <c r="AV247" s="74" t="n">
        <v>15.4</v>
      </c>
      <c r="AW247" s="74" t="n"/>
      <c r="AX247" s="74" t="n">
        <v>4.2</v>
      </c>
      <c r="AY247" s="74" t="n">
        <v>3.9</v>
      </c>
      <c r="AZ247" s="75" t="inlineStr">
        <is>
          <t>N</t>
        </is>
      </c>
      <c r="BA247" s="76">
        <f>IF('BBG Verify'!K247="","not filed — run on terminal",'BBG Verify'!K247)</f>
        <v/>
      </c>
      <c r="BB247" s="63" t="inlineStr">
        <is>
          <t>N/A</t>
        </is>
      </c>
      <c r="BC247" s="63" t="inlineStr">
        <is>
          <t>N/A</t>
        </is>
      </c>
      <c r="BD247" s="63" t="inlineStr">
        <is>
          <t>N/A</t>
        </is>
      </c>
      <c r="BE247" s="63" t="inlineStr">
        <is>
          <t>N/A</t>
        </is>
      </c>
      <c r="BF247" s="63" t="inlineStr">
        <is>
          <t>N/A</t>
        </is>
      </c>
      <c r="BG247" s="75" t="inlineStr">
        <is>
          <t>Grande Capital Limited</t>
        </is>
      </c>
      <c r="BH247" s="63" t="inlineStr">
        <is>
          <t>Grande Capital Limited</t>
        </is>
      </c>
      <c r="BI247" s="63"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7">
        <f>HYPERLINK("https://www1.hkexnews.hk/listedco/listconews/sehk/2024/0320/2024032000093.pdf","prospectus")</f>
        <v/>
      </c>
      <c r="BL247" s="77">
        <f>HYPERLINK("https://www1.hkexnews.hk/listedco/listconews/sehk/2024/0327/2024032702279.pdf","allotment")</f>
        <v/>
      </c>
      <c r="BM247" s="77">
        <f>HYPERLINK("https://www1.hkexnews.hk/listedco/listconews/sehk/2024/0424/2024042400463.pdf","stabilisation")</f>
        <v/>
      </c>
      <c r="BN247" s="75" t="n"/>
      <c r="BO247" s="63" t="inlineStr">
        <is>
          <t>range low: cap-only pricing — the filing publishes a Maximum Offer Price and no indicative floor · A/H: no A-share listing · cornerstone list: no cornerstone tranche in this deal</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7" t="n">
        <v>2.15</v>
      </c>
      <c r="W248" s="63" t="inlineStr">
        <is>
          <t>Hangzhou High-tech Venture Capital Co., Ltd</t>
        </is>
      </c>
      <c r="X248" s="63" t="inlineStr">
        <is>
          <t>hangzhou-high</t>
        </is>
      </c>
      <c r="Y248" s="67" t="n">
        <v>15</v>
      </c>
      <c r="Z248" s="63" t="inlineStr">
        <is>
          <t>lapsed</t>
        </is>
      </c>
      <c r="AA248" s="72" t="n">
        <v>-7.63</v>
      </c>
      <c r="AB248" s="73" t="n">
        <v>-4.11</v>
      </c>
      <c r="AC248" s="73" t="n">
        <v>-3.67</v>
      </c>
      <c r="AD248" s="73" t="n">
        <v>-4.79</v>
      </c>
      <c r="AE248" s="73" t="n">
        <v>-5.48</v>
      </c>
      <c r="AF248" s="73" t="n">
        <v>-7.05</v>
      </c>
      <c r="AG248" s="73" t="n">
        <v>3.07</v>
      </c>
      <c r="AH248" s="73" t="n">
        <v>2.33</v>
      </c>
      <c r="AI248" s="73" t="n">
        <v>0.63</v>
      </c>
      <c r="AJ248" s="73" t="n">
        <v>-7.49</v>
      </c>
      <c r="AK248" s="73" t="n">
        <v>-19.48</v>
      </c>
      <c r="AL248" s="73" t="n">
        <v>-14.86</v>
      </c>
      <c r="AM248" s="73" t="n">
        <v>-9.19</v>
      </c>
      <c r="AN248" s="73" t="n">
        <v>14</v>
      </c>
      <c r="AO248" s="73" t="n">
        <v>11.52</v>
      </c>
      <c r="AP248" s="63" t="inlineStr">
        <is>
          <t>HSTECH (Hang Seng TECH ETF)</t>
        </is>
      </c>
      <c r="AQ248" s="73" t="n">
        <v>-63.06</v>
      </c>
      <c r="AR248" s="64" t="inlineStr">
        <is>
          <t>2026-08-20</t>
        </is>
      </c>
      <c r="AS248" s="65" t="n">
        <v>817</v>
      </c>
      <c r="AT248" s="68" t="n">
        <v>-1008.6</v>
      </c>
      <c r="AU248" s="63" t="inlineStr">
        <is>
          <t>N</t>
        </is>
      </c>
      <c r="AV248" s="63" t="inlineStr">
        <is>
          <t>n/m</t>
        </is>
      </c>
      <c r="AW248" s="74" t="n"/>
      <c r="AX248" s="74" t="n">
        <v>2.2</v>
      </c>
      <c r="AY248" s="74" t="n">
        <v>13.5</v>
      </c>
      <c r="AZ248" s="75" t="inlineStr">
        <is>
          <t>N</t>
        </is>
      </c>
      <c r="BA248" s="76">
        <f>IF('BBG Verify'!K248="","not filed — run on terminal",'BBG Verify'!K248)</f>
        <v/>
      </c>
      <c r="BB248" s="63" t="inlineStr">
        <is>
          <t>N/A</t>
        </is>
      </c>
      <c r="BC248" s="63" t="inlineStr">
        <is>
          <t>N/A</t>
        </is>
      </c>
      <c r="BD248" s="63" t="inlineStr">
        <is>
          <t>N/A</t>
        </is>
      </c>
      <c r="BE248" s="63" t="inlineStr">
        <is>
          <t>N/A</t>
        </is>
      </c>
      <c r="BF248" s="63" t="inlineStr">
        <is>
          <t>N/A</t>
        </is>
      </c>
      <c r="BG248" s="75" t="inlineStr">
        <is>
          <t>China International Capital Corporation Hong Kong Securities Limited; J.P. Morgan Securities (Far East) Limited</t>
        </is>
      </c>
      <c r="BH248" s="63" t="inlineStr">
        <is>
          <t>China International Capital Corporation Hong Kong Securities Limited; J.P. Morgan Securities (Far East) Limited</t>
        </is>
      </c>
      <c r="BI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7">
        <f>HYPERLINK("https://www1.hkexnews.hk/listedco/listconews/sehk/2024/0320/2024032000031.pdf","prospectus")</f>
        <v/>
      </c>
      <c r="BL248" s="77">
        <f>HYPERLINK("https://www1.hkexnews.hk/listedco/listconews/sehk/2024/0327/2024032703063.pdf","allotment")</f>
        <v/>
      </c>
      <c r="BM248" s="77">
        <f>HYPERLINK("https://www1.hkexnews.hk/listedco/listconews/sehk/2024/0424/2024042402304.pdf","stabilisation")</f>
        <v/>
      </c>
      <c r="BN248" s="75" t="n"/>
      <c r="BO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c r="L249" s="66" t="n">
        <v>2.9</v>
      </c>
      <c r="M249" s="66" t="n">
        <v>2.5</v>
      </c>
      <c r="N249" s="63" t="inlineStr">
        <is>
          <t>N</t>
        </is>
      </c>
      <c r="O249" s="67" t="n">
        <v>86.2</v>
      </c>
      <c r="P249" s="67" t="n"/>
      <c r="Q249" s="68" t="n">
        <v>539.5</v>
      </c>
      <c r="R249" s="63" t="inlineStr">
        <is>
          <t>derived:price x shares upon listing</t>
        </is>
      </c>
      <c r="S249" s="69" t="n">
        <v>433.06</v>
      </c>
      <c r="T249" s="70" t="n">
        <v>1.02</v>
      </c>
      <c r="U249" s="71" t="n"/>
      <c r="V249" s="67" t="n"/>
      <c r="W249" s="63" t="inlineStr">
        <is>
          <t>Ms. Dou</t>
        </is>
      </c>
      <c r="X249" s="63" t="inlineStr">
        <is>
          <t>ms-dou</t>
        </is>
      </c>
      <c r="Y249" s="67" t="n">
        <v>20</v>
      </c>
      <c r="Z249" s="63" t="inlineStr">
        <is>
          <t>lapsed (no over-allocation)</t>
        </is>
      </c>
      <c r="AA249" s="72" t="n">
        <v>-39.2</v>
      </c>
      <c r="AB249" s="73" t="n">
        <v>-24.8</v>
      </c>
      <c r="AC249" s="73" t="n">
        <v>-19.15</v>
      </c>
      <c r="AD249" s="73" t="n">
        <v>-39.2</v>
      </c>
      <c r="AE249" s="73" t="n">
        <v>-50</v>
      </c>
      <c r="AF249" s="73" t="n">
        <v>-52.4</v>
      </c>
      <c r="AG249" s="73" t="n">
        <v>0</v>
      </c>
      <c r="AH249" s="73" t="n">
        <v>-17.76</v>
      </c>
      <c r="AI249" s="73" t="n">
        <v>-21.71</v>
      </c>
      <c r="AJ249" s="73" t="n">
        <v>-46.29</v>
      </c>
      <c r="AK249" s="73" t="n">
        <v>-60.33</v>
      </c>
      <c r="AL249" s="73" t="n">
        <v>-54.33</v>
      </c>
      <c r="AM249" s="73" t="n">
        <v>-25.63</v>
      </c>
      <c r="AN249" s="73" t="n">
        <v>10.33</v>
      </c>
      <c r="AO249" s="73" t="n">
        <v>7.87</v>
      </c>
      <c r="AP249" s="63" t="inlineStr">
        <is>
          <t>Hang Seng Commerce &amp; Industry sub-index</t>
        </is>
      </c>
      <c r="AQ249" s="73" t="n">
        <v>-11.2</v>
      </c>
      <c r="AR249" s="64" t="inlineStr">
        <is>
          <t>2026-08-20</t>
        </is>
      </c>
      <c r="AS249" s="65" t="n">
        <v>351.4</v>
      </c>
      <c r="AT249" s="68" t="n">
        <v>45.6</v>
      </c>
      <c r="AU249" s="63" t="inlineStr">
        <is>
          <t>Y</t>
        </is>
      </c>
      <c r="AV249" s="74" t="n">
        <v>11.8</v>
      </c>
      <c r="AW249" s="74" t="n"/>
      <c r="AX249" s="74" t="n"/>
      <c r="AY249" s="74" t="n">
        <v>1.5</v>
      </c>
      <c r="AZ249" s="75" t="inlineStr">
        <is>
          <t>N</t>
        </is>
      </c>
      <c r="BA249" s="76">
        <f>IF('BBG Verify'!K249="","not filed — run on terminal",'BBG Verify'!K249)</f>
        <v/>
      </c>
      <c r="BB249" s="63" t="inlineStr">
        <is>
          <t>N/A</t>
        </is>
      </c>
      <c r="BC249" s="63" t="inlineStr">
        <is>
          <t>N/A</t>
        </is>
      </c>
      <c r="BD249" s="63" t="inlineStr">
        <is>
          <t>N/A</t>
        </is>
      </c>
      <c r="BE249" s="63" t="inlineStr">
        <is>
          <t>N/A</t>
        </is>
      </c>
      <c r="BF249" s="63" t="inlineStr">
        <is>
          <t>N/A</t>
        </is>
      </c>
      <c r="BG249" s="75" t="inlineStr">
        <is>
          <t>China Everbright Capital Limited</t>
        </is>
      </c>
      <c r="BH249" s="63" t="inlineStr">
        <is>
          <t>China Everbright Capital Limited</t>
        </is>
      </c>
      <c r="BI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7">
        <f>HYPERLINK("https://www1.hkexnews.hk/listedco/listconews/sehk/2024/0415/2024041500009.pdf","prospectus")</f>
        <v/>
      </c>
      <c r="BL249" s="77">
        <f>HYPERLINK("https://www1.hkexnews.hk/listedco/listconews/sehk/2024/0422/2024042201767.pdf","allotment")</f>
        <v/>
      </c>
      <c r="BM249" s="77">
        <f>HYPERLINK("https://www1.hkexnews.hk/listedco/listconews/sehk/2024/0520/2024052000007.pdf","stabilisation")</f>
        <v/>
      </c>
      <c r="BN249" s="75" t="n"/>
      <c r="BO249" s="63" t="inlineStr">
        <is>
          <t>range low: cap-only pricing — the filing publishes a Maximum Offer Price and no indicative floor · A/H: no A-share listing · cornerstone %: cornerstone aggregate not stated in the filing</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7" t="n">
        <v>10</v>
      </c>
      <c r="W250" s="63" t="n"/>
      <c r="X250" s="63" t="n"/>
      <c r="Y250" s="67" t="n">
        <v>2.1</v>
      </c>
      <c r="Z250" s="63" t="inlineStr">
        <is>
          <t>lapsed</t>
        </is>
      </c>
      <c r="AA250" s="72" t="n">
        <v>-26.86</v>
      </c>
      <c r="AB250" s="73" t="n">
        <v>-10.06</v>
      </c>
      <c r="AC250" s="73" t="n">
        <v>-18.68</v>
      </c>
      <c r="AD250" s="73" t="n">
        <v>-34.63</v>
      </c>
      <c r="AE250" s="73" t="n">
        <v>-37.83</v>
      </c>
      <c r="AF250" s="73" t="n">
        <v>-48.06</v>
      </c>
      <c r="AG250" s="73" t="n">
        <v>-10.62</v>
      </c>
      <c r="AH250" s="73" t="n">
        <v>-15</v>
      </c>
      <c r="AI250" s="73" t="n">
        <v>-28.99</v>
      </c>
      <c r="AJ250" s="73" t="n">
        <v>-41.72</v>
      </c>
      <c r="AK250" s="73" t="n">
        <v>-48.16</v>
      </c>
      <c r="AL250" s="73" t="n">
        <v>-49.99</v>
      </c>
      <c r="AM250" s="73" t="n">
        <v>-22.87</v>
      </c>
      <c r="AN250" s="73" t="n">
        <v>10.33</v>
      </c>
      <c r="AO250" s="73" t="n">
        <v>7.87</v>
      </c>
      <c r="AP250" s="63" t="inlineStr">
        <is>
          <t>Hang Seng Commerce &amp; Industry sub-index</t>
        </is>
      </c>
      <c r="AQ250" s="73" t="n">
        <v>-72.83</v>
      </c>
      <c r="AR250" s="64" t="inlineStr">
        <is>
          <t>2026-08-20</t>
        </is>
      </c>
      <c r="AS250" s="65" t="n">
        <v>6274.7</v>
      </c>
      <c r="AT250" s="68" t="n">
        <v>1265.9</v>
      </c>
      <c r="AU250" s="63" t="inlineStr">
        <is>
          <t>Y</t>
        </is>
      </c>
      <c r="AV250" s="74" t="n">
        <v>20.4</v>
      </c>
      <c r="AW250" s="74" t="n"/>
      <c r="AX250" s="74" t="n">
        <v>7.5</v>
      </c>
      <c r="AY250" s="74" t="n">
        <v>4.1</v>
      </c>
      <c r="AZ250" s="75" t="inlineStr">
        <is>
          <t>N</t>
        </is>
      </c>
      <c r="BA250" s="76">
        <f>IF('BBG Verify'!K250="","not filed — run on terminal",'BBG Verify'!K250)</f>
        <v/>
      </c>
      <c r="BB250" s="63" t="inlineStr">
        <is>
          <t>N/A</t>
        </is>
      </c>
      <c r="BC250" s="63" t="inlineStr">
        <is>
          <t>N/A</t>
        </is>
      </c>
      <c r="BD250" s="63" t="inlineStr">
        <is>
          <t>N/A</t>
        </is>
      </c>
      <c r="BE250" s="63" t="inlineStr">
        <is>
          <t>N/A</t>
        </is>
      </c>
      <c r="BF250" s="63" t="inlineStr">
        <is>
          <t>N/A</t>
        </is>
      </c>
      <c r="BG250" s="75" t="n"/>
      <c r="BH250" s="63" t="inlineStr">
        <is>
          <t>China International Capital Corporation Hong Kong Securities Limited</t>
        </is>
      </c>
      <c r="BI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7">
        <f>HYPERLINK("https://www1.hkexnews.hk/listedco/listconews/sehk/2024/0415/2024041500022.pdf","prospectus")</f>
        <v/>
      </c>
      <c r="BL250" s="77">
        <f>HYPERLINK("https://www1.hkexnews.hk/listedco/listconews/sehk/2024/0422/2024042202135.pdf","allotment")</f>
        <v/>
      </c>
      <c r="BM250" s="77">
        <f>HYPERLINK("https://www1.hkexnews.hk/listedco/listconews/sehk/2024/0520/2024052000035.pdf","stabilisation")</f>
        <v/>
      </c>
      <c r="BN250" s="75" t="n"/>
      <c r="BO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7" t="n">
        <v>3.12</v>
      </c>
      <c r="W251" s="63" t="inlineStr">
        <is>
          <t>Nanjing Jingkai Juzhi Investment L.P; ZGC International Limited</t>
        </is>
      </c>
      <c r="X251" s="63" t="inlineStr">
        <is>
          <t>nanjing;zgc</t>
        </is>
      </c>
      <c r="Y251" s="67" t="n">
        <v>15</v>
      </c>
      <c r="Z251" s="63" t="inlineStr">
        <is>
          <t>partial</t>
        </is>
      </c>
      <c r="AA251" s="72" t="n">
        <v>-3.16</v>
      </c>
      <c r="AB251" s="73" t="n">
        <v>-21.58</v>
      </c>
      <c r="AC251" s="73" t="n">
        <v>23.49</v>
      </c>
      <c r="AD251" s="73" t="n">
        <v>1.32</v>
      </c>
      <c r="AE251" s="73" t="n">
        <v>-5.26</v>
      </c>
      <c r="AF251" s="73" t="n">
        <v>-69.73999999999999</v>
      </c>
      <c r="AG251" s="73" t="n">
        <v>4.63</v>
      </c>
      <c r="AH251" s="73" t="n">
        <v>-2.17</v>
      </c>
      <c r="AI251" s="73" t="n">
        <v>-68.75</v>
      </c>
      <c r="AJ251" s="73" t="n">
        <v>-10.99</v>
      </c>
      <c r="AK251" s="73" t="n">
        <v>-17.57</v>
      </c>
      <c r="AL251" s="73" t="n">
        <v>-69.92</v>
      </c>
      <c r="AM251" s="73" t="n">
        <v>-10.57</v>
      </c>
      <c r="AN251" s="73" t="n">
        <v>12.31</v>
      </c>
      <c r="AO251" s="73" t="n">
        <v>8.4</v>
      </c>
      <c r="AP251" s="63" t="inlineStr">
        <is>
          <t>HSTECH (Hang Seng TECH ETF)</t>
        </is>
      </c>
      <c r="AQ251" s="73" t="n">
        <v>-91.45</v>
      </c>
      <c r="AR251" s="64" t="inlineStr">
        <is>
          <t>2026-08-20</t>
        </is>
      </c>
      <c r="AS251" s="65" t="n">
        <v>557.8</v>
      </c>
      <c r="AT251" s="68" t="n">
        <v>-882.9</v>
      </c>
      <c r="AU251" s="63" t="inlineStr">
        <is>
          <t>N</t>
        </is>
      </c>
      <c r="AV251" s="63" t="inlineStr">
        <is>
          <t>n/m</t>
        </is>
      </c>
      <c r="AW251" s="74" t="n"/>
      <c r="AX251" s="74" t="n"/>
      <c r="AY251" s="74" t="n">
        <v>11</v>
      </c>
      <c r="AZ251" s="75" t="inlineStr">
        <is>
          <t>N</t>
        </is>
      </c>
      <c r="BA251" s="76">
        <f>IF('BBG Verify'!K251="","not filed — run on terminal",'BBG Verify'!K251)</f>
        <v/>
      </c>
      <c r="BB251" s="63" t="inlineStr">
        <is>
          <t>N/A</t>
        </is>
      </c>
      <c r="BC251" s="63" t="inlineStr">
        <is>
          <t>N/A</t>
        </is>
      </c>
      <c r="BD251" s="63" t="inlineStr">
        <is>
          <t>N/A</t>
        </is>
      </c>
      <c r="BE251" s="63" t="inlineStr">
        <is>
          <t>N/A</t>
        </is>
      </c>
      <c r="BF251" s="63" t="inlineStr">
        <is>
          <t>N/A</t>
        </is>
      </c>
      <c r="BG251" s="75" t="inlineStr">
        <is>
          <t>Central, Hong Kong CMB International Capital Limited</t>
        </is>
      </c>
      <c r="BH251" s="63" t="inlineStr">
        <is>
          <t>China International Capital Corporation Hong Kong Securities Limited; CMB International Capital Limited</t>
        </is>
      </c>
      <c r="BI251" s="63"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7">
        <f>HYPERLINK("https://www1.hkexnews.hk/listedco/listconews/sehk/2024/0416/2024041600025.pdf","prospectus")</f>
        <v/>
      </c>
      <c r="BL251" s="77">
        <f>HYPERLINK("https://www1.hkexnews.hk/listedco/listconews/sehk/2024/0423/2024042301690.pdf","allotment")</f>
        <v/>
      </c>
      <c r="BM251" s="77">
        <f>HYPERLINK("https://www1.hkexnews.hk/listedco/listconews/sehk/2024/0519/2024051900005.pdf","stabilisation")</f>
        <v/>
      </c>
      <c r="BN251" s="75" t="n"/>
      <c r="BO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7" t="n">
        <v>2.09</v>
      </c>
      <c r="W252" s="63" t="inlineStr">
        <is>
          <t>Barjai Trading Company Limited; VH Nanchang Donghu Asset Capital LPF</t>
        </is>
      </c>
      <c r="X252" s="63" t="inlineStr">
        <is>
          <t>barjai;vh</t>
        </is>
      </c>
      <c r="Y252" s="67" t="n"/>
      <c r="Z252" s="63" t="n"/>
      <c r="AA252" s="72" t="n">
        <v>18.46</v>
      </c>
      <c r="AB252" s="73" t="n">
        <v>3.21</v>
      </c>
      <c r="AC252" s="73" t="n">
        <v>14.78</v>
      </c>
      <c r="AD252" s="73" t="n">
        <v>40.02</v>
      </c>
      <c r="AE252" s="73" t="n">
        <v>90.25</v>
      </c>
      <c r="AF252" s="73" t="n">
        <v>125.34</v>
      </c>
      <c r="AG252" s="73" t="n">
        <v>18.2</v>
      </c>
      <c r="AH252" s="73" t="n">
        <v>60.6</v>
      </c>
      <c r="AI252" s="73" t="n">
        <v>90.22</v>
      </c>
      <c r="AJ252" s="73" t="n">
        <v>43.51</v>
      </c>
      <c r="AK252" s="73" t="n">
        <v>98.18000000000001</v>
      </c>
      <c r="AL252" s="73" t="n">
        <v>141.06</v>
      </c>
      <c r="AM252" s="73" t="n">
        <v>69.22</v>
      </c>
      <c r="AN252" s="73" t="n">
        <v>-7.93</v>
      </c>
      <c r="AO252" s="73" t="n">
        <v>-8.619999999999999</v>
      </c>
      <c r="AP252" s="63" t="inlineStr">
        <is>
          <t>HSTECH (Hang Seng TECH ETF)</t>
        </is>
      </c>
      <c r="AQ252" s="73" t="n">
        <v>16.63</v>
      </c>
      <c r="AR252" s="64" t="inlineStr">
        <is>
          <t>2026-08-21</t>
        </is>
      </c>
      <c r="AS252" s="65" t="n">
        <v>1355.3</v>
      </c>
      <c r="AT252" s="68" t="n">
        <v>-186.4</v>
      </c>
      <c r="AU252" s="63" t="inlineStr">
        <is>
          <t>N</t>
        </is>
      </c>
      <c r="AV252" s="63" t="inlineStr">
        <is>
          <t>n/m</t>
        </is>
      </c>
      <c r="AW252" s="74" t="n"/>
      <c r="AX252" s="74" t="n">
        <v>48.1</v>
      </c>
      <c r="AY252" s="74" t="n">
        <v>7.6</v>
      </c>
      <c r="AZ252" s="75" t="inlineStr">
        <is>
          <t>N</t>
        </is>
      </c>
      <c r="BA252" s="76">
        <f>IF('BBG Verify'!K252="","not filed — run on terminal",'BBG Verify'!K252)</f>
        <v/>
      </c>
      <c r="BB252" s="63" t="inlineStr">
        <is>
          <t>N/A</t>
        </is>
      </c>
      <c r="BC252" s="63" t="inlineStr">
        <is>
          <t>N/A</t>
        </is>
      </c>
      <c r="BD252" s="63" t="inlineStr">
        <is>
          <t>N/A</t>
        </is>
      </c>
      <c r="BE252" s="63" t="inlineStr">
        <is>
          <t>N/A</t>
        </is>
      </c>
      <c r="BF252" s="63" t="inlineStr">
        <is>
          <t>N/A</t>
        </is>
      </c>
      <c r="BG252" s="75" t="inlineStr">
        <is>
          <t>CCB International Capital Limited</t>
        </is>
      </c>
      <c r="BH252" s="63" t="inlineStr">
        <is>
          <t>CCB International Capital Limited; China International Capital Corporation (HK) Ltd</t>
        </is>
      </c>
      <c r="BI252" s="63" t="inlineStr">
        <is>
          <t>Beta International Securities Limited; CCB International Capital Limited; CEB International Capital Corporation Limited; China International Capital Corporation Hong Kong Securities Limited; Citrus Securities Limited; CMBC Securities Company Limited</t>
        </is>
      </c>
      <c r="BJ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7">
        <f>HYPERLINK("https://www1.hkexnews.hk/listedco/listconews/sehk/2024/0507/2024050700011.pdf","prospectus")</f>
        <v/>
      </c>
      <c r="BL252" s="77">
        <f>HYPERLINK("https://www1.hkexnews.hk/listedco/listconews/sehk/2024/0514/2024051401235.pdf","allotment")</f>
        <v/>
      </c>
      <c r="BM252" s="63" t="n"/>
      <c r="BN252" s="75" t="n"/>
      <c r="BO252" s="63" t="inlineStr">
        <is>
          <t>P/E: n/m — loss-making at IPO (use P/S) · greenshoe: no over-allotment option in the offer structure · A/H: no A-share listing · greenshoe size: no over-allotment option in the offer structure</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c r="L253" s="66" t="n">
        <v>3.6</v>
      </c>
      <c r="M253" s="66" t="n">
        <v>3.2</v>
      </c>
      <c r="N253" s="63" t="inlineStr">
        <is>
          <t>N</t>
        </is>
      </c>
      <c r="O253" s="67" t="n">
        <v>88.90000000000001</v>
      </c>
      <c r="P253" s="67" t="n"/>
      <c r="Q253" s="68" t="n">
        <v>512</v>
      </c>
      <c r="R253" s="63" t="inlineStr">
        <is>
          <t>derived:price x shares upon listing</t>
        </is>
      </c>
      <c r="S253" s="69" t="n">
        <v>47.59</v>
      </c>
      <c r="T253" s="70" t="n">
        <v>1.2</v>
      </c>
      <c r="U253" s="71" t="n">
        <v>52.34</v>
      </c>
      <c r="V253" s="67" t="n">
        <v>11.91</v>
      </c>
      <c r="W253" s="63" t="inlineStr">
        <is>
          <t>HONGKONG JIAGANG TRADING LIMITED; LENS TECHNOLOGY (HK) CO., LIMITED; Leyard (HongKong) Co., Limited; Sanan International Holding Co., Limited; Xiangzheng Capital Limited</t>
        </is>
      </c>
      <c r="X253" s="63" t="inlineStr">
        <is>
          <t>hongkong;lens;leyard;sanan;xiangzheng</t>
        </is>
      </c>
      <c r="Y253" s="67" t="n"/>
      <c r="Z253" s="63" t="n"/>
      <c r="AA253" s="72" t="n">
        <v>0.31</v>
      </c>
      <c r="AB253" s="73" t="n">
        <v>8.119999999999999</v>
      </c>
      <c r="AC253" s="73" t="n">
        <v>-7.22</v>
      </c>
      <c r="AD253" s="73" t="n">
        <v>-19.38</v>
      </c>
      <c r="AE253" s="73" t="n">
        <v>-7.81</v>
      </c>
      <c r="AF253" s="73" t="n">
        <v>-12.5</v>
      </c>
      <c r="AG253" s="73" t="n">
        <v>-19.63</v>
      </c>
      <c r="AH253" s="73" t="n">
        <v>-8.09</v>
      </c>
      <c r="AI253" s="73" t="n">
        <v>-12.77</v>
      </c>
      <c r="AJ253" s="73" t="n">
        <v>-15.31</v>
      </c>
      <c r="AK253" s="73" t="n">
        <v>6.84</v>
      </c>
      <c r="AL253" s="73" t="n">
        <v>5.33</v>
      </c>
      <c r="AM253" s="73" t="n">
        <v>8.66</v>
      </c>
      <c r="AN253" s="73" t="n">
        <v>-14.65</v>
      </c>
      <c r="AO253" s="73" t="n">
        <v>-16.75</v>
      </c>
      <c r="AP253" s="63" t="inlineStr">
        <is>
          <t>Hang Seng Properties sub-index</t>
        </is>
      </c>
      <c r="AQ253" s="73" t="n">
        <v>-12.5</v>
      </c>
      <c r="AR253" s="64" t="inlineStr">
        <is>
          <t>2026-08-19</t>
        </is>
      </c>
      <c r="AS253" s="65" t="n">
        <v>717.1</v>
      </c>
      <c r="AT253" s="68" t="n">
        <v>77.2</v>
      </c>
      <c r="AU253" s="63" t="inlineStr">
        <is>
          <t>Y</t>
        </is>
      </c>
      <c r="AV253" s="74" t="n">
        <v>6.6</v>
      </c>
      <c r="AW253" s="74" t="n"/>
      <c r="AX253" s="74" t="n">
        <v>5.2</v>
      </c>
      <c r="AY253" s="74" t="n">
        <v>0.7</v>
      </c>
      <c r="AZ253" s="75" t="inlineStr">
        <is>
          <t>N</t>
        </is>
      </c>
      <c r="BA253" s="76">
        <f>IF('BBG Verify'!K253="","not filed — run on terminal",'BBG Verify'!K253)</f>
        <v/>
      </c>
      <c r="BB253" s="63" t="inlineStr">
        <is>
          <t>N/A</t>
        </is>
      </c>
      <c r="BC253" s="63" t="inlineStr">
        <is>
          <t>N/A</t>
        </is>
      </c>
      <c r="BD253" s="63" t="inlineStr">
        <is>
          <t>N/A</t>
        </is>
      </c>
      <c r="BE253" s="63" t="inlineStr">
        <is>
          <t>N/A</t>
        </is>
      </c>
      <c r="BF253" s="63" t="inlineStr">
        <is>
          <t>N/A</t>
        </is>
      </c>
      <c r="BG253" s="75" t="n"/>
      <c r="BH253" s="63" t="inlineStr">
        <is>
          <t>China International Capital Corporation Hong Kong Securities Limited</t>
        </is>
      </c>
      <c r="BI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7">
        <f>HYPERLINK("https://www1.hkexnews.hk/listedco/listconews/sehk/2024/0508/2024050800029.pdf","prospectus")</f>
        <v/>
      </c>
      <c r="BL253" s="77">
        <f>HYPERLINK("https://www1.hkexnews.hk/listedco/listconews/sehk/2024/0516/2024051601339.pdf","allotment")</f>
        <v/>
      </c>
      <c r="BM253" s="63" t="n"/>
      <c r="BN253" s="75" t="n"/>
      <c r="BO253"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7" t="n">
        <v>19.82</v>
      </c>
      <c r="W254" s="63" t="inlineStr">
        <is>
          <t>No5XJR Limited</t>
        </is>
      </c>
      <c r="X254" s="63" t="inlineStr">
        <is>
          <t>no5xjr</t>
        </is>
      </c>
      <c r="Y254" s="67" t="n"/>
      <c r="Z254" s="63" t="n"/>
      <c r="AA254" s="72" t="n">
        <v>7.56</v>
      </c>
      <c r="AB254" s="73" t="n">
        <v>7.11</v>
      </c>
      <c r="AC254" s="73" t="n">
        <v>0.42</v>
      </c>
      <c r="AD254" s="73" t="n">
        <v>-47.41</v>
      </c>
      <c r="AE254" s="73" t="n">
        <v>-60</v>
      </c>
      <c r="AF254" s="73" t="n">
        <v>-49.63</v>
      </c>
      <c r="AG254" s="73" t="n">
        <v>-51.11</v>
      </c>
      <c r="AH254" s="73" t="n">
        <v>-62.81</v>
      </c>
      <c r="AI254" s="73" t="n">
        <v>-53.17</v>
      </c>
      <c r="AJ254" s="73" t="n">
        <v>-44.39</v>
      </c>
      <c r="AK254" s="73" t="n">
        <v>-53.58</v>
      </c>
      <c r="AL254" s="73" t="n">
        <v>-40.04</v>
      </c>
      <c r="AM254" s="73" t="n">
        <v>-58.92</v>
      </c>
      <c r="AN254" s="73" t="n">
        <v>-6.42</v>
      </c>
      <c r="AO254" s="73" t="n">
        <v>-3.89</v>
      </c>
      <c r="AP254" s="63" t="inlineStr">
        <is>
          <t>China Biotech ETF (HS biotech proxy)</t>
        </is>
      </c>
      <c r="AQ254" s="73" t="n">
        <v>-52.67</v>
      </c>
      <c r="AR254" s="64" t="inlineStr">
        <is>
          <t>2026-08-19</t>
        </is>
      </c>
      <c r="AS254" s="65" t="n">
        <v>0.5</v>
      </c>
      <c r="AT254" s="68" t="n">
        <v>0</v>
      </c>
      <c r="AU254" s="63" t="inlineStr">
        <is>
          <t>N</t>
        </is>
      </c>
      <c r="AV254" s="63" t="inlineStr">
        <is>
          <t>n/m</t>
        </is>
      </c>
      <c r="AW254" s="74" t="n"/>
      <c r="AX254" s="74" t="n"/>
      <c r="AY254" s="74" t="n">
        <v>4230</v>
      </c>
      <c r="AZ254" s="75" t="inlineStr">
        <is>
          <t>N</t>
        </is>
      </c>
      <c r="BA254" s="76">
        <f>IF('BBG Verify'!K254="","not filed — run on terminal",'BBG Verify'!K254)</f>
        <v/>
      </c>
      <c r="BB254" s="63" t="inlineStr">
        <is>
          <t>N/A</t>
        </is>
      </c>
      <c r="BC254" s="63" t="inlineStr">
        <is>
          <t>N/A</t>
        </is>
      </c>
      <c r="BD254" s="63" t="inlineStr">
        <is>
          <t>N/A</t>
        </is>
      </c>
      <c r="BE254" s="63" t="inlineStr">
        <is>
          <t>N/A</t>
        </is>
      </c>
      <c r="BF254" s="63" t="inlineStr">
        <is>
          <t>N/A</t>
        </is>
      </c>
      <c r="BG254" s="75" t="n"/>
      <c r="BH254" s="63" t="inlineStr">
        <is>
          <t>China International Capital Corporation Hong Kong Securities Limited</t>
        </is>
      </c>
      <c r="BI254" s="63" t="inlineStr">
        <is>
          <t>China International Capital Corporation Hong Kong Securities Limited; China Galaxy International Securities (Hong Kong) Co., Limited; CMB International Capital Limited; Zhongtai International Securities Limited</t>
        </is>
      </c>
      <c r="BJ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7">
        <f>HYPERLINK("https://www1.hkexnews.hk/listedco/listconews/sehk/2024/0516/2024051600013.pdf","prospectus")</f>
        <v/>
      </c>
      <c r="BL254" s="77">
        <f>HYPERLINK("https://www1.hkexnews.hk/listedco/listconews/sehk/2024/0523/2024052301621.pdf","allotment")</f>
        <v/>
      </c>
      <c r="BM254" s="63" t="n"/>
      <c r="BN254" s="75" t="n"/>
      <c r="BO254"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4,230x on HK$0.5m revenue — effectively pre-revenue; the multiple is shown for completeness, not comparability</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v>25</v>
      </c>
      <c r="L255" s="66" t="n">
        <v>29.7</v>
      </c>
      <c r="M255" s="66" t="n">
        <v>25</v>
      </c>
      <c r="N255" s="63" t="inlineStr">
        <is>
          <t>N</t>
        </is>
      </c>
      <c r="O255" s="67" t="n">
        <v>84.2</v>
      </c>
      <c r="P255" s="67" t="n">
        <v>0</v>
      </c>
      <c r="Q255" s="68" t="n">
        <v>6567.6</v>
      </c>
      <c r="R255" s="63" t="inlineStr">
        <is>
          <t>derived:price x shares upon listing</t>
        </is>
      </c>
      <c r="S255" s="69" t="n">
        <v>12.05</v>
      </c>
      <c r="T255" s="70" t="n">
        <v>1.11</v>
      </c>
      <c r="U255" s="71" t="n">
        <v>20</v>
      </c>
      <c r="V255" s="67" t="n">
        <v>6</v>
      </c>
      <c r="W255" s="63" t="inlineStr">
        <is>
          <t>Golden Future LPF</t>
        </is>
      </c>
      <c r="X255" s="63" t="inlineStr">
        <is>
          <t>golden-future</t>
        </is>
      </c>
      <c r="Y255" s="67" t="n"/>
      <c r="Z255" s="63" t="n"/>
      <c r="AA255" s="72" t="n">
        <v>40</v>
      </c>
      <c r="AB255" s="73" t="n">
        <v>32</v>
      </c>
      <c r="AC255" s="73" t="n">
        <v>6.06</v>
      </c>
      <c r="AD255" s="73" t="n">
        <v>58.8</v>
      </c>
      <c r="AE255" s="73" t="n">
        <v>110.6</v>
      </c>
      <c r="AF255" s="73" t="n">
        <v>105.8</v>
      </c>
      <c r="AG255" s="73" t="n">
        <v>13.43</v>
      </c>
      <c r="AH255" s="73" t="n">
        <v>50.43</v>
      </c>
      <c r="AI255" s="73" t="n">
        <v>47</v>
      </c>
      <c r="AJ255" s="73" t="n">
        <v>59.91</v>
      </c>
      <c r="AK255" s="73" t="n">
        <v>113.39</v>
      </c>
      <c r="AL255" s="73" t="n">
        <v>110.15</v>
      </c>
      <c r="AM255" s="73" t="n">
        <v>54.34</v>
      </c>
      <c r="AN255" s="73" t="n">
        <v>-2.79</v>
      </c>
      <c r="AO255" s="73" t="n">
        <v>-3.91</v>
      </c>
      <c r="AP255" s="63" t="inlineStr">
        <is>
          <t>Hang Seng Index</t>
        </is>
      </c>
      <c r="AQ255" s="73" t="n">
        <v>-62.36</v>
      </c>
      <c r="AR255" s="64" t="inlineStr">
        <is>
          <t>2026-08-24</t>
        </is>
      </c>
      <c r="AS255" s="65" t="n">
        <v>1107.4</v>
      </c>
      <c r="AT255" s="68" t="n">
        <v>150.4</v>
      </c>
      <c r="AU255" s="63" t="inlineStr">
        <is>
          <t>Y</t>
        </is>
      </c>
      <c r="AV255" s="74" t="n">
        <v>43.7</v>
      </c>
      <c r="AW255" s="74" t="n"/>
      <c r="AX255" s="74" t="n"/>
      <c r="AY255" s="74" t="n">
        <v>5.9</v>
      </c>
      <c r="AZ255" s="75" t="inlineStr">
        <is>
          <t>N</t>
        </is>
      </c>
      <c r="BA255" s="76">
        <f>IF('BBG Verify'!K255="","not filed — run on terminal",'BBG Verify'!K255)</f>
        <v/>
      </c>
      <c r="BB255" s="63" t="inlineStr">
        <is>
          <t>N/A</t>
        </is>
      </c>
      <c r="BC255" s="63" t="inlineStr">
        <is>
          <t>N/A</t>
        </is>
      </c>
      <c r="BD255" s="63" t="inlineStr">
        <is>
          <t>N/A</t>
        </is>
      </c>
      <c r="BE255" s="63" t="inlineStr">
        <is>
          <t>N/A</t>
        </is>
      </c>
      <c r="BF255" s="63" t="inlineStr">
        <is>
          <t>N/A</t>
        </is>
      </c>
      <c r="BG255" s="75" t="inlineStr">
        <is>
          <t>Haitong International Capital Limited</t>
        </is>
      </c>
      <c r="BH255" s="63" t="inlineStr">
        <is>
          <t>Haitong International Capital Limited</t>
        </is>
      </c>
      <c r="BI255" s="63" t="inlineStr">
        <is>
          <t>Haitong International Securities Company Limited; Zhongtai International Securities Limited; CCB International Capital Limited; ABCI Capital Limited; SPDB International Capital Limited; BOCOM International Securities Limited; Quam Securities Limited</t>
        </is>
      </c>
      <c r="BJ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7">
        <f>HYPERLINK("https://www1.hkexnews.hk/listedco/listconews/sehk/2024/0517/2024051700009.pdf","prospectus")</f>
        <v/>
      </c>
      <c r="BL255" s="77">
        <f>HYPERLINK("https://www1.hkexnews.hk/listedco/listconews/sehk/2024/0524/2024052401848.pdf","allotment")</f>
        <v/>
      </c>
      <c r="BM255" s="63" t="n"/>
      <c r="BN255" s="75" t="n"/>
      <c r="BO255" s="63" t="inlineStr">
        <is>
          <t>greenshoe: no over-allotment option in the offer structure · A/H: no A-share listing · greenshoe size: no over-allotment option in the offer structure</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v>2.28</v>
      </c>
      <c r="L256" s="66" t="n">
        <v>3.06</v>
      </c>
      <c r="M256" s="66" t="n">
        <v>2.28</v>
      </c>
      <c r="N256" s="63" t="inlineStr">
        <is>
          <t>N</t>
        </is>
      </c>
      <c r="O256" s="67" t="n">
        <v>74.5</v>
      </c>
      <c r="P256" s="67" t="n">
        <v>0</v>
      </c>
      <c r="Q256" s="68" t="n">
        <v>1174.7</v>
      </c>
      <c r="R256" s="63" t="inlineStr">
        <is>
          <t>aastocks:上市市值 at the struck price</t>
        </is>
      </c>
      <c r="S256" s="69" t="n">
        <v>103.44</v>
      </c>
      <c r="T256" s="70" t="n">
        <v>0.98</v>
      </c>
      <c r="U256" s="71" t="n">
        <v>35.8</v>
      </c>
      <c r="V256" s="67" t="n"/>
      <c r="W256" s="63" t="inlineStr">
        <is>
          <t>CPIC Investment Management (H.K.) Company Limited; The Reynold Lemkins Group (Asia) Limited</t>
        </is>
      </c>
      <c r="X256" s="63" t="inlineStr">
        <is>
          <t>cpic;reynold</t>
        </is>
      </c>
      <c r="Y256" s="67" t="n"/>
      <c r="Z256" s="63" t="inlineStr">
        <is>
          <t>lapsed (no over-allocation)</t>
        </is>
      </c>
      <c r="AA256" s="72" t="n">
        <v>84.20999999999999</v>
      </c>
      <c r="AB256" s="73" t="n">
        <v>35.53</v>
      </c>
      <c r="AC256" s="73" t="n">
        <v>35.92</v>
      </c>
      <c r="AD256" s="73" t="n">
        <v>35.09</v>
      </c>
      <c r="AE256" s="73" t="n">
        <v>84.20999999999999</v>
      </c>
      <c r="AF256" s="73" t="n">
        <v>49.12</v>
      </c>
      <c r="AG256" s="73" t="n">
        <v>-26.67</v>
      </c>
      <c r="AH256" s="73" t="n">
        <v>0</v>
      </c>
      <c r="AI256" s="73" t="n">
        <v>-19.05</v>
      </c>
      <c r="AJ256" s="73" t="n">
        <v>36.4</v>
      </c>
      <c r="AK256" s="73" t="n">
        <v>89.48999999999999</v>
      </c>
      <c r="AL256" s="73" t="n">
        <v>53.89</v>
      </c>
      <c r="AM256" s="73" t="n">
        <v>5.4</v>
      </c>
      <c r="AN256" s="73" t="n">
        <v>-5.28</v>
      </c>
      <c r="AO256" s="73" t="n">
        <v>-5.4</v>
      </c>
      <c r="AP256" s="63" t="inlineStr">
        <is>
          <t>Hang Seng Commerce &amp; Industry sub-index</t>
        </is>
      </c>
      <c r="AQ256" s="73" t="n">
        <v>-71.27</v>
      </c>
      <c r="AR256" s="64" t="inlineStr">
        <is>
          <t>2026-08-20</t>
        </is>
      </c>
      <c r="AS256" s="65" t="n">
        <v>1330.2</v>
      </c>
      <c r="AT256" s="68" t="n">
        <v>76.3</v>
      </c>
      <c r="AU256" s="63" t="inlineStr">
        <is>
          <t>Y</t>
        </is>
      </c>
      <c r="AV256" s="74" t="n">
        <v>15.4</v>
      </c>
      <c r="AW256" s="74" t="n"/>
      <c r="AX256" s="74" t="n"/>
      <c r="AY256" s="74" t="n">
        <v>0.9</v>
      </c>
      <c r="AZ256" s="75" t="inlineStr">
        <is>
          <t>N</t>
        </is>
      </c>
      <c r="BA256" s="76">
        <f>IF('BBG Verify'!K256="","not filed — run on terminal",'BBG Verify'!K256)</f>
        <v/>
      </c>
      <c r="BB256" s="63" t="inlineStr">
        <is>
          <t>N/A</t>
        </is>
      </c>
      <c r="BC256" s="63" t="inlineStr">
        <is>
          <t>N/A</t>
        </is>
      </c>
      <c r="BD256" s="63" t="inlineStr">
        <is>
          <t>N/A</t>
        </is>
      </c>
      <c r="BE256" s="63" t="inlineStr">
        <is>
          <t>N/A</t>
        </is>
      </c>
      <c r="BF256" s="63" t="inlineStr">
        <is>
          <t>N/A</t>
        </is>
      </c>
      <c r="BG256" s="75" t="inlineStr">
        <is>
          <t>CMB International Capital Limited</t>
        </is>
      </c>
      <c r="BH256" s="63" t="inlineStr">
        <is>
          <t>CMB International Capital Corporation Limited</t>
        </is>
      </c>
      <c r="BI256" s="63" t="inlineStr">
        <is>
          <t>CMB International Capital Limited; ABCI Capital Limited; ABCI Securities Company Limited</t>
        </is>
      </c>
      <c r="BJ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7">
        <f>HYPERLINK("https://www1.hkexnews.hk/listedco/listconews/sehk/2024/0519/2024051900044.htm","prospectus")</f>
        <v/>
      </c>
      <c r="BL256" s="77">
        <f>HYPERLINK("https://www1.hkexnews.hk/listedco/listconews/sehk/2024/0527/2024052701491.pdf","allotment")</f>
        <v/>
      </c>
      <c r="BM256" s="77">
        <f>HYPERLINK("https://www1.hkexnews.hk/listedco/listconews/sehk/2024/0624/2024062401055.pdf","stabilisation")</f>
        <v/>
      </c>
      <c r="BN256" s="75" t="n"/>
      <c r="BO256" s="63" t="inlineStr">
        <is>
          <t>A/H: no A-share listing · greenshoe size: no over-allotment option in the offer structure · deal size: no proceeds figure stated in any filing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8500</v>
      </c>
      <c r="R257" s="63" t="inlineStr">
        <is>
          <t>derived:deal size / offer % of enlarged capital</t>
        </is>
      </c>
      <c r="S257" s="69" t="n">
        <v>433.34</v>
      </c>
      <c r="T257" s="70" t="n">
        <v>0.98</v>
      </c>
      <c r="U257" s="71" t="n">
        <v>0</v>
      </c>
      <c r="V257" s="67" t="n">
        <v>1.8</v>
      </c>
      <c r="W257" s="63" t="n"/>
      <c r="X257" s="63" t="n"/>
      <c r="Y257" s="67" t="n"/>
      <c r="Z257" s="63" t="n"/>
      <c r="AA257" s="72" t="n">
        <v>26.86</v>
      </c>
      <c r="AB257" s="73" t="n">
        <v>42.16</v>
      </c>
      <c r="AC257" s="73" t="n">
        <v>-10.76</v>
      </c>
      <c r="AD257" s="73" t="n">
        <v>12.55</v>
      </c>
      <c r="AE257" s="73" t="n">
        <v>-20.59</v>
      </c>
      <c r="AF257" s="73" t="n">
        <v>-48.92</v>
      </c>
      <c r="AG257" s="73" t="n">
        <v>-11.28</v>
      </c>
      <c r="AH257" s="73" t="n">
        <v>-37.4</v>
      </c>
      <c r="AI257" s="73" t="n">
        <v>-59.74</v>
      </c>
      <c r="AJ257" s="73" t="n">
        <v>11.17</v>
      </c>
      <c r="AK257" s="73" t="n">
        <v>-20.17</v>
      </c>
      <c r="AL257" s="73" t="n">
        <v>-48.88</v>
      </c>
      <c r="AM257" s="73" t="n">
        <v>-38.1</v>
      </c>
      <c r="AN257" s="73" t="n">
        <v>-0.42</v>
      </c>
      <c r="AO257" s="73" t="n">
        <v>0.7</v>
      </c>
      <c r="AP257" s="63" t="inlineStr">
        <is>
          <t>Hang Seng Commerce &amp; Industry sub-index</t>
        </is>
      </c>
      <c r="AQ257" s="73" t="n">
        <v>-85.48999999999999</v>
      </c>
      <c r="AR257" s="64" t="inlineStr">
        <is>
          <t>2026-08-20</t>
        </is>
      </c>
      <c r="AS257" s="65" t="n">
        <v>541.2</v>
      </c>
      <c r="AT257" s="68" t="n"/>
      <c r="AU257" s="63" t="inlineStr">
        <is>
          <t>Y</t>
        </is>
      </c>
      <c r="AV257" s="78">
        <f>IF('BBG Verify'!O257="","not filed — run on terminal",'BBG Verify'!O257)</f>
        <v/>
      </c>
      <c r="AW257" s="74" t="n"/>
      <c r="AX257" s="74" t="n">
        <v>95.8</v>
      </c>
      <c r="AY257" s="74" t="n">
        <v>15.7</v>
      </c>
      <c r="AZ257" s="75" t="inlineStr">
        <is>
          <t>N</t>
        </is>
      </c>
      <c r="BA257" s="76">
        <f>IF('BBG Verify'!K257="","not filed — run on terminal",'BBG Verify'!K257)</f>
        <v/>
      </c>
      <c r="BB257" s="63" t="inlineStr">
        <is>
          <t>N/A</t>
        </is>
      </c>
      <c r="BC257" s="63" t="inlineStr">
        <is>
          <t>N/A</t>
        </is>
      </c>
      <c r="BD257" s="63" t="inlineStr">
        <is>
          <t>N/A</t>
        </is>
      </c>
      <c r="BE257" s="63" t="inlineStr">
        <is>
          <t>N/A</t>
        </is>
      </c>
      <c r="BF257" s="63" t="inlineStr">
        <is>
          <t>N/A</t>
        </is>
      </c>
      <c r="BG257" s="75" t="inlineStr">
        <is>
          <t>CITIC Securities (Hong Kong) Limited; Haitong International Capital Limited</t>
        </is>
      </c>
      <c r="BH257" s="63" t="inlineStr">
        <is>
          <t>Haitong International Capital Limited; CITIC Securities (Hong Kong) Limited</t>
        </is>
      </c>
      <c r="BI257" s="63"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7">
        <f>HYPERLINK("https://www1.hkexnews.hk/listedco/listconews/sehk/2024/0523/2024052300042.htm","prospectus")</f>
        <v/>
      </c>
      <c r="BL257" s="77">
        <f>HYPERLINK("https://www1.hkexnews.hk/listedco/listconews/sehk/2024/0530/2024053001320.pdf","allotment")</f>
        <v/>
      </c>
      <c r="BM257" s="63" t="n"/>
      <c r="BN257" s="75" t="n"/>
      <c r="BO257" s="63"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7" t="n">
        <v>2.75</v>
      </c>
      <c r="W258" s="63" t="inlineStr">
        <is>
          <t>China New Rich Medicine Holding Co. Limited; Excellent Investment Enterprise Management (Hong Kong) Co., Limited; United Imaging Healthcare Hong Kong Limited</t>
        </is>
      </c>
      <c r="X258" s="63" t="inlineStr">
        <is>
          <t>new-rich;excellent;united</t>
        </is>
      </c>
      <c r="Y258" s="67" t="n"/>
      <c r="Z258" s="63" t="n"/>
      <c r="AA258" s="72" t="n">
        <v>0.13</v>
      </c>
      <c r="AB258" s="73" t="n">
        <v>0.13</v>
      </c>
      <c r="AC258" s="73" t="n">
        <v>0</v>
      </c>
      <c r="AD258" s="73" t="n">
        <v>28.3</v>
      </c>
      <c r="AE258" s="73" t="n">
        <v>15.09</v>
      </c>
      <c r="AF258" s="73" t="n">
        <v>34.18</v>
      </c>
      <c r="AG258" s="73" t="n">
        <v>28.13</v>
      </c>
      <c r="AH258" s="73" t="n">
        <v>14.94</v>
      </c>
      <c r="AI258" s="73" t="n">
        <v>34.01</v>
      </c>
      <c r="AJ258" s="73" t="n">
        <v>28.22</v>
      </c>
      <c r="AK258" s="73" t="n">
        <v>23.08</v>
      </c>
      <c r="AL258" s="73" t="n">
        <v>41.82</v>
      </c>
      <c r="AM258" s="73" t="n">
        <v>22.39</v>
      </c>
      <c r="AN258" s="73" t="n">
        <v>-7.99</v>
      </c>
      <c r="AO258" s="73" t="n">
        <v>-7.45</v>
      </c>
      <c r="AP258" s="63" t="inlineStr">
        <is>
          <t>China Biotech ETF (HS biotech proxy)</t>
        </is>
      </c>
      <c r="AQ258" s="73" t="n">
        <v>-69.33</v>
      </c>
      <c r="AR258" s="64" t="inlineStr">
        <is>
          <t>2026-08-20</t>
        </is>
      </c>
      <c r="AS258" s="65" t="n">
        <v>1021.8</v>
      </c>
      <c r="AT258" s="68" t="n">
        <v>40.2</v>
      </c>
      <c r="AU258" s="63" t="inlineStr">
        <is>
          <t>Y</t>
        </is>
      </c>
      <c r="AV258" s="74" t="n">
        <v>132.8</v>
      </c>
      <c r="AW258" s="74" t="n"/>
      <c r="AX258" s="74" t="n">
        <v>305.6</v>
      </c>
      <c r="AY258" s="74" t="n">
        <v>5.2</v>
      </c>
      <c r="AZ258" s="75" t="inlineStr">
        <is>
          <t>N</t>
        </is>
      </c>
      <c r="BA258" s="76">
        <f>IF('BBG Verify'!K258="","not filed — run on terminal",'BBG Verify'!K258)</f>
        <v/>
      </c>
      <c r="BB258" s="63" t="inlineStr">
        <is>
          <t>N/A</t>
        </is>
      </c>
      <c r="BC258" s="63" t="inlineStr">
        <is>
          <t>N/A</t>
        </is>
      </c>
      <c r="BD258" s="63" t="inlineStr">
        <is>
          <t>N/A</t>
        </is>
      </c>
      <c r="BE258" s="63" t="inlineStr">
        <is>
          <t>N/A</t>
        </is>
      </c>
      <c r="BF258" s="63" t="inlineStr">
        <is>
          <t>N/A</t>
        </is>
      </c>
      <c r="BG258" s="75" t="inlineStr">
        <is>
          <t>CITIC Securities (Hong Kong) Limited; CLSA Limited</t>
        </is>
      </c>
      <c r="BH258" s="63" t="inlineStr">
        <is>
          <t>CITIC Securities (Hong Kong) Limited</t>
        </is>
      </c>
      <c r="BI258" s="63"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7">
        <f>HYPERLINK("https://www1.hkexnews.hk/listedco/listconews/sehk/2024/0530/2024053000044.pdf","prospectus")</f>
        <v/>
      </c>
      <c r="BL258" s="77">
        <f>HYPERLINK("https://www1.hkexnews.hk/listedco/listconews/sehk/2024/0606/2024060602117.pdf","allotment")</f>
        <v/>
      </c>
      <c r="BM258" s="63" t="n"/>
      <c r="BN258" s="75" t="n"/>
      <c r="BO258" s="63" t="inlineStr">
        <is>
          <t>greenshoe: no over-allotment option in the offer structure · A/H: no A-share listing · greenshoe size: no over-allotment option in the offer structure</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c r="L259" s="66" t="n">
        <v>8</v>
      </c>
      <c r="M259" s="66" t="n">
        <v>5.8</v>
      </c>
      <c r="N259" s="63" t="inlineStr">
        <is>
          <t>N</t>
        </is>
      </c>
      <c r="O259" s="67" t="n">
        <v>72.5</v>
      </c>
      <c r="P259" s="67" t="n"/>
      <c r="Q259" s="68" t="n">
        <v>1907.8</v>
      </c>
      <c r="R259" s="63" t="inlineStr">
        <is>
          <t>derived:price x shares upon listing</t>
        </is>
      </c>
      <c r="S259" s="69" t="n">
        <v>114.59</v>
      </c>
      <c r="T259" s="70" t="n">
        <v>0.98</v>
      </c>
      <c r="U259" s="71" t="n">
        <v>0</v>
      </c>
      <c r="V259" s="67" t="n">
        <v>4.5</v>
      </c>
      <c r="W259" s="63" t="n"/>
      <c r="X259" s="63" t="n"/>
      <c r="Y259" s="67" t="n">
        <v>15</v>
      </c>
      <c r="Z259" s="63" t="n"/>
      <c r="AA259" s="72" t="n">
        <v>91.72</v>
      </c>
      <c r="AB259" s="73" t="n">
        <v>46.55</v>
      </c>
      <c r="AC259" s="73" t="n">
        <v>30.82</v>
      </c>
      <c r="AD259" s="73" t="n">
        <v>191.03</v>
      </c>
      <c r="AE259" s="73" t="n">
        <v>200</v>
      </c>
      <c r="AF259" s="73" t="n">
        <v>223.79</v>
      </c>
      <c r="AG259" s="73" t="n">
        <v>51.8</v>
      </c>
      <c r="AH259" s="73" t="n">
        <v>56.48</v>
      </c>
      <c r="AI259" s="73" t="n">
        <v>68.89</v>
      </c>
      <c r="AJ259" s="73" t="n">
        <v>194.22</v>
      </c>
      <c r="AK259" s="73" t="n">
        <v>206.06</v>
      </c>
      <c r="AL259" s="73" t="n">
        <v>233.99</v>
      </c>
      <c r="AM259" s="73" t="n">
        <v>60.96</v>
      </c>
      <c r="AN259" s="73" t="n">
        <v>-6.06</v>
      </c>
      <c r="AO259" s="73" t="n">
        <v>-4.48</v>
      </c>
      <c r="AP259" s="63" t="inlineStr">
        <is>
          <t>HSTECH (Hang Seng TECH ETF)</t>
        </is>
      </c>
      <c r="AQ259" s="73" t="n">
        <v>-64.40000000000001</v>
      </c>
      <c r="AR259" s="64" t="inlineStr">
        <is>
          <t>2026-08-20</t>
        </is>
      </c>
      <c r="AS259" s="65" t="n">
        <v>614.9</v>
      </c>
      <c r="AT259" s="68" t="n">
        <v>27.5</v>
      </c>
      <c r="AU259" s="63" t="inlineStr">
        <is>
          <t>Y</t>
        </is>
      </c>
      <c r="AV259" s="74" t="n">
        <v>69.40000000000001</v>
      </c>
      <c r="AW259" s="74" t="n"/>
      <c r="AX259" s="74" t="n">
        <v>20.5</v>
      </c>
      <c r="AY259" s="74" t="n">
        <v>3.1</v>
      </c>
      <c r="AZ259" s="75" t="inlineStr">
        <is>
          <t>N</t>
        </is>
      </c>
      <c r="BA259" s="76">
        <f>IF('BBG Verify'!K259="","not filed — run on terminal",'BBG Verify'!K259)</f>
        <v/>
      </c>
      <c r="BB259" s="63" t="inlineStr">
        <is>
          <t>N/A</t>
        </is>
      </c>
      <c r="BC259" s="63" t="inlineStr">
        <is>
          <t>N/A</t>
        </is>
      </c>
      <c r="BD259" s="63" t="inlineStr">
        <is>
          <t>N/A</t>
        </is>
      </c>
      <c r="BE259" s="63" t="inlineStr">
        <is>
          <t>N/A</t>
        </is>
      </c>
      <c r="BF259" s="63" t="inlineStr">
        <is>
          <t>N/A</t>
        </is>
      </c>
      <c r="BG259" s="75" t="n"/>
      <c r="BH259" s="63" t="inlineStr">
        <is>
          <t>BOCI Asia Limited</t>
        </is>
      </c>
      <c r="BI259" s="63"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7">
        <f>HYPERLINK("https://www1.hkexnews.hk/listedco/listconews/sehk/2024/0530/2024053000009.pdf","prospectus")</f>
        <v/>
      </c>
      <c r="BL259" s="77">
        <f>HYPERLINK("https://www1.hkexnews.hk/listedco/listconews/sehk/2024/0606/2024060602135.pdf","allotment")</f>
        <v/>
      </c>
      <c r="BM259" s="63" t="n"/>
      <c r="BN259" s="75" t="n"/>
      <c r="BO259" s="63"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v>5.03</v>
      </c>
      <c r="L260" s="66" t="n">
        <v>6.03</v>
      </c>
      <c r="M260" s="66" t="n">
        <v>5.28</v>
      </c>
      <c r="N260" s="63" t="inlineStr">
        <is>
          <t>N</t>
        </is>
      </c>
      <c r="O260" s="67" t="n">
        <v>87.59999999999999</v>
      </c>
      <c r="P260" s="67" t="n">
        <v>25</v>
      </c>
      <c r="Q260" s="68" t="n">
        <v>19601.7</v>
      </c>
      <c r="R260" s="63" t="inlineStr">
        <is>
          <t>prospectus:stated market capitalisation</t>
        </is>
      </c>
      <c r="S260" s="69" t="n">
        <v>103.35</v>
      </c>
      <c r="T260" s="70" t="n">
        <v>2.13</v>
      </c>
      <c r="U260" s="71" t="n">
        <v>35.83</v>
      </c>
      <c r="V260" s="67" t="n">
        <v>3.24</v>
      </c>
      <c r="W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3" t="inlineStr">
        <is>
          <t>begonia;biocytogen;bradley;faas;ginkgo;intellimed;mammoth;successful</t>
        </is>
      </c>
      <c r="Y260" s="67" t="n">
        <v>15</v>
      </c>
      <c r="Z260" s="63" t="n"/>
      <c r="AA260" s="72" t="n">
        <v>9.85</v>
      </c>
      <c r="AB260" s="73" t="n">
        <v>2.08</v>
      </c>
      <c r="AC260" s="73" t="n">
        <v>7.61</v>
      </c>
      <c r="AD260" s="73" t="n">
        <v>0.38</v>
      </c>
      <c r="AE260" s="73" t="n">
        <v>9.85</v>
      </c>
      <c r="AF260" s="73" t="n">
        <v>165.91</v>
      </c>
      <c r="AG260" s="73" t="n">
        <v>-8.619999999999999</v>
      </c>
      <c r="AH260" s="73" t="n">
        <v>0</v>
      </c>
      <c r="AI260" s="73" t="n">
        <v>142.07</v>
      </c>
      <c r="AJ260" s="73" t="n">
        <v>-1.16</v>
      </c>
      <c r="AK260" s="73" t="n">
        <v>10.62</v>
      </c>
      <c r="AL260" s="73" t="n">
        <v>172.06</v>
      </c>
      <c r="AM260" s="73" t="n">
        <v>1.58</v>
      </c>
      <c r="AN260" s="73" t="n">
        <v>-0.77</v>
      </c>
      <c r="AO260" s="73" t="n">
        <v>-1.58</v>
      </c>
      <c r="AP260" s="63" t="inlineStr">
        <is>
          <t>HSTECH (Hang Seng TECH ETF)</t>
        </is>
      </c>
      <c r="AQ260" s="73" t="n">
        <v>52.37</v>
      </c>
      <c r="AR260" s="64" t="inlineStr">
        <is>
          <t>2026-08-20</t>
        </is>
      </c>
      <c r="AS260" s="65" t="n">
        <v>191.9</v>
      </c>
      <c r="AT260" s="68" t="n">
        <v>-1582.5</v>
      </c>
      <c r="AU260" s="63" t="inlineStr">
        <is>
          <t>N</t>
        </is>
      </c>
      <c r="AV260" s="63" t="inlineStr">
        <is>
          <t>n/m</t>
        </is>
      </c>
      <c r="AW260" s="74" t="n"/>
      <c r="AX260" s="74" t="n">
        <v>204.3</v>
      </c>
      <c r="AY260" s="74" t="n">
        <v>102.1</v>
      </c>
      <c r="AZ260" s="75" t="inlineStr">
        <is>
          <t>N</t>
        </is>
      </c>
      <c r="BA260" s="76">
        <f>IF('BBG Verify'!K260="","not filed — run on terminal",'BBG Verify'!K260)</f>
        <v/>
      </c>
      <c r="BB260" s="63" t="inlineStr">
        <is>
          <t>N/A</t>
        </is>
      </c>
      <c r="BC260" s="63" t="inlineStr">
        <is>
          <t>N/A</t>
        </is>
      </c>
      <c r="BD260" s="63" t="inlineStr">
        <is>
          <t>N/A</t>
        </is>
      </c>
      <c r="BE260" s="63" t="inlineStr">
        <is>
          <t>N/A</t>
        </is>
      </c>
      <c r="BF260" s="63" t="inlineStr">
        <is>
          <t>N/A</t>
        </is>
      </c>
      <c r="BG260" s="75" t="inlineStr">
        <is>
          <t>CITIC Securities (Hong Kong) Limited</t>
        </is>
      </c>
      <c r="BH260" s="63" t="inlineStr">
        <is>
          <t>CITIC Securities (Hong Kong) Limited</t>
        </is>
      </c>
      <c r="BI260" s="63"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7">
        <f>HYPERLINK("https://www1.hkexnews.hk/listedco/listconews/sehk/2024/0604/2024060400065.pdf","prospectus")</f>
        <v/>
      </c>
      <c r="BL260" s="77">
        <f>HYPERLINK("https://www1.hkexnews.hk/listedco/listconews/sehk/2024/0612/2024061201745.pdf","allotment")</f>
        <v/>
      </c>
      <c r="BM260" s="63" t="n"/>
      <c r="BN260" s="75" t="n"/>
      <c r="BO260" s="63" t="inlineStr">
        <is>
          <t>P/E: n/m — loss-making at IPO (use P/S) · greenshoe: end-of-stabilisation notice not located · A/H: no A-share listing</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7" t="n">
        <v>6.33</v>
      </c>
      <c r="W261" s="63" t="n"/>
      <c r="X261" s="63" t="n"/>
      <c r="Y261" s="67" t="n">
        <v>15</v>
      </c>
      <c r="Z261" s="63" t="inlineStr">
        <is>
          <t>lapsed</t>
        </is>
      </c>
      <c r="AA261" s="72" t="n">
        <v>-17.39</v>
      </c>
      <c r="AB261" s="73" t="n">
        <v>-5</v>
      </c>
      <c r="AC261" s="73" t="n">
        <v>-13.04</v>
      </c>
      <c r="AD261" s="73" t="n">
        <v>-17.39</v>
      </c>
      <c r="AE261" s="73" t="n">
        <v>-17.39</v>
      </c>
      <c r="AF261" s="73" t="n">
        <v>-21.96</v>
      </c>
      <c r="AG261" s="73" t="n">
        <v>0</v>
      </c>
      <c r="AH261" s="73" t="n">
        <v>0</v>
      </c>
      <c r="AI261" s="73" t="n">
        <v>-5.53</v>
      </c>
      <c r="AJ261" s="73" t="n">
        <v>-16.52</v>
      </c>
      <c r="AK261" s="73" t="n">
        <v>-14.45</v>
      </c>
      <c r="AL261" s="73" t="n">
        <v>-14.98</v>
      </c>
      <c r="AM261" s="73" t="n">
        <v>2.41</v>
      </c>
      <c r="AN261" s="73" t="n">
        <v>-2.94</v>
      </c>
      <c r="AO261" s="73" t="n">
        <v>-2.41</v>
      </c>
      <c r="AP261" s="63" t="inlineStr">
        <is>
          <t>HSTECH (Hang Seng TECH ETF)</t>
        </is>
      </c>
      <c r="AQ261" s="73" t="n">
        <v>-39.13</v>
      </c>
      <c r="AR261" s="64" t="inlineStr">
        <is>
          <t>2026-08-20</t>
        </is>
      </c>
      <c r="AS261" s="65" t="n">
        <v>765.5</v>
      </c>
      <c r="AT261" s="68" t="n">
        <v>15.6</v>
      </c>
      <c r="AU261" s="63" t="inlineStr">
        <is>
          <t>Y</t>
        </is>
      </c>
      <c r="AV261" s="74" t="n">
        <v>135.6</v>
      </c>
      <c r="AW261" s="74" t="n"/>
      <c r="AX261" s="74" t="n">
        <v>103.6</v>
      </c>
      <c r="AY261" s="74" t="n">
        <v>2.8</v>
      </c>
      <c r="AZ261" s="75" t="inlineStr">
        <is>
          <t>N</t>
        </is>
      </c>
      <c r="BA261" s="76">
        <f>IF('BBG Verify'!K261="","not filed — run on terminal",'BBG Verify'!K261)</f>
        <v/>
      </c>
      <c r="BB261" s="63" t="inlineStr">
        <is>
          <t>N/A</t>
        </is>
      </c>
      <c r="BC261" s="63" t="inlineStr">
        <is>
          <t>N/A</t>
        </is>
      </c>
      <c r="BD261" s="63" t="inlineStr">
        <is>
          <t>N/A</t>
        </is>
      </c>
      <c r="BE261" s="63" t="inlineStr">
        <is>
          <t>N/A</t>
        </is>
      </c>
      <c r="BF261" s="63" t="inlineStr">
        <is>
          <t>N/A</t>
        </is>
      </c>
      <c r="BG261" s="75" t="n"/>
      <c r="BH261" s="63" t="inlineStr">
        <is>
          <t>SPDB International Capital Limited</t>
        </is>
      </c>
      <c r="BI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7">
        <f>HYPERLINK("https://www1.hkexnews.hk/listedco/listconews/sehk/2024/0605/2024060500041.pdf","prospectus")</f>
        <v/>
      </c>
      <c r="BL261" s="77">
        <f>HYPERLINK("https://www1.hkexnews.hk/listedco/listconews/sehk/2024/0613/2024061301165.pdf","allotment")</f>
        <v/>
      </c>
      <c r="BM261" s="77">
        <f>HYPERLINK("https://www1.hkexnews.hk/listedco/listconews/sehk/2024/0711/2024071100781.pdf","stabilisation")</f>
        <v/>
      </c>
      <c r="BN261" s="75" t="n"/>
      <c r="BO261" s="63"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c r="L262" s="66" t="n">
        <v>8.5</v>
      </c>
      <c r="M262" s="66" t="n">
        <v>5.5</v>
      </c>
      <c r="N262" s="63" t="inlineStr">
        <is>
          <t>N</t>
        </is>
      </c>
      <c r="O262" s="67" t="n">
        <v>64.7</v>
      </c>
      <c r="P262" s="67" t="n"/>
      <c r="Q262" s="68" t="n">
        <v>513.1</v>
      </c>
      <c r="R262" s="63" t="inlineStr">
        <is>
          <t>derived:price x shares upon listing</t>
        </is>
      </c>
      <c r="S262" s="69" t="n">
        <v>337.57</v>
      </c>
      <c r="T262" s="70" t="n">
        <v>0.92</v>
      </c>
      <c r="U262" s="71" t="n">
        <v>0</v>
      </c>
      <c r="V262" s="67" t="n">
        <v>19.63</v>
      </c>
      <c r="W262" s="63" t="n"/>
      <c r="X262" s="63" t="n"/>
      <c r="Y262" s="67" t="n">
        <v>17.7</v>
      </c>
      <c r="Z262" s="63" t="inlineStr">
        <is>
          <t>lapsed (no over-allocation)</t>
        </is>
      </c>
      <c r="AA262" s="72" t="n">
        <v>27.64</v>
      </c>
      <c r="AB262" s="73" t="n">
        <v>79.64</v>
      </c>
      <c r="AC262" s="73" t="n">
        <v>-28.95</v>
      </c>
      <c r="AD262" s="73" t="n">
        <v>12.73</v>
      </c>
      <c r="AE262" s="73" t="n">
        <v>-13.64</v>
      </c>
      <c r="AF262" s="73" t="n">
        <v>-23.64</v>
      </c>
      <c r="AG262" s="73" t="n">
        <v>-11.68</v>
      </c>
      <c r="AH262" s="73" t="n">
        <v>-32.34</v>
      </c>
      <c r="AI262" s="73" t="n">
        <v>-40.18</v>
      </c>
      <c r="AJ262" s="73" t="n">
        <v>12.27</v>
      </c>
      <c r="AK262" s="73" t="n">
        <v>-13.09</v>
      </c>
      <c r="AL262" s="73" t="n">
        <v>-22.15</v>
      </c>
      <c r="AM262" s="73" t="n">
        <v>-32.14</v>
      </c>
      <c r="AN262" s="73" t="n">
        <v>-0.55</v>
      </c>
      <c r="AO262" s="73" t="n">
        <v>-0.2</v>
      </c>
      <c r="AP262" s="63" t="inlineStr">
        <is>
          <t>Hang Seng Commerce &amp; Industry sub-index</t>
        </is>
      </c>
      <c r="AQ262" s="73" t="n">
        <v>80</v>
      </c>
      <c r="AR262" s="64" t="inlineStr">
        <is>
          <t>2026-08-20</t>
        </is>
      </c>
      <c r="AS262" s="65" t="n">
        <v>2944.8</v>
      </c>
      <c r="AT262" s="68" t="n">
        <v>80.2</v>
      </c>
      <c r="AU262" s="63" t="inlineStr">
        <is>
          <t>Y</t>
        </is>
      </c>
      <c r="AV262" s="74" t="n">
        <v>6.4</v>
      </c>
      <c r="AW262" s="74" t="n"/>
      <c r="AX262" s="74" t="n">
        <v>12.8</v>
      </c>
      <c r="AY262" s="74" t="n">
        <v>0.2</v>
      </c>
      <c r="AZ262" s="75" t="inlineStr">
        <is>
          <t>N</t>
        </is>
      </c>
      <c r="BA262" s="76">
        <f>IF('BBG Verify'!K262="","not filed — run on terminal",'BBG Verify'!K262)</f>
        <v/>
      </c>
      <c r="BB262" s="63" t="inlineStr">
        <is>
          <t>N/A</t>
        </is>
      </c>
      <c r="BC262" s="63" t="inlineStr">
        <is>
          <t>N/A</t>
        </is>
      </c>
      <c r="BD262" s="63" t="inlineStr">
        <is>
          <t>N/A</t>
        </is>
      </c>
      <c r="BE262" s="63" t="inlineStr">
        <is>
          <t>N/A</t>
        </is>
      </c>
      <c r="BF262" s="63" t="inlineStr">
        <is>
          <t>N/A</t>
        </is>
      </c>
      <c r="BG262" s="75" t="inlineStr">
        <is>
          <t>BOCOM International (Asia) Limited</t>
        </is>
      </c>
      <c r="BH262" s="63" t="inlineStr">
        <is>
          <t>BOCOM International (Asia) Limited</t>
        </is>
      </c>
      <c r="BI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7">
        <f>HYPERLINK("https://www1.hkexnews.hk/listedco/listconews/sehk/2024/0607/2024060700013.pdf","prospectus")</f>
        <v/>
      </c>
      <c r="BL262" s="77">
        <f>HYPERLINK("https://www1.hkexnews.hk/listedco/listconews/sehk/2024/0617/2024061701156.pdf","allotment")</f>
        <v/>
      </c>
      <c r="BM262" s="77">
        <f>HYPERLINK("https://www1.hkexnews.hk/listedco/listconews/sehk/2024/0715/2024071500250.pdf","stabilisation")</f>
        <v/>
      </c>
      <c r="BN262" s="75" t="n"/>
      <c r="BO262" s="63"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7" t="n">
        <v>3.93</v>
      </c>
      <c r="W263" s="63" t="n"/>
      <c r="X263" s="63" t="n"/>
      <c r="Y263" s="67" t="n">
        <v>15</v>
      </c>
      <c r="Z263" s="63" t="inlineStr">
        <is>
          <t>lapsed</t>
        </is>
      </c>
      <c r="AA263" s="72" t="n">
        <v>-22.5</v>
      </c>
      <c r="AB263" s="73" t="n">
        <v>-12.83</v>
      </c>
      <c r="AC263" s="73" t="n">
        <v>-11.09</v>
      </c>
      <c r="AD263" s="73" t="n">
        <v>-51.33</v>
      </c>
      <c r="AE263" s="73" t="n">
        <v>-51.17</v>
      </c>
      <c r="AF263" s="73" t="n">
        <v>-54</v>
      </c>
      <c r="AG263" s="73" t="n">
        <v>-37.2</v>
      </c>
      <c r="AH263" s="73" t="n">
        <v>-36.99</v>
      </c>
      <c r="AI263" s="73" t="n">
        <v>-40.65</v>
      </c>
      <c r="AJ263" s="73" t="n">
        <v>-50.65</v>
      </c>
      <c r="AK263" s="73" t="n">
        <v>-46.58</v>
      </c>
      <c r="AL263" s="73" t="n">
        <v>-86.77</v>
      </c>
      <c r="AM263" s="73" t="n">
        <v>-33.22</v>
      </c>
      <c r="AN263" s="73" t="n">
        <v>-4.59</v>
      </c>
      <c r="AO263" s="73" t="n">
        <v>-3.77</v>
      </c>
      <c r="AP263" s="63" t="inlineStr">
        <is>
          <t>HSTECH (Hang Seng TECH ETF)</t>
        </is>
      </c>
      <c r="AQ263" s="73" t="n">
        <v>-80.33</v>
      </c>
      <c r="AR263" s="64" t="inlineStr">
        <is>
          <t>2026-08-20</t>
        </is>
      </c>
      <c r="AS263" s="65" t="n">
        <v>896.6</v>
      </c>
      <c r="AT263" s="68" t="n">
        <v>330.4</v>
      </c>
      <c r="AU263" s="63" t="inlineStr">
        <is>
          <t>Y</t>
        </is>
      </c>
      <c r="AV263" s="74" t="n">
        <v>18.1</v>
      </c>
      <c r="AW263" s="74" t="n"/>
      <c r="AX263" s="74" t="n">
        <v>8.800000000000001</v>
      </c>
      <c r="AY263" s="74" t="n">
        <v>6.7</v>
      </c>
      <c r="AZ263" s="75" t="inlineStr">
        <is>
          <t>N</t>
        </is>
      </c>
      <c r="BA263" s="76">
        <f>IF('BBG Verify'!K263="","not filed — run on terminal",'BBG Verify'!K263)</f>
        <v/>
      </c>
      <c r="BB263" s="63" t="inlineStr">
        <is>
          <t>N/A</t>
        </is>
      </c>
      <c r="BC263" s="63" t="inlineStr">
        <is>
          <t>N/A</t>
        </is>
      </c>
      <c r="BD263" s="63" t="inlineStr">
        <is>
          <t>N/A</t>
        </is>
      </c>
      <c r="BE263" s="63" t="inlineStr">
        <is>
          <t>N/A</t>
        </is>
      </c>
      <c r="BF263" s="63" t="inlineStr">
        <is>
          <t>N/A</t>
        </is>
      </c>
      <c r="BG263" s="75" t="inlineStr">
        <is>
          <t>China International Capital Corporation Hong Kong Securities Limited; Haitong International Capital Limited; Nomura International (Hong Kong) Limited</t>
        </is>
      </c>
      <c r="BH263" s="63" t="inlineStr">
        <is>
          <t>China International Capital Corporation Hong Kong Securities Limited; Haitong International Capital Limited; Nomura International (Hong Kong) Limited</t>
        </is>
      </c>
      <c r="BI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7">
        <f>HYPERLINK("https://www1.hkexnews.hk/listedco/listconews/sehk/2024/0620/2024062000015.pdf","prospectus")</f>
        <v/>
      </c>
      <c r="BL263" s="77">
        <f>HYPERLINK("https://www1.hkexnews.hk/listedco/listconews/sehk/2024/0627/2024062701882.pdf","allotment")</f>
        <v/>
      </c>
      <c r="BM263" s="77">
        <f>HYPERLINK("https://www1.hkexnews.hk/listedco/listconews/sehk/2024/0725/2024072501042.pdf","stabilisation")</f>
        <v/>
      </c>
      <c r="BN263" s="75" t="n"/>
      <c r="BO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7" t="n">
        <v>1.96</v>
      </c>
      <c r="W264" s="63" t="inlineStr">
        <is>
          <t>Gold Wings Holdings Limited; Reynold Lemkins Group (Asia) Limited; Suzhou Harvest International Co., Limited</t>
        </is>
      </c>
      <c r="X264" s="63" t="inlineStr">
        <is>
          <t>gold;reynold;suzhou</t>
        </is>
      </c>
      <c r="Y264" s="67" t="n"/>
      <c r="Z264" s="63" t="n"/>
      <c r="AA264" s="72" t="n">
        <v>-27.82</v>
      </c>
      <c r="AB264" s="73" t="n">
        <v>35.61</v>
      </c>
      <c r="AC264" s="73" t="n">
        <v>-46.77</v>
      </c>
      <c r="AD264" s="73" t="n">
        <v>-22</v>
      </c>
      <c r="AE264" s="73" t="n">
        <v>-12.4</v>
      </c>
      <c r="AF264" s="73" t="n">
        <v>-23.14</v>
      </c>
      <c r="AG264" s="73" t="n">
        <v>8.06</v>
      </c>
      <c r="AH264" s="73" t="n">
        <v>21.36</v>
      </c>
      <c r="AI264" s="73" t="n">
        <v>6.48</v>
      </c>
      <c r="AJ264" s="73" t="n">
        <v>-21.32</v>
      </c>
      <c r="AK264" s="73" t="n">
        <v>-7.81</v>
      </c>
      <c r="AL264" s="73" t="n">
        <v>-55.91</v>
      </c>
      <c r="AM264" s="73" t="n">
        <v>25.13</v>
      </c>
      <c r="AN264" s="73" t="n">
        <v>-4.59</v>
      </c>
      <c r="AO264" s="73" t="n">
        <v>-3.77</v>
      </c>
      <c r="AP264" s="63" t="inlineStr">
        <is>
          <t>HSTECH (Hang Seng TECH ETF)</t>
        </is>
      </c>
      <c r="AQ264" s="73" t="n">
        <v>-22</v>
      </c>
      <c r="AR264" s="64" t="inlineStr">
        <is>
          <t>2026-08-19</t>
        </is>
      </c>
      <c r="AS264" s="65" t="n">
        <v>485.2</v>
      </c>
      <c r="AT264" s="68" t="n">
        <v>38.6</v>
      </c>
      <c r="AU264" s="63" t="inlineStr">
        <is>
          <t>Y</t>
        </is>
      </c>
      <c r="AV264" s="74" t="n">
        <v>108.2</v>
      </c>
      <c r="AW264" s="74" t="n">
        <v>72.7</v>
      </c>
      <c r="AX264" s="74" t="n">
        <v>72.5</v>
      </c>
      <c r="AY264" s="74" t="n">
        <v>8.6</v>
      </c>
      <c r="AZ264" s="75" t="inlineStr">
        <is>
          <t>N</t>
        </is>
      </c>
      <c r="BA264" s="76">
        <f>IF('BBG Verify'!K264="","not filed — run on terminal",'BBG Verify'!K264)</f>
        <v/>
      </c>
      <c r="BB264" s="63" t="inlineStr">
        <is>
          <t>N/A</t>
        </is>
      </c>
      <c r="BC264" s="63" t="inlineStr">
        <is>
          <t>N/A</t>
        </is>
      </c>
      <c r="BD264" s="63" t="inlineStr">
        <is>
          <t>N/A</t>
        </is>
      </c>
      <c r="BE264" s="63" t="inlineStr">
        <is>
          <t>N/A</t>
        </is>
      </c>
      <c r="BF264" s="63" t="inlineStr">
        <is>
          <t>N/A</t>
        </is>
      </c>
      <c r="BG264" s="75" t="inlineStr">
        <is>
          <t>CITIC Securities (Hong Kong) Limited</t>
        </is>
      </c>
      <c r="BH264" s="63" t="inlineStr">
        <is>
          <t>CITIC Securities (Hong Kong) Limited</t>
        </is>
      </c>
      <c r="BI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7">
        <f>HYPERLINK("https://www1.hkexnews.hk/listedco/listconews/sehk/2024/0620/2024062000191.pdf","prospectus")</f>
        <v/>
      </c>
      <c r="BL264" s="77">
        <f>HYPERLINK("https://www1.hkexnews.hk/listedco/listconews/sehk/2024/0627/2024062702312.pdf","allotment")</f>
        <v/>
      </c>
      <c r="BM264" s="63" t="n"/>
      <c r="BN264" s="75" t="n"/>
      <c r="BO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7" t="n">
        <v>6.03</v>
      </c>
      <c r="W265" s="63" t="inlineStr">
        <is>
          <t>China Southern Asset Management Co., Ltd; CPE Greater China Enterprises Growth Fund; Huang River Investment Limited</t>
        </is>
      </c>
      <c r="X265" s="63" t="inlineStr">
        <is>
          <t>southern;cpe;huang-river</t>
        </is>
      </c>
      <c r="Y265" s="67" t="n">
        <v>15</v>
      </c>
      <c r="Z265" s="63" t="inlineStr">
        <is>
          <t>full</t>
        </is>
      </c>
      <c r="AA265" s="72" t="n">
        <v>72.84</v>
      </c>
      <c r="AB265" s="73" t="n">
        <v>59.26</v>
      </c>
      <c r="AC265" s="73" t="n">
        <v>8.529999999999999</v>
      </c>
      <c r="AD265" s="73" t="n">
        <v>110.37</v>
      </c>
      <c r="AE265" s="73" t="n">
        <v>104.94</v>
      </c>
      <c r="AF265" s="73" t="n">
        <v>262.96</v>
      </c>
      <c r="AG265" s="73" t="n">
        <v>21.71</v>
      </c>
      <c r="AH265" s="73" t="n">
        <v>18.57</v>
      </c>
      <c r="AI265" s="73" t="n">
        <v>110</v>
      </c>
      <c r="AJ265" s="73" t="n">
        <v>109.67</v>
      </c>
      <c r="AK265" s="73" t="n">
        <v>109.15</v>
      </c>
      <c r="AL265" s="73" t="n">
        <v>239.17</v>
      </c>
      <c r="AM265" s="73" t="n">
        <v>22.62</v>
      </c>
      <c r="AN265" s="73" t="n">
        <v>-4.21</v>
      </c>
      <c r="AO265" s="73" t="n">
        <v>-4.05</v>
      </c>
      <c r="AP265" s="63" t="inlineStr">
        <is>
          <t>Hang Seng Commerce &amp; Industry sub-index</t>
        </is>
      </c>
      <c r="AQ265" s="73" t="n">
        <v>814.0700000000001</v>
      </c>
      <c r="AR265" s="64" t="inlineStr">
        <is>
          <t>2026-08-20</t>
        </is>
      </c>
      <c r="AS265" s="65" t="n">
        <v>3497.5</v>
      </c>
      <c r="AT265" s="68" t="n">
        <v>125.3</v>
      </c>
      <c r="AU265" s="63" t="inlineStr">
        <is>
          <t>Y</t>
        </is>
      </c>
      <c r="AV265" s="74" t="n">
        <v>53.3</v>
      </c>
      <c r="AW265" s="74" t="n"/>
      <c r="AX265" s="74" t="n">
        <v>10.6</v>
      </c>
      <c r="AY265" s="74" t="n">
        <v>1.9</v>
      </c>
      <c r="AZ265" s="75" t="inlineStr">
        <is>
          <t>N</t>
        </is>
      </c>
      <c r="BA265" s="76">
        <f>IF('BBG Verify'!K265="","not filed — run on terminal",'BBG Verify'!K265)</f>
        <v/>
      </c>
      <c r="BB265" s="63" t="inlineStr">
        <is>
          <t>N/A</t>
        </is>
      </c>
      <c r="BC265" s="63" t="inlineStr">
        <is>
          <t>N/A</t>
        </is>
      </c>
      <c r="BD265" s="63" t="inlineStr">
        <is>
          <t>N/A</t>
        </is>
      </c>
      <c r="BE265" s="63" t="inlineStr">
        <is>
          <t>N/A</t>
        </is>
      </c>
      <c r="BF265" s="63" t="inlineStr">
        <is>
          <t>N/A</t>
        </is>
      </c>
      <c r="BG265" s="75" t="inlineStr">
        <is>
          <t>China Securities (International) Corporate Finance Company Limited</t>
        </is>
      </c>
      <c r="BH265" s="63" t="inlineStr">
        <is>
          <t>China Securities (International) Corporate Finance Company Limited</t>
        </is>
      </c>
      <c r="BI265" s="63" t="inlineStr">
        <is>
          <t>China Securities (International) Corporate Finance Company Limited; CCB International Capital Limited; BOCOM International Securities Limited</t>
        </is>
      </c>
      <c r="BJ265" s="63" t="inlineStr">
        <is>
          <t>BOCOM International Securities Limited; CCB International Capital Limited; China Securities (International) Corporate Finance Company Limited; Tiger Brokers (HK) Global Limited</t>
        </is>
      </c>
      <c r="BK265" s="77">
        <f>HYPERLINK("https://www1.hkexnews.hk/listedco/listconews/sehk/2024/0620/2024062000017.pdf","prospectus")</f>
        <v/>
      </c>
      <c r="BL265" s="77">
        <f>HYPERLINK("https://www1.hkexnews.hk/listedco/listconews/sehk/2024/0627/2024062702334.pdf","allotment")</f>
        <v/>
      </c>
      <c r="BM265" s="77">
        <f>HYPERLINK("https://www1.hkexnews.hk/listedco/listconews/sehk/2024/0725/2024072501435.pdf","stabilisation")</f>
        <v/>
      </c>
      <c r="BN265" s="75" t="n"/>
      <c r="BO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7" t="n">
        <v>25</v>
      </c>
      <c r="W266" s="63" t="n"/>
      <c r="X266" s="63" t="n"/>
      <c r="Y266" s="67" t="n">
        <v>15</v>
      </c>
      <c r="Z266" s="63" t="inlineStr">
        <is>
          <t>lapsed (no over-allocation)</t>
        </is>
      </c>
      <c r="AA266" s="72" t="n">
        <v>-46.4</v>
      </c>
      <c r="AB266" s="73" t="n">
        <v>-39.2</v>
      </c>
      <c r="AC266" s="73" t="n">
        <v>-11.84</v>
      </c>
      <c r="AD266" s="73" t="n">
        <v>-63.6</v>
      </c>
      <c r="AE266" s="73" t="n">
        <v>-65.59999999999999</v>
      </c>
      <c r="AF266" s="73" t="n">
        <v>-68.40000000000001</v>
      </c>
      <c r="AG266" s="73" t="n">
        <v>-32.09</v>
      </c>
      <c r="AH266" s="73" t="n">
        <v>-35.82</v>
      </c>
      <c r="AI266" s="73" t="n">
        <v>-41.04</v>
      </c>
      <c r="AJ266" s="73" t="n">
        <v>-61.93</v>
      </c>
      <c r="AK266" s="73" t="n">
        <v>-62.99</v>
      </c>
      <c r="AL266" s="73" t="n">
        <v>-92.84999999999999</v>
      </c>
      <c r="AM266" s="73" t="n">
        <v>-32.07</v>
      </c>
      <c r="AN266" s="73" t="n">
        <v>-2.61</v>
      </c>
      <c r="AO266" s="73" t="n">
        <v>-3.75</v>
      </c>
      <c r="AP266" s="63" t="inlineStr">
        <is>
          <t>Hang Seng Index</t>
        </is>
      </c>
      <c r="AQ266" s="73" t="n">
        <v>-64.8</v>
      </c>
      <c r="AR266" s="64" t="inlineStr">
        <is>
          <t>2026-08-20</t>
        </is>
      </c>
      <c r="AS266" s="65" t="n">
        <v>454.4</v>
      </c>
      <c r="AT266" s="68" t="n">
        <v>75.5</v>
      </c>
      <c r="AU266" s="63" t="inlineStr">
        <is>
          <t>Y</t>
        </is>
      </c>
      <c r="AV266" s="74" t="n">
        <v>10.6</v>
      </c>
      <c r="AW266" s="74" t="n"/>
      <c r="AX266" s="74" t="n">
        <v>23.7</v>
      </c>
      <c r="AY266" s="74" t="n">
        <v>1.8</v>
      </c>
      <c r="AZ266" s="75" t="inlineStr">
        <is>
          <t>N</t>
        </is>
      </c>
      <c r="BA266" s="76">
        <f>IF('BBG Verify'!K266="","not filed — run on terminal",'BBG Verify'!K266)</f>
        <v/>
      </c>
      <c r="BB266" s="63" t="inlineStr">
        <is>
          <t>N/A</t>
        </is>
      </c>
      <c r="BC266" s="63" t="inlineStr">
        <is>
          <t>N/A</t>
        </is>
      </c>
      <c r="BD266" s="63" t="inlineStr">
        <is>
          <t>N/A</t>
        </is>
      </c>
      <c r="BE266" s="63" t="inlineStr">
        <is>
          <t>N/A</t>
        </is>
      </c>
      <c r="BF266" s="63" t="inlineStr">
        <is>
          <t>N/A</t>
        </is>
      </c>
      <c r="BG266" s="75" t="inlineStr">
        <is>
          <t>Zhongtai International Capital Limited</t>
        </is>
      </c>
      <c r="BH266" s="63" t="inlineStr">
        <is>
          <t>Zhongtai International Capital Limited</t>
        </is>
      </c>
      <c r="BI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7">
        <f>HYPERLINK("https://www1.hkexnews.hk/listedco/listconews/sehk/2024/0621/2024062100099.pdf","prospectus")</f>
        <v/>
      </c>
      <c r="BL266" s="77">
        <f>HYPERLINK("https://www1.hkexnews.hk/listedco/listconews/sehk/2024/0702/2024070203581.pdf","allotment")</f>
        <v/>
      </c>
      <c r="BM266" s="77">
        <f>HYPERLINK("https://www1.hkexnews.hk/listedco/listconews/sehk/2024/0729/2024072900518.pdf","stabilisation")</f>
        <v/>
      </c>
      <c r="BN266" s="75" t="n"/>
      <c r="BO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7" t="n">
        <v>14.24</v>
      </c>
      <c r="W267" s="63" t="inlineStr">
        <is>
          <t>Xian Dingzhun Education and Technology Co., Ltd; Xian Tianbo Diagnostics Co., Ltd</t>
        </is>
      </c>
      <c r="X267" s="63" t="inlineStr">
        <is>
          <t>xian</t>
        </is>
      </c>
      <c r="Y267" s="67" t="n">
        <v>10.8</v>
      </c>
      <c r="Z267" s="63" t="inlineStr">
        <is>
          <t>lapsed (no over-allocation)</t>
        </is>
      </c>
      <c r="AA267" s="72" t="n">
        <v>-11.47</v>
      </c>
      <c r="AB267" s="73" t="n">
        <v>2</v>
      </c>
      <c r="AC267" s="73" t="n">
        <v>-13.21</v>
      </c>
      <c r="AD267" s="73" t="n">
        <v>-24</v>
      </c>
      <c r="AE267" s="73" t="n">
        <v>26.13</v>
      </c>
      <c r="AF267" s="73" t="n">
        <v>168</v>
      </c>
      <c r="AG267" s="73" t="n">
        <v>-14.15</v>
      </c>
      <c r="AH267" s="73" t="n">
        <v>42.47</v>
      </c>
      <c r="AI267" s="73" t="n">
        <v>202.72</v>
      </c>
      <c r="AJ267" s="73" t="n">
        <v>-21.92</v>
      </c>
      <c r="AK267" s="73" t="n">
        <v>28.97</v>
      </c>
      <c r="AL267" s="73" t="n">
        <v>140.96</v>
      </c>
      <c r="AM267" s="73" t="n">
        <v>47.19</v>
      </c>
      <c r="AN267" s="73" t="n">
        <v>-2.84</v>
      </c>
      <c r="AO267" s="73" t="n">
        <v>-4.72</v>
      </c>
      <c r="AP267" s="63" t="inlineStr">
        <is>
          <t>Hang Seng Properties sub-index</t>
        </is>
      </c>
      <c r="AQ267" s="73" t="n">
        <v>-72.67</v>
      </c>
      <c r="AR267" s="64" t="inlineStr">
        <is>
          <t>2026-08-20</t>
        </is>
      </c>
      <c r="AS267" s="65" t="n">
        <v>948.5</v>
      </c>
      <c r="AT267" s="68" t="n">
        <v>56.1</v>
      </c>
      <c r="AU267" s="63" t="inlineStr">
        <is>
          <t>Y</t>
        </is>
      </c>
      <c r="AV267" s="74" t="n">
        <v>8.9</v>
      </c>
      <c r="AW267" s="74" t="n"/>
      <c r="AX267" s="74" t="n">
        <v>1.8</v>
      </c>
      <c r="AY267" s="74" t="n">
        <v>0.5</v>
      </c>
      <c r="AZ267" s="75" t="inlineStr">
        <is>
          <t>N</t>
        </is>
      </c>
      <c r="BA267" s="76">
        <f>IF('BBG Verify'!K267="","not filed — run on terminal",'BBG Verify'!K267)</f>
        <v/>
      </c>
      <c r="BB267" s="63" t="inlineStr">
        <is>
          <t>N/A</t>
        </is>
      </c>
      <c r="BC267" s="63" t="inlineStr">
        <is>
          <t>N/A</t>
        </is>
      </c>
      <c r="BD267" s="63" t="inlineStr">
        <is>
          <t>N/A</t>
        </is>
      </c>
      <c r="BE267" s="63" t="inlineStr">
        <is>
          <t>N/A</t>
        </is>
      </c>
      <c r="BF267" s="63" t="inlineStr">
        <is>
          <t>N/A</t>
        </is>
      </c>
      <c r="BG267" s="75" t="inlineStr">
        <is>
          <t>CEB International Capital Corporation Limited</t>
        </is>
      </c>
      <c r="BH267" s="63" t="inlineStr">
        <is>
          <t>CEB International Capital Corporation Limited</t>
        </is>
      </c>
      <c r="BI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7">
        <f>HYPERLINK("https://www1.hkexnews.hk/listedco/listconews/sehk/2024/0624/2024062400007.pdf","prospectus")</f>
        <v/>
      </c>
      <c r="BL267" s="77">
        <f>HYPERLINK("https://www1.hkexnews.hk/listedco/listconews/sehk/2024/0702/2024070203671.pdf","allotment")</f>
        <v/>
      </c>
      <c r="BM267" s="77">
        <f>HYPERLINK("https://www1.hkexnews.hk/listedco/listconews/sehk/2024/0729/2024072900434.pdf","stabilisation")</f>
        <v/>
      </c>
      <c r="BN267" s="75" t="n"/>
      <c r="BO267" s="63" t="inlineStr">
        <is>
          <t>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7" t="n">
        <v>0.9</v>
      </c>
      <c r="W268" s="63" t="inlineStr">
        <is>
          <t>Jiangsu Yuanli Industrial Investment Co., Ltd</t>
        </is>
      </c>
      <c r="X268" s="63" t="inlineStr">
        <is>
          <t>jiangsu</t>
        </is>
      </c>
      <c r="Y268" s="67" t="n">
        <v>6.61</v>
      </c>
      <c r="Z268" s="63" t="inlineStr">
        <is>
          <t>lapsed</t>
        </is>
      </c>
      <c r="AA268" s="72" t="n">
        <v>8.06</v>
      </c>
      <c r="AB268" s="73" t="n">
        <v>-11.11</v>
      </c>
      <c r="AC268" s="73" t="n">
        <v>21.57</v>
      </c>
      <c r="AD268" s="73" t="n">
        <v>-4.86</v>
      </c>
      <c r="AE268" s="73" t="n">
        <v>-5.56</v>
      </c>
      <c r="AF268" s="73" t="n">
        <v>-1.94</v>
      </c>
      <c r="AG268" s="73" t="n">
        <v>-11.96</v>
      </c>
      <c r="AH268" s="73" t="n">
        <v>-12.6</v>
      </c>
      <c r="AI268" s="73" t="n">
        <v>-9.25</v>
      </c>
      <c r="AJ268" s="73" t="n">
        <v>-6.52</v>
      </c>
      <c r="AK268" s="73" t="n">
        <v>-0.42</v>
      </c>
      <c r="AL268" s="73" t="n">
        <v>-31.51</v>
      </c>
      <c r="AM268" s="73" t="n">
        <v>-6.76</v>
      </c>
      <c r="AN268" s="73" t="n">
        <v>-5.14</v>
      </c>
      <c r="AO268" s="73" t="n">
        <v>-5.84</v>
      </c>
      <c r="AP268" s="63" t="inlineStr">
        <is>
          <t>HSTECH (Hang Seng TECH ETF)</t>
        </is>
      </c>
      <c r="AQ268" s="73" t="n">
        <v>-62.78</v>
      </c>
      <c r="AR268" s="64" t="inlineStr">
        <is>
          <t>2026-08-20</t>
        </is>
      </c>
      <c r="AS268" s="65" t="n">
        <v>784.3</v>
      </c>
      <c r="AT268" s="68" t="n">
        <v>-395.2</v>
      </c>
      <c r="AU268" s="63" t="inlineStr">
        <is>
          <t>N</t>
        </is>
      </c>
      <c r="AV268" s="63" t="inlineStr">
        <is>
          <t>n/m</t>
        </is>
      </c>
      <c r="AW268" s="74" t="n"/>
      <c r="AX268" s="74" t="n"/>
      <c r="AY268" s="74" t="n">
        <v>10.4</v>
      </c>
      <c r="AZ268" s="75" t="inlineStr">
        <is>
          <t>N</t>
        </is>
      </c>
      <c r="BA268" s="76">
        <f>IF('BBG Verify'!K268="","not filed — run on terminal",'BBG Verify'!K268)</f>
        <v/>
      </c>
      <c r="BB268" s="63" t="inlineStr">
        <is>
          <t>N/A</t>
        </is>
      </c>
      <c r="BC268" s="63" t="inlineStr">
        <is>
          <t>N/A</t>
        </is>
      </c>
      <c r="BD268" s="63" t="inlineStr">
        <is>
          <t>N/A</t>
        </is>
      </c>
      <c r="BE268" s="63" t="inlineStr">
        <is>
          <t>N/A</t>
        </is>
      </c>
      <c r="BF268" s="63" t="inlineStr">
        <is>
          <t>N/A</t>
        </is>
      </c>
      <c r="BG268" s="75" t="inlineStr">
        <is>
          <t>Haitong International Capital Limited; Sponsor-OC Haitong International Securities Company Limited</t>
        </is>
      </c>
      <c r="BH268" s="63" t="inlineStr">
        <is>
          <t>Haitong International Capital Limited</t>
        </is>
      </c>
      <c r="BI268" s="63" t="inlineStr">
        <is>
          <t>and Capital Markets Intermediaries Huatai Financial Holdings (Hong Kong) Limited; BOCI Asia Limited; Central, Hong Kong Shenwan Hongyuan Securities (H.K.) Limited</t>
        </is>
      </c>
      <c r="BJ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7">
        <f>HYPERLINK("https://www1.hkexnews.hk/listedco/listconews/sehk/2024/0628/2024062800069.pdf","prospectus")</f>
        <v/>
      </c>
      <c r="BL268" s="77">
        <f>HYPERLINK("https://www1.hkexnews.hk/listedco/listconews/sehk/2024/0708/2024070801055.pdf","allotment")</f>
        <v/>
      </c>
      <c r="BM268" s="77">
        <f>HYPERLINK("https://www1.hkexnews.hk/listedco/listconews/sehk/2024/0804/2024080400007.pdf","stabilisation")</f>
        <v/>
      </c>
      <c r="BN268" s="75" t="n"/>
      <c r="BO268" s="63" t="inlineStr">
        <is>
          <t>P/E: n/m — loss-making at IPO (use P/S)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c r="L269" s="66" t="n">
        <v>8.359999999999999</v>
      </c>
      <c r="M269" s="66" t="n">
        <v>8.18</v>
      </c>
      <c r="N269" s="63" t="inlineStr">
        <is>
          <t>N</t>
        </is>
      </c>
      <c r="O269" s="67" t="n">
        <v>97.8</v>
      </c>
      <c r="P269" s="67" t="n"/>
      <c r="Q269" s="68" t="n">
        <v>10963.4</v>
      </c>
      <c r="R269" s="63" t="inlineStr">
        <is>
          <t>derived:price x shares upon listing</t>
        </is>
      </c>
      <c r="S269" s="69" t="n">
        <v>16.63</v>
      </c>
      <c r="T269" s="70" t="n">
        <v>1.66</v>
      </c>
      <c r="U269" s="71" t="n">
        <v>28.6</v>
      </c>
      <c r="V269" s="67" t="n">
        <v>1.27</v>
      </c>
      <c r="W269" s="63" t="n"/>
      <c r="X269" s="63" t="n"/>
      <c r="Y269" s="67" t="n">
        <v>8.720000000000001</v>
      </c>
      <c r="Z269" s="63" t="inlineStr">
        <is>
          <t>lapsed</t>
        </is>
      </c>
      <c r="AA269" s="72" t="n">
        <v>-44.62</v>
      </c>
      <c r="AB269" s="73" t="n">
        <v>-42.79</v>
      </c>
      <c r="AC269" s="73" t="n">
        <v>-3.2</v>
      </c>
      <c r="AD269" s="73" t="n">
        <v>-43.77</v>
      </c>
      <c r="AE269" s="73" t="n">
        <v>-47.8</v>
      </c>
      <c r="AF269" s="73" t="n">
        <v>-15.53</v>
      </c>
      <c r="AG269" s="73" t="n">
        <v>1.53</v>
      </c>
      <c r="AH269" s="73" t="n">
        <v>-5.74</v>
      </c>
      <c r="AI269" s="73" t="n">
        <v>52.53</v>
      </c>
      <c r="AJ269" s="73" t="n">
        <v>-47.83</v>
      </c>
      <c r="AK269" s="73" t="n">
        <v>-52.4</v>
      </c>
      <c r="AL269" s="73" t="n">
        <v>-40.95</v>
      </c>
      <c r="AM269" s="73" t="n">
        <v>-10.17</v>
      </c>
      <c r="AN269" s="73" t="n">
        <v>4.6</v>
      </c>
      <c r="AO269" s="73" t="n">
        <v>4.43</v>
      </c>
      <c r="AP269" s="63" t="inlineStr">
        <is>
          <t>China Biotech ETF (HS biotech proxy)</t>
        </is>
      </c>
      <c r="AQ269" s="73" t="n">
        <v>-91.81</v>
      </c>
      <c r="AR269" s="64" t="inlineStr">
        <is>
          <t>2026-08-20</t>
        </is>
      </c>
      <c r="AS269" s="65" t="n">
        <v>2677.7</v>
      </c>
      <c r="AT269" s="68" t="n">
        <v>-216.5</v>
      </c>
      <c r="AU269" s="63" t="inlineStr">
        <is>
          <t>N</t>
        </is>
      </c>
      <c r="AV269" s="63" t="inlineStr">
        <is>
          <t>n/m</t>
        </is>
      </c>
      <c r="AW269" s="74" t="n"/>
      <c r="AX269" s="74" t="n">
        <v>61.9</v>
      </c>
      <c r="AY269" s="74" t="n">
        <v>4.1</v>
      </c>
      <c r="AZ269" s="75" t="inlineStr">
        <is>
          <t>N</t>
        </is>
      </c>
      <c r="BA269" s="76">
        <f>IF('BBG Verify'!K269="","not filed — run on terminal",'BBG Verify'!K269)</f>
        <v/>
      </c>
      <c r="BB269" s="63" t="inlineStr">
        <is>
          <t>N/A</t>
        </is>
      </c>
      <c r="BC269" s="63" t="inlineStr">
        <is>
          <t>N/A</t>
        </is>
      </c>
      <c r="BD269" s="63" t="inlineStr">
        <is>
          <t>N/A</t>
        </is>
      </c>
      <c r="BE269" s="63" t="inlineStr">
        <is>
          <t>N/A</t>
        </is>
      </c>
      <c r="BF269" s="63" t="inlineStr">
        <is>
          <t>N/A</t>
        </is>
      </c>
      <c r="BG269" s="75" t="inlineStr">
        <is>
          <t>Citigroup Global Markets Asia Limited; ABCI Capital Limited</t>
        </is>
      </c>
      <c r="BH269" s="63" t="inlineStr">
        <is>
          <t>Citigroup Global Markets Asia Limited; ABCI Capital Limited</t>
        </is>
      </c>
      <c r="BI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7">
        <f>HYPERLINK("https://www1.hkexnews.hk/listedco/listconews/sehk/2024/0628/2024062800041.pdf","prospectus")</f>
        <v/>
      </c>
      <c r="BL269" s="77">
        <f>HYPERLINK("https://www1.hkexnews.hk/listedco/listconews/sehk/2024/0708/2024070801101.pdf","allotment")</f>
        <v/>
      </c>
      <c r="BM269" s="77">
        <f>HYPERLINK("https://www1.hkexnews.hk/listedco/listconews/sehk/2024/0805/2024080500039.pdf","stabilisation")</f>
        <v/>
      </c>
      <c r="BN269" s="75" t="n"/>
      <c r="BO269" s="63" t="inlineStr">
        <is>
          <t>P/E: n/m — loss-making at IPO (use P/S) · range low: cap-only pricing — the filing publishes a Maximum Offer Price and no indicative floor · A/H: no A-share listing · cornerstone list: no cornerstone tranche in this deal</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c r="L270" s="66" t="n">
        <v>1.39</v>
      </c>
      <c r="M270" s="66" t="n">
        <v>1.05</v>
      </c>
      <c r="N270" s="63" t="inlineStr">
        <is>
          <t>N</t>
        </is>
      </c>
      <c r="O270" s="67" t="n">
        <v>75.5</v>
      </c>
      <c r="P270" s="67" t="n"/>
      <c r="Q270" s="68" t="n">
        <v>653.4</v>
      </c>
      <c r="R270" s="63" t="inlineStr">
        <is>
          <t>aastocks:上市市值 at the struck price</t>
        </is>
      </c>
      <c r="S270" s="69" t="n">
        <v>19.24</v>
      </c>
      <c r="T270" s="70" t="n">
        <v>0.97</v>
      </c>
      <c r="U270" s="71" t="n">
        <v>44</v>
      </c>
      <c r="V270" s="67" t="n">
        <v>11.25</v>
      </c>
      <c r="W270" s="63" t="inlineStr">
        <is>
          <t>Emsdom Limited; Huangshan City Investment Private Equity Fund Management Co., Ltd</t>
        </is>
      </c>
      <c r="X270" s="63" t="inlineStr">
        <is>
          <t>emsdom;huangshan</t>
        </is>
      </c>
      <c r="Y270" s="67" t="n">
        <v>11</v>
      </c>
      <c r="Z270" s="63" t="inlineStr">
        <is>
          <t>lapsed (no over-allocation)</t>
        </is>
      </c>
      <c r="AA270" s="72" t="n">
        <v>14.29</v>
      </c>
      <c r="AB270" s="73" t="n">
        <v>23.81</v>
      </c>
      <c r="AC270" s="73" t="n">
        <v>-7.69</v>
      </c>
      <c r="AD270" s="73" t="n">
        <v>9.52</v>
      </c>
      <c r="AE270" s="73" t="n">
        <v>-19.05</v>
      </c>
      <c r="AF270" s="73" t="n">
        <v>-15.24</v>
      </c>
      <c r="AG270" s="73" t="n">
        <v>-4.17</v>
      </c>
      <c r="AH270" s="73" t="n">
        <v>-29.17</v>
      </c>
      <c r="AI270" s="73" t="n">
        <v>-25.84</v>
      </c>
      <c r="AJ270" s="73" t="n">
        <v>8.960000000000001</v>
      </c>
      <c r="AK270" s="73" t="n">
        <v>-13.89</v>
      </c>
      <c r="AL270" s="73" t="n">
        <v>-39.95</v>
      </c>
      <c r="AM270" s="73" t="n">
        <v>-24.65</v>
      </c>
      <c r="AN270" s="73" t="n">
        <v>-5.16</v>
      </c>
      <c r="AO270" s="73" t="n">
        <v>-4.52</v>
      </c>
      <c r="AP270" s="63" t="inlineStr">
        <is>
          <t>Hang Seng Commerce &amp; Industry sub-index</t>
        </is>
      </c>
      <c r="AQ270" s="73" t="n">
        <v>10.95</v>
      </c>
      <c r="AR270" s="64" t="inlineStr">
        <is>
          <t>2026-08-20</t>
        </is>
      </c>
      <c r="AS270" s="65" t="n">
        <v>598.5</v>
      </c>
      <c r="AT270" s="68" t="n">
        <v>60.7</v>
      </c>
      <c r="AU270" s="63" t="inlineStr">
        <is>
          <t>Y</t>
        </is>
      </c>
      <c r="AV270" s="74" t="n">
        <v>10.8</v>
      </c>
      <c r="AW270" s="74" t="n"/>
      <c r="AX270" s="74" t="n">
        <v>99.3</v>
      </c>
      <c r="AY270" s="74" t="n">
        <v>1.1</v>
      </c>
      <c r="AZ270" s="75" t="inlineStr">
        <is>
          <t>N</t>
        </is>
      </c>
      <c r="BA270" s="76">
        <f>IF('BBG Verify'!K270="","not filed — run on terminal",'BBG Verify'!K270)</f>
        <v/>
      </c>
      <c r="BB270" s="63" t="inlineStr">
        <is>
          <t>N/A</t>
        </is>
      </c>
      <c r="BC270" s="63" t="inlineStr">
        <is>
          <t>N/A</t>
        </is>
      </c>
      <c r="BD270" s="63" t="inlineStr">
        <is>
          <t>N/A</t>
        </is>
      </c>
      <c r="BE270" s="63" t="inlineStr">
        <is>
          <t>N/A</t>
        </is>
      </c>
      <c r="BF270" s="63" t="inlineStr">
        <is>
          <t>N/A</t>
        </is>
      </c>
      <c r="BG270" s="75" t="inlineStr">
        <is>
          <t>First Shanghai Capital Limited</t>
        </is>
      </c>
      <c r="BH270" s="63" t="inlineStr">
        <is>
          <t>First Shanghai Capital Limited</t>
        </is>
      </c>
      <c r="BI270" s="63"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7">
        <f>HYPERLINK("https://www1.hkexnews.hk/listedco/listconews/sehk/2024/0628/2024062800081.pdf","prospectus")</f>
        <v/>
      </c>
      <c r="BL270" s="77">
        <f>HYPERLINK("https://www1.hkexnews.hk/listedco/listconews/sehk/2024/0709/2024070901007.pdf","allotment")</f>
        <v/>
      </c>
      <c r="BM270" s="77">
        <f>HYPERLINK("https://www1.hkexnews.hk/listedco/listconews/sehk/2024/0805/2024080500823.pdf","stabilisation")</f>
        <v/>
      </c>
      <c r="BN270" s="75" t="n"/>
      <c r="BO270" s="63"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7" t="n">
        <v>8.17</v>
      </c>
      <c r="W271" s="63" t="inlineStr">
        <is>
          <t>Jiangsu Jiangkong Investment Co., Ltd</t>
        </is>
      </c>
      <c r="X271" s="63" t="inlineStr">
        <is>
          <t>jiangsu</t>
        </is>
      </c>
      <c r="Y271" s="67" t="n">
        <v>4.4</v>
      </c>
      <c r="Z271" s="63" t="inlineStr">
        <is>
          <t>partial</t>
        </is>
      </c>
      <c r="AA271" s="72" t="n">
        <v>-11.24</v>
      </c>
      <c r="AB271" s="73" t="n">
        <v>-11.24</v>
      </c>
      <c r="AC271" s="73" t="n">
        <v>0</v>
      </c>
      <c r="AD271" s="73" t="n">
        <v>-6.71</v>
      </c>
      <c r="AE271" s="73" t="n">
        <v>19</v>
      </c>
      <c r="AF271" s="73" t="n">
        <v>22.35</v>
      </c>
      <c r="AG271" s="73" t="n">
        <v>5.1</v>
      </c>
      <c r="AH271" s="73" t="n">
        <v>34.07</v>
      </c>
      <c r="AI271" s="73" t="n">
        <v>37.84</v>
      </c>
      <c r="AJ271" s="73" t="n">
        <v>-7.94</v>
      </c>
      <c r="AK271" s="73" t="n">
        <v>22.6</v>
      </c>
      <c r="AL271" s="73" t="n">
        <v>1.07</v>
      </c>
      <c r="AM271" s="73" t="n">
        <v>37.39</v>
      </c>
      <c r="AN271" s="73" t="n">
        <v>-3.6</v>
      </c>
      <c r="AO271" s="73" t="n">
        <v>-3.32</v>
      </c>
      <c r="AP271" s="63" t="inlineStr">
        <is>
          <t>Hang Seng Index</t>
        </is>
      </c>
      <c r="AQ271" s="73" t="n">
        <v>-80.95</v>
      </c>
      <c r="AR271" s="64" t="inlineStr">
        <is>
          <t>2026-08-20</t>
        </is>
      </c>
      <c r="AS271" s="65" t="n">
        <v>566.5</v>
      </c>
      <c r="AT271" s="68" t="n">
        <v>-31.6</v>
      </c>
      <c r="AU271" s="63" t="inlineStr">
        <is>
          <t>N</t>
        </is>
      </c>
      <c r="AV271" s="63" t="inlineStr">
        <is>
          <t>n/m</t>
        </is>
      </c>
      <c r="AW271" s="74" t="n"/>
      <c r="AX271" s="74" t="n">
        <v>7.6</v>
      </c>
      <c r="AY271" s="74" t="n">
        <v>8.4</v>
      </c>
      <c r="AZ271" s="75" t="inlineStr">
        <is>
          <t>N</t>
        </is>
      </c>
      <c r="BA271" s="76">
        <f>IF('BBG Verify'!K271="","not filed — run on terminal",'BBG Verify'!K271)</f>
        <v/>
      </c>
      <c r="BB271" s="63" t="inlineStr">
        <is>
          <t>N/A</t>
        </is>
      </c>
      <c r="BC271" s="63" t="inlineStr">
        <is>
          <t>N/A</t>
        </is>
      </c>
      <c r="BD271" s="63" t="inlineStr">
        <is>
          <t>N/A</t>
        </is>
      </c>
      <c r="BE271" s="63" t="inlineStr">
        <is>
          <t>N/A</t>
        </is>
      </c>
      <c r="BF271" s="63" t="inlineStr">
        <is>
          <t>N/A</t>
        </is>
      </c>
      <c r="BG271" s="75" t="inlineStr">
        <is>
          <t>China International Capital Corporation Hong Kong Securities Limited</t>
        </is>
      </c>
      <c r="BH271" s="63" t="inlineStr">
        <is>
          <t>China International Capital Corporation Hong Kong Securities Limited</t>
        </is>
      </c>
      <c r="BI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7">
        <f>HYPERLINK("https://www1.hkexnews.hk/listedco/listconews/sehk/2024/0628/2024062800079.pdf","prospectus")</f>
        <v/>
      </c>
      <c r="BL271" s="77">
        <f>HYPERLINK("https://www1.hkexnews.hk/listedco/listconews/sehk/2024/0709/2024070901049.pdf","allotment")</f>
        <v/>
      </c>
      <c r="BM271" s="77">
        <f>HYPERLINK("https://www1.hkexnews.hk/listedco/listconews/sehk/2024/0804/2024080400003.pdf","stabilisation")</f>
        <v/>
      </c>
      <c r="BN271" s="75" t="n"/>
      <c r="BO271" s="63" t="inlineStr">
        <is>
          <t>P/E: n/m — loss-making at IPO (use P/S)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7" t="n">
        <v>3.37</v>
      </c>
      <c r="W272" s="63" t="inlineStr">
        <is>
          <t>Guangzhou Automobile Industry Group Co., Ltd; Hongkong Pony AI Limited; Voyager Group Inc; WeRide Inc</t>
        </is>
      </c>
      <c r="X272" s="63" t="inlineStr">
        <is>
          <t>guangzhou-automobile;hongkong;voyager;weride</t>
        </is>
      </c>
      <c r="Y272" s="67" t="n"/>
      <c r="Z272" s="63" t="n"/>
      <c r="AA272" s="72" t="n">
        <v>-3.14</v>
      </c>
      <c r="AB272" s="73" t="n">
        <v>-14.29</v>
      </c>
      <c r="AC272" s="73" t="n">
        <v>13.01</v>
      </c>
      <c r="AD272" s="73" t="n">
        <v>-20.57</v>
      </c>
      <c r="AE272" s="73" t="n">
        <v>-16.57</v>
      </c>
      <c r="AF272" s="73" t="n">
        <v>-34.57</v>
      </c>
      <c r="AG272" s="73" t="n">
        <v>-18</v>
      </c>
      <c r="AH272" s="73" t="n">
        <v>-13.87</v>
      </c>
      <c r="AI272" s="73" t="n">
        <v>-32.45</v>
      </c>
      <c r="AJ272" s="73" t="n">
        <v>-22.1</v>
      </c>
      <c r="AK272" s="73" t="n">
        <v>-10.28</v>
      </c>
      <c r="AL272" s="73" t="n">
        <v>-66.58</v>
      </c>
      <c r="AM272" s="73" t="n">
        <v>-7.42</v>
      </c>
      <c r="AN272" s="73" t="n">
        <v>-6.29</v>
      </c>
      <c r="AO272" s="73" t="n">
        <v>-6.45</v>
      </c>
      <c r="AP272" s="63" t="inlineStr">
        <is>
          <t>HSTECH (Hang Seng TECH ETF)</t>
        </is>
      </c>
      <c r="AQ272" s="73" t="n">
        <v>-77.2</v>
      </c>
      <c r="AR272" s="64" t="inlineStr">
        <is>
          <t>2026-08-19</t>
        </is>
      </c>
      <c r="AS272" s="65" t="n">
        <v>2377.2</v>
      </c>
      <c r="AT272" s="68" t="n">
        <v>-762.1</v>
      </c>
      <c r="AU272" s="63" t="inlineStr">
        <is>
          <t>N</t>
        </is>
      </c>
      <c r="AV272" s="63" t="inlineStr">
        <is>
          <t>n/m</t>
        </is>
      </c>
      <c r="AW272" s="74" t="n"/>
      <c r="AX272" s="74" t="n"/>
      <c r="AY272" s="74" t="n">
        <v>3</v>
      </c>
      <c r="AZ272" s="75" t="inlineStr">
        <is>
          <t>N</t>
        </is>
      </c>
      <c r="BA272" s="76">
        <f>IF('BBG Verify'!K272="","not filed — run on terminal",'BBG Verify'!K272)</f>
        <v/>
      </c>
      <c r="BB272" s="63" t="inlineStr">
        <is>
          <t>N/A</t>
        </is>
      </c>
      <c r="BC272" s="63" t="inlineStr">
        <is>
          <t>N/A</t>
        </is>
      </c>
      <c r="BD272" s="63" t="inlineStr">
        <is>
          <t>N/A</t>
        </is>
      </c>
      <c r="BE272" s="63" t="inlineStr">
        <is>
          <t>N/A</t>
        </is>
      </c>
      <c r="BF272" s="63" t="inlineStr">
        <is>
          <t>N/A</t>
        </is>
      </c>
      <c r="BG272" s="75" t="n"/>
      <c r="BH272" s="63" t="inlineStr">
        <is>
          <t>China International Capital Corporation Hong Kong Securities Limited; Huatai Financial Holdings (Hong Kong) Limited; ABCI Capital Limited</t>
        </is>
      </c>
      <c r="BI272" s="63" t="inlineStr">
        <is>
          <t>Huatai Financial Holdings (Hong Kong) Limited; ABCI Capital Limited; TradeGo Markets Limited; Livermore Holdings Limited</t>
        </is>
      </c>
      <c r="BJ272" s="63" t="inlineStr">
        <is>
          <t>ABCI Securities Company Limited; China International Capital Corporation Hong Kong Securities Limited; Huatai Financial Holdings (Hong Kong) Limited; Livermore Holdings Limited; TradeGo Markets Limited</t>
        </is>
      </c>
      <c r="BK272" s="77">
        <f>HYPERLINK("https://www1.hkexnews.hk/listedco/listconews/sehk/2024/0628/2024062800065.pdf","prospectus")</f>
        <v/>
      </c>
      <c r="BL272" s="77">
        <f>HYPERLINK("https://www1.hkexnews.hk/listedco/listconews/sehk/2024/0709/2024070901101.pdf","allotment")</f>
        <v/>
      </c>
      <c r="BM272" s="63" t="n"/>
      <c r="BN272" s="75" t="n"/>
      <c r="BO272" s="63"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v>27.34</v>
      </c>
      <c r="L273" s="66" t="n">
        <v>28</v>
      </c>
      <c r="M273" s="66" t="n">
        <v>27.5</v>
      </c>
      <c r="N273" s="63" t="inlineStr">
        <is>
          <t>N</t>
        </is>
      </c>
      <c r="O273" s="67" t="n">
        <v>98.2</v>
      </c>
      <c r="P273" s="67" t="n">
        <v>24.2</v>
      </c>
      <c r="Q273" s="68" t="n">
        <v>10060.6</v>
      </c>
      <c r="R273" s="63" t="inlineStr">
        <is>
          <t>derived:price x shares upon listing</t>
        </is>
      </c>
      <c r="S273" s="69" t="n">
        <v>1.56</v>
      </c>
      <c r="T273" s="70" t="n">
        <v>1.57</v>
      </c>
      <c r="U273" s="71" t="n">
        <v>25.7</v>
      </c>
      <c r="V273" s="67" t="n">
        <v>11.15</v>
      </c>
      <c r="W273" s="63" t="inlineStr">
        <is>
          <t>Changshu Southeast Industrial Investment Co., Ltd; China Structural Reform Fund II Corporation Limited; Taicang High Tech Science and Innovation Development Co</t>
        </is>
      </c>
      <c r="X273" s="63" t="inlineStr">
        <is>
          <t>changshu;structural;taicang</t>
        </is>
      </c>
      <c r="Y273" s="67" t="n">
        <v>10</v>
      </c>
      <c r="Z273" s="63" t="inlineStr">
        <is>
          <t>partial</t>
        </is>
      </c>
      <c r="AA273" s="72" t="n">
        <v>0</v>
      </c>
      <c r="AB273" s="73" t="n">
        <v>0</v>
      </c>
      <c r="AC273" s="73" t="n">
        <v>0</v>
      </c>
      <c r="AD273" s="73" t="n">
        <v>-10.36</v>
      </c>
      <c r="AE273" s="73" t="n">
        <v>-9.640000000000001</v>
      </c>
      <c r="AF273" s="73" t="n">
        <v>-30.18</v>
      </c>
      <c r="AG273" s="73" t="n">
        <v>-10.36</v>
      </c>
      <c r="AH273" s="73" t="n">
        <v>-9.640000000000001</v>
      </c>
      <c r="AI273" s="73" t="n">
        <v>-30.18</v>
      </c>
      <c r="AJ273" s="73" t="n">
        <v>-7.5</v>
      </c>
      <c r="AK273" s="73" t="n">
        <v>-4.28</v>
      </c>
      <c r="AL273" s="73" t="n">
        <v>-46.03</v>
      </c>
      <c r="AM273" s="73" t="n">
        <v>-1.87</v>
      </c>
      <c r="AN273" s="73" t="n">
        <v>-5.36</v>
      </c>
      <c r="AO273" s="73" t="n">
        <v>-7.77</v>
      </c>
      <c r="AP273" s="63" t="inlineStr">
        <is>
          <t>Hang Seng Commerce &amp; Industry sub-index</t>
        </is>
      </c>
      <c r="AQ273" s="73" t="n">
        <v>68.95</v>
      </c>
      <c r="AR273" s="64" t="inlineStr">
        <is>
          <t>2026-08-20</t>
        </is>
      </c>
      <c r="AS273" s="65" t="n">
        <v>6973.8</v>
      </c>
      <c r="AT273" s="68" t="n">
        <v>710.9</v>
      </c>
      <c r="AU273" s="63" t="inlineStr">
        <is>
          <t>Y</t>
        </is>
      </c>
      <c r="AV273" s="74" t="n">
        <v>14.2</v>
      </c>
      <c r="AW273" s="74" t="n"/>
      <c r="AX273" s="74" t="n">
        <v>15.9</v>
      </c>
      <c r="AY273" s="74" t="n">
        <v>1.4</v>
      </c>
      <c r="AZ273" s="75" t="inlineStr">
        <is>
          <t>N</t>
        </is>
      </c>
      <c r="BA273" s="76">
        <f>IF('BBG Verify'!K273="","not filed — run on terminal",'BBG Verify'!K273)</f>
        <v/>
      </c>
      <c r="BB273" s="63" t="inlineStr">
        <is>
          <t>N/A</t>
        </is>
      </c>
      <c r="BC273" s="63" t="inlineStr">
        <is>
          <t>N/A</t>
        </is>
      </c>
      <c r="BD273" s="63" t="inlineStr">
        <is>
          <t>N/A</t>
        </is>
      </c>
      <c r="BE273" s="63" t="inlineStr">
        <is>
          <t>N/A</t>
        </is>
      </c>
      <c r="BF273" s="63" t="inlineStr">
        <is>
          <t>N/A</t>
        </is>
      </c>
      <c r="BG273" s="75" t="n"/>
      <c r="BH273" s="63" t="inlineStr">
        <is>
          <t>China International Capital Corporation Hong Kong Securities Limited</t>
        </is>
      </c>
      <c r="BI273" s="63"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7">
        <f>HYPERLINK("https://www1.hkexnews.hk/listedco/listconews/sehk/2024/0628/2024062800343.htm","prospectus")</f>
        <v/>
      </c>
      <c r="BL273" s="77">
        <f>HYPERLINK("https://www1.hkexnews.hk/listedco/listconews/sehk/2024/0711/2024071101139.pdf","allotment")</f>
        <v/>
      </c>
      <c r="BM273" s="77">
        <f>HYPERLINK("https://www1.hkexnews.hk/listedco/listconews/sehk/2024/0808/2024080801148.pdf","stabilisation")</f>
        <v/>
      </c>
      <c r="BN273" s="75" t="n"/>
      <c r="BO273" s="63" t="inlineStr">
        <is>
          <t>A/H: no A-share listing · sponsor: English name not in the filing text; AAStocks 保薦人 shown · cornerstone: AAStocks institutional table includes non-cornerstone orders (superset) — cornerstone % is from the prospectus</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7" t="n">
        <v>12.24</v>
      </c>
      <c r="W274" s="63" t="inlineStr">
        <is>
          <t>Huizhou Guohuilian Equity Investment Fund Partnership (LP)</t>
        </is>
      </c>
      <c r="X274" s="63" t="inlineStr">
        <is>
          <t>huizhou</t>
        </is>
      </c>
      <c r="Y274" s="67" t="n"/>
      <c r="Z274" s="63" t="n"/>
      <c r="AA274" s="72" t="n">
        <v>2.13</v>
      </c>
      <c r="AB274" s="73" t="n">
        <v>16.6</v>
      </c>
      <c r="AC274" s="73" t="n">
        <v>-12.41</v>
      </c>
      <c r="AD274" s="73" t="n">
        <v>55.96</v>
      </c>
      <c r="AE274" s="73" t="n">
        <v>48.94</v>
      </c>
      <c r="AF274" s="73" t="n">
        <v>228.51</v>
      </c>
      <c r="AG274" s="73" t="n">
        <v>52.71</v>
      </c>
      <c r="AH274" s="73" t="n">
        <v>45.83</v>
      </c>
      <c r="AI274" s="73" t="n">
        <v>221.66</v>
      </c>
      <c r="AJ274" s="73" t="n">
        <v>59.73</v>
      </c>
      <c r="AK274" s="73" t="n">
        <v>56.32</v>
      </c>
      <c r="AL274" s="73" t="n">
        <v>216.28</v>
      </c>
      <c r="AM274" s="73" t="n">
        <v>51.53</v>
      </c>
      <c r="AN274" s="73" t="n">
        <v>-7.38</v>
      </c>
      <c r="AO274" s="73" t="n">
        <v>-5.7</v>
      </c>
      <c r="AP274" s="63" t="inlineStr">
        <is>
          <t>Hang Seng Commerce &amp; Industry sub-index</t>
        </is>
      </c>
      <c r="AQ274" s="73" t="n">
        <v>5.32</v>
      </c>
      <c r="AR274" s="64" t="inlineStr">
        <is>
          <t>2026-08-21</t>
        </is>
      </c>
      <c r="AS274" s="65" t="n">
        <v>616.6</v>
      </c>
      <c r="AT274" s="68" t="n">
        <v>56.7</v>
      </c>
      <c r="AU274" s="63" t="inlineStr">
        <is>
          <t>Y</t>
        </is>
      </c>
      <c r="AV274" s="74" t="n">
        <v>30.4</v>
      </c>
      <c r="AW274" s="74" t="n"/>
      <c r="AX274" s="74" t="n">
        <v>73.90000000000001</v>
      </c>
      <c r="AY274" s="74" t="n">
        <v>2.8</v>
      </c>
      <c r="AZ274" s="75" t="inlineStr">
        <is>
          <t>N</t>
        </is>
      </c>
      <c r="BA274" s="76">
        <f>IF('BBG Verify'!K274="","not filed — run on terminal",'BBG Verify'!K274)</f>
        <v/>
      </c>
      <c r="BB274" s="63" t="inlineStr">
        <is>
          <t>N/A</t>
        </is>
      </c>
      <c r="BC274" s="63" t="inlineStr">
        <is>
          <t>N/A</t>
        </is>
      </c>
      <c r="BD274" s="63" t="inlineStr">
        <is>
          <t>N/A</t>
        </is>
      </c>
      <c r="BE274" s="63" t="inlineStr">
        <is>
          <t>N/A</t>
        </is>
      </c>
      <c r="BF274" s="63" t="inlineStr">
        <is>
          <t>N/A</t>
        </is>
      </c>
      <c r="BG274" s="75" t="inlineStr">
        <is>
          <t>CCB International Capital Limited</t>
        </is>
      </c>
      <c r="BH274" s="63" t="inlineStr">
        <is>
          <t>CCB International Capital Limited</t>
        </is>
      </c>
      <c r="BI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7">
        <f>HYPERLINK("https://www1.hkexnews.hk/listedco/listconews/sehk/2024/0628/2024062800067.pdf","prospectus")</f>
        <v/>
      </c>
      <c r="BL274" s="77">
        <f>HYPERLINK("https://www1.hkexnews.hk/listedco/listconews/sehk/2024/0712/2024071201219.pdf","allotment")</f>
        <v/>
      </c>
      <c r="BM274" s="63" t="n"/>
      <c r="BN274" s="75" t="n"/>
      <c r="BO274" s="63" t="inlineStr">
        <is>
          <t>greenshoe: no over-allotment option in the offer structure · A/H: no A-share listing · greenshoe size: no over-allotment option in the offer structure</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7" t="n">
        <v>20.32</v>
      </c>
      <c r="W275" s="63" t="inlineStr">
        <is>
          <t>Hong Tai International III LPF; The Reynold Lemkins Group (Asia) Limited</t>
        </is>
      </c>
      <c r="X275" s="63" t="inlineStr">
        <is>
          <t>tai;reynold</t>
        </is>
      </c>
      <c r="Y275" s="67" t="n">
        <v>17</v>
      </c>
      <c r="Z275" s="63" t="n"/>
      <c r="AA275" s="72" t="n">
        <v>5</v>
      </c>
      <c r="AB275" s="73" t="n">
        <v>-1.71</v>
      </c>
      <c r="AC275" s="73" t="n">
        <v>6.83</v>
      </c>
      <c r="AD275" s="73" t="n">
        <v>-19.43</v>
      </c>
      <c r="AE275" s="73" t="n">
        <v>-17.14</v>
      </c>
      <c r="AF275" s="73" t="n">
        <v>-2.71</v>
      </c>
      <c r="AG275" s="73" t="n">
        <v>-23.27</v>
      </c>
      <c r="AH275" s="73" t="n">
        <v>-21.09</v>
      </c>
      <c r="AI275" s="73" t="n">
        <v>-7.34</v>
      </c>
      <c r="AJ275" s="73" t="n">
        <v>-22.39</v>
      </c>
      <c r="AK275" s="73" t="n">
        <v>-21.31</v>
      </c>
      <c r="AL275" s="73" t="n">
        <v>-25.98</v>
      </c>
      <c r="AM275" s="73" t="n">
        <v>-25.54</v>
      </c>
      <c r="AN275" s="73" t="n">
        <v>4.17</v>
      </c>
      <c r="AO275" s="73" t="n">
        <v>4.45</v>
      </c>
      <c r="AP275" s="63" t="inlineStr">
        <is>
          <t>Hang Seng Finance sub-index</t>
        </is>
      </c>
      <c r="AQ275" s="73" t="n">
        <v>26.93</v>
      </c>
      <c r="AR275" s="64" t="inlineStr">
        <is>
          <t>2026-08-20</t>
        </is>
      </c>
      <c r="AS275" s="65" t="n">
        <v>191.4</v>
      </c>
      <c r="AT275" s="68" t="n">
        <v>42.9</v>
      </c>
      <c r="AU275" s="63" t="inlineStr">
        <is>
          <t>Y</t>
        </is>
      </c>
      <c r="AV275" s="74" t="n">
        <v>23</v>
      </c>
      <c r="AW275" s="74" t="n"/>
      <c r="AX275" s="74" t="n">
        <v>17</v>
      </c>
      <c r="AY275" s="74" t="n">
        <v>5.2</v>
      </c>
      <c r="AZ275" s="75" t="inlineStr">
        <is>
          <t>N</t>
        </is>
      </c>
      <c r="BA275" s="76">
        <f>IF('BBG Verify'!K275="","not filed — run on terminal",'BBG Verify'!K275)</f>
        <v/>
      </c>
      <c r="BB275" s="63" t="inlineStr">
        <is>
          <t>N/A</t>
        </is>
      </c>
      <c r="BC275" s="63" t="inlineStr">
        <is>
          <t>N/A</t>
        </is>
      </c>
      <c r="BD275" s="63" t="inlineStr">
        <is>
          <t>N/A</t>
        </is>
      </c>
      <c r="BE275" s="63" t="inlineStr">
        <is>
          <t>N/A</t>
        </is>
      </c>
      <c r="BF275" s="63" t="inlineStr">
        <is>
          <t>N/A</t>
        </is>
      </c>
      <c r="BG275" s="75" t="inlineStr">
        <is>
          <t>CITIC Securities (Hong Kong) Limited; Ping An of China Capital (Hong Kong) Company Limited</t>
        </is>
      </c>
      <c r="BH275" s="63" t="inlineStr">
        <is>
          <t>CITIC Securities (Hong Kong) Limited; Ping An of China Capital (Hong Kong) Company Limited</t>
        </is>
      </c>
      <c r="BI275" s="63" t="inlineStr">
        <is>
          <t>China PA Securities (Hong Kong) Company Limited; CLSA Limited; CMB International Capital Limited; Fosun International Securities Limited; Hong Tai Securities Limited</t>
        </is>
      </c>
      <c r="BJ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7">
        <f>HYPERLINK("https://www1.hkexnews.hk/listedco/listconews/sehk/2024/0729/2024072900013.pdf","prospectus")</f>
        <v/>
      </c>
      <c r="BL275" s="77">
        <f>HYPERLINK("https://www1.hkexnews.hk/listedco/listconews/sehk/2024/0805/2024080502241.pdf","allotment")</f>
        <v/>
      </c>
      <c r="BM275" s="63" t="n"/>
      <c r="BN275" s="75" t="n"/>
      <c r="BO275" s="63" t="inlineStr">
        <is>
          <t>greenshoe: end-of-stabilisation notice not located · A/H: no A-share listing</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7" t="n">
        <v>6.02</v>
      </c>
      <c r="W276" s="63" t="inlineStr">
        <is>
          <t>Gardex Development Limited; Joyson Electronic USA LLC</t>
        </is>
      </c>
      <c r="X276" s="63" t="inlineStr">
        <is>
          <t>gardex;joyson</t>
        </is>
      </c>
      <c r="Y276" s="67" t="n">
        <v>7.39</v>
      </c>
      <c r="Z276" s="63" t="inlineStr">
        <is>
          <t>lapsed (no over-allocation)</t>
        </is>
      </c>
      <c r="AA276" s="72" t="n">
        <v>-26.96</v>
      </c>
      <c r="AB276" s="73" t="n">
        <v>-32.86</v>
      </c>
      <c r="AC276" s="73" t="n">
        <v>8.789999999999999</v>
      </c>
      <c r="AD276" s="73" t="n">
        <v>-28.04</v>
      </c>
      <c r="AE276" s="73" t="n">
        <v>-23.57</v>
      </c>
      <c r="AF276" s="73" t="n">
        <v>-7.68</v>
      </c>
      <c r="AG276" s="73" t="n">
        <v>-1.48</v>
      </c>
      <c r="AH276" s="73" t="n">
        <v>4.64</v>
      </c>
      <c r="AI276" s="73" t="n">
        <v>26.4</v>
      </c>
      <c r="AJ276" s="73" t="n">
        <v>-28.4</v>
      </c>
      <c r="AK276" s="73" t="n">
        <v>-25.25</v>
      </c>
      <c r="AL276" s="73" t="n">
        <v>-44.98</v>
      </c>
      <c r="AM276" s="73" t="n">
        <v>2.47</v>
      </c>
      <c r="AN276" s="73" t="n">
        <v>1.68</v>
      </c>
      <c r="AO276" s="73" t="n">
        <v>2.17</v>
      </c>
      <c r="AP276" s="63" t="inlineStr">
        <is>
          <t>HSTECH (Hang Seng TECH ETF)</t>
        </is>
      </c>
      <c r="AQ276" s="73" t="n">
        <v>-60.68</v>
      </c>
      <c r="AR276" s="64" t="inlineStr">
        <is>
          <t>2026-08-20</t>
        </is>
      </c>
      <c r="AS276" s="65" t="n">
        <v>343.6</v>
      </c>
      <c r="AT276" s="68" t="n">
        <v>-5340.6</v>
      </c>
      <c r="AU276" s="63" t="inlineStr">
        <is>
          <t>N</t>
        </is>
      </c>
      <c r="AV276" s="63" t="inlineStr">
        <is>
          <t>n/m</t>
        </is>
      </c>
      <c r="AW276" s="74" t="n"/>
      <c r="AX276" s="74" t="n"/>
      <c r="AY276" s="74" t="n">
        <v>46.4</v>
      </c>
      <c r="AZ276" s="75" t="inlineStr">
        <is>
          <t>N</t>
        </is>
      </c>
      <c r="BA276" s="76">
        <f>IF('BBG Verify'!K276="","not filed — run on terminal",'BBG Verify'!K276)</f>
        <v/>
      </c>
      <c r="BB276" s="63" t="inlineStr">
        <is>
          <t>N/A</t>
        </is>
      </c>
      <c r="BC276" s="63" t="inlineStr">
        <is>
          <t>N/A</t>
        </is>
      </c>
      <c r="BD276" s="63" t="inlineStr">
        <is>
          <t>N/A</t>
        </is>
      </c>
      <c r="BE276" s="63" t="inlineStr">
        <is>
          <t>N/A</t>
        </is>
      </c>
      <c r="BF276" s="63" t="inlineStr">
        <is>
          <t>N/A</t>
        </is>
      </c>
      <c r="BG276" s="75" t="n"/>
      <c r="BH276" s="63" t="inlineStr">
        <is>
          <t>China International Capital Corporation Hong Kong Securities Limited; Huatai Financial Holdings (Hong Kong) Limited</t>
        </is>
      </c>
      <c r="BI276" s="63" t="inlineStr">
        <is>
          <t>CCB International Capital Limited; GF Securities (Hong Kong) Brokerage Limited; Futu Securities International (Hong Kong) Limited</t>
        </is>
      </c>
      <c r="BJ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7">
        <f>HYPERLINK("https://www1.hkexnews.hk/listedco/listconews/sehk/2024/0731/2024073100015.pdf","prospectus")</f>
        <v/>
      </c>
      <c r="BL276" s="77">
        <f>HYPERLINK("https://www1.hkexnews.hk/listedco/listconews/sehk/2024/0807/2024080700994.pdf","allotment")</f>
        <v/>
      </c>
      <c r="BM276" s="77">
        <f>HYPERLINK("https://www1.hkexnews.hk/listedco/listconews/sehk/2024/0904/2024090402176.pdf","stabilisation")</f>
        <v/>
      </c>
      <c r="BN276" s="75" t="n"/>
      <c r="BO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7" t="n">
        <v>12.91</v>
      </c>
      <c r="W277" s="63" t="n"/>
      <c r="X277" s="63" t="n"/>
      <c r="Y277" s="67" t="n"/>
      <c r="Z277" s="63" t="n"/>
      <c r="AA277" s="72" t="n">
        <v>13.22</v>
      </c>
      <c r="AB277" s="73" t="n">
        <v>19.67</v>
      </c>
      <c r="AC277" s="73" t="n">
        <v>-5.39</v>
      </c>
      <c r="AD277" s="73" t="n">
        <v>90.08</v>
      </c>
      <c r="AE277" s="73" t="n">
        <v>135.95</v>
      </c>
      <c r="AF277" s="73" t="n">
        <v>129.75</v>
      </c>
      <c r="AG277" s="73" t="n">
        <v>67.89</v>
      </c>
      <c r="AH277" s="73" t="n">
        <v>108.4</v>
      </c>
      <c r="AI277" s="73" t="n">
        <v>102.92</v>
      </c>
      <c r="AJ277" s="73" t="n">
        <v>92.59</v>
      </c>
      <c r="AK277" s="73" t="n">
        <v>137.89</v>
      </c>
      <c r="AL277" s="73" t="n">
        <v>117.04</v>
      </c>
      <c r="AM277" s="73" t="n">
        <v>109.55</v>
      </c>
      <c r="AN277" s="73" t="n">
        <v>-1.94</v>
      </c>
      <c r="AO277" s="73" t="n">
        <v>-1.15</v>
      </c>
      <c r="AP277" s="63" t="inlineStr">
        <is>
          <t>China Biotech ETF (HS biotech proxy)</t>
        </is>
      </c>
      <c r="AQ277" s="73" t="n">
        <v>-42.4</v>
      </c>
      <c r="AR277" s="64" t="inlineStr">
        <is>
          <t>2026-08-20</t>
        </is>
      </c>
      <c r="AS277" s="65" t="n">
        <v>48.7</v>
      </c>
      <c r="AT277" s="68" t="n">
        <v>-91.5</v>
      </c>
      <c r="AU277" s="63" t="inlineStr">
        <is>
          <t>N</t>
        </is>
      </c>
      <c r="AV277" s="63" t="inlineStr">
        <is>
          <t>n/m</t>
        </is>
      </c>
      <c r="AW277" s="74" t="n"/>
      <c r="AX277" s="74" t="n"/>
      <c r="AY277" s="74" t="n">
        <v>92.09999999999999</v>
      </c>
      <c r="AZ277" s="75" t="inlineStr">
        <is>
          <t>N</t>
        </is>
      </c>
      <c r="BA277" s="76">
        <f>IF('BBG Verify'!K277="","not filed — run on terminal",'BBG Verify'!K277)</f>
        <v/>
      </c>
      <c r="BB277" s="63" t="inlineStr">
        <is>
          <t>N/A</t>
        </is>
      </c>
      <c r="BC277" s="63" t="inlineStr">
        <is>
          <t>N/A</t>
        </is>
      </c>
      <c r="BD277" s="63" t="inlineStr">
        <is>
          <t>N/A</t>
        </is>
      </c>
      <c r="BE277" s="63" t="inlineStr">
        <is>
          <t>N/A</t>
        </is>
      </c>
      <c r="BF277" s="63" t="inlineStr">
        <is>
          <t>N/A</t>
        </is>
      </c>
      <c r="BG277" s="75" t="inlineStr">
        <is>
          <t>CITIC Securities (Hong Kong) Limited</t>
        </is>
      </c>
      <c r="BH277" s="63" t="inlineStr">
        <is>
          <t>CITIC Securities (Hong Kong) Limited</t>
        </is>
      </c>
      <c r="BI277" s="63" t="inlineStr">
        <is>
          <t>CLSA Limited; CMB International Capital Limited; Haitong International Securities Company Limited; Deutsche Bank AG, Hong Kong Branch; Livermore Holdings Limited; BOCI Asia Limited</t>
        </is>
      </c>
      <c r="BJ277" s="63" t="inlineStr">
        <is>
          <t>BOCI Asia Limited; CLSA Limited; CMB International Capital Limited; Deutsche Bank AG, Hong Kong Branch; Haitong International Securities Company Limited; Livermore Holdings Limited</t>
        </is>
      </c>
      <c r="BK277" s="77">
        <f>HYPERLINK("https://www1.hkexnews.hk/listedco/listconews/sehk/2024/0812/2024081200005.pdf","prospectus")</f>
        <v/>
      </c>
      <c r="BL277" s="77">
        <f>HYPERLINK("https://www1.hkexnews.hk/listedco/listconews/sehk/2024/0819/2024081901642.pdf","allotment")</f>
        <v/>
      </c>
      <c r="BM277" s="63" t="n"/>
      <c r="BN277" s="75" t="n"/>
      <c r="BO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413520</v>
      </c>
      <c r="R278" s="63" t="inlineStr">
        <is>
          <t>derived:deal size / offer % of enlarged capital</t>
        </is>
      </c>
      <c r="S278" s="69" t="n">
        <v>9</v>
      </c>
      <c r="T278" s="79">
        <f>IF('BBG Verify'!E278="","not filed — run on terminal",'BBG Verify'!E278)</f>
        <v/>
      </c>
      <c r="U278" s="71" t="n">
        <v>36.3</v>
      </c>
      <c r="V278" s="67" t="n">
        <v>4.78</v>
      </c>
      <c r="W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3" t="inlineStr">
        <is>
          <t>athos;structural;cosco;cpe;dajia;enreal;foresight;golden-link;hcep;jump;metazone;my;pamalican;psbc;splendor;supercluster;ubs;vanguard</t>
        </is>
      </c>
      <c r="Y278" s="67" t="n">
        <v>15</v>
      </c>
      <c r="Z278" s="63" t="n"/>
      <c r="AA278" s="72" t="n">
        <v>7.85</v>
      </c>
      <c r="AB278" s="73" t="n">
        <v>8.029999999999999</v>
      </c>
      <c r="AC278" s="73" t="n">
        <v>-0.17</v>
      </c>
      <c r="AD278" s="73" t="n">
        <v>29.01</v>
      </c>
      <c r="AE278" s="73" t="n">
        <v>36.68</v>
      </c>
      <c r="AF278" s="73" t="n">
        <v>38.96</v>
      </c>
      <c r="AG278" s="73" t="n">
        <v>19.62</v>
      </c>
      <c r="AH278" s="73" t="n">
        <v>26.73</v>
      </c>
      <c r="AI278" s="73" t="n">
        <v>28.85</v>
      </c>
      <c r="AJ278" s="73" t="n">
        <v>16.42</v>
      </c>
      <c r="AK278" s="73" t="n">
        <v>7.95</v>
      </c>
      <c r="AL278" s="73" t="n">
        <v>11.57</v>
      </c>
      <c r="AM278" s="73" t="n">
        <v>-0.3</v>
      </c>
      <c r="AN278" s="73" t="n">
        <v>28.73</v>
      </c>
      <c r="AO278" s="73" t="n">
        <v>27.03</v>
      </c>
      <c r="AP278" s="63" t="inlineStr">
        <is>
          <t>HSTECH (Hang Seng TECH ETF)</t>
        </is>
      </c>
      <c r="AQ278" s="73" t="n">
        <v>76.81999999999999</v>
      </c>
      <c r="AR278" s="64" t="inlineStr">
        <is>
          <t>2026-08-21</t>
        </is>
      </c>
      <c r="AS278" s="65" t="n">
        <v>411080.8</v>
      </c>
      <c r="AT278" s="68" t="n">
        <v>37121.6</v>
      </c>
      <c r="AU278" s="63" t="inlineStr">
        <is>
          <t>Y</t>
        </is>
      </c>
      <c r="AV278" s="74" t="n">
        <v>11.1</v>
      </c>
      <c r="AW278" s="74" t="n"/>
      <c r="AX278" s="74" t="n"/>
      <c r="AY278" s="74" t="n">
        <v>1</v>
      </c>
      <c r="AZ278" s="75" t="inlineStr">
        <is>
          <t>Y</t>
        </is>
      </c>
      <c r="BA278" s="63" t="inlineStr">
        <is>
          <t>000333.SZ</t>
        </is>
      </c>
      <c r="BB278" s="73" t="n">
        <v>27.39</v>
      </c>
      <c r="BC278" s="66" t="n">
        <v>69.807</v>
      </c>
      <c r="BD278" s="80" t="n">
        <v>0.0199</v>
      </c>
      <c r="BE278" s="78">
        <f>IF('BBG Verify'!Q278="","run on terminal",'BBG Verify'!Q278)</f>
        <v/>
      </c>
      <c r="BF278" s="78">
        <f>IF('BBG Verify'!R278="","run on terminal",'BBG Verify'!R278)</f>
        <v/>
      </c>
      <c r="BG278" s="75" t="inlineStr">
        <is>
          <t>CICC; BofA Securities</t>
        </is>
      </c>
      <c r="BH278" s="63" t="inlineStr">
        <is>
          <t>China International Capital Corporation Hong Kong Securities Limited; Merrill Lynch (Asia Pacific) Limited</t>
        </is>
      </c>
      <c r="BI278" s="63" t="inlineStr">
        <is>
          <t>China International Capital Corporation Hong Kong Securities Limited; Merrill Lynch (Asia Pacific) Limited; CLSA Limited; Goldman Sachs (Asia) L.L.C; UBS AG Hong Kong Branch; GF Securities (Hong Kong) Brokerage Limited; CMB International Capital Limited</t>
        </is>
      </c>
      <c r="BJ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7">
        <f>HYPERLINK("https://www1.hkexnews.hk/listedco/listconews/sehk/2024/0909/2024090900012.htm","prospectus")</f>
        <v/>
      </c>
      <c r="BL278" s="77">
        <f>HYPERLINK("https://www1.hkexnews.hk/listedco/listconews/sehk/2024/0916/2024091600951.pdf","allotment")</f>
        <v/>
      </c>
      <c r="BM278" s="63" t="n"/>
      <c r="BN278" s="75" t="n"/>
      <c r="BO278" s="63"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7" t="n">
        <v>15.69</v>
      </c>
      <c r="W279" s="63" t="inlineStr">
        <is>
          <t>MPC VII Pte. Ltd; YSC Go (BVI) Limited</t>
        </is>
      </c>
      <c r="X279" s="63" t="inlineStr">
        <is>
          <t>mpc;ysc</t>
        </is>
      </c>
      <c r="Y279" s="67" t="n">
        <v>15</v>
      </c>
      <c r="Z279" s="63" t="inlineStr">
        <is>
          <t>full</t>
        </is>
      </c>
      <c r="AA279" s="72" t="n">
        <v>58.3</v>
      </c>
      <c r="AB279" s="73" t="n">
        <v>64.36</v>
      </c>
      <c r="AC279" s="73" t="n">
        <v>-3.69</v>
      </c>
      <c r="AD279" s="73" t="n">
        <v>17.65</v>
      </c>
      <c r="AE279" s="73" t="n">
        <v>-11.07</v>
      </c>
      <c r="AF279" s="73" t="n">
        <v>-14.01</v>
      </c>
      <c r="AG279" s="73" t="n">
        <v>-25.68</v>
      </c>
      <c r="AH279" s="73" t="n">
        <v>-43.82</v>
      </c>
      <c r="AI279" s="73" t="n">
        <v>-45.68</v>
      </c>
      <c r="AJ279" s="73" t="n">
        <v>19.24</v>
      </c>
      <c r="AK279" s="73" t="n">
        <v>-7.4</v>
      </c>
      <c r="AL279" s="73" t="n">
        <v>-6.67</v>
      </c>
      <c r="AM279" s="73" t="n">
        <v>-33.97</v>
      </c>
      <c r="AN279" s="73" t="n">
        <v>-3.67</v>
      </c>
      <c r="AO279" s="73" t="n">
        <v>-9.85</v>
      </c>
      <c r="AP279" s="63" t="inlineStr">
        <is>
          <t>Hang Seng Commerce &amp; Industry sub-index</t>
        </is>
      </c>
      <c r="AQ279" s="73" t="n">
        <v>-33.48</v>
      </c>
      <c r="AR279" s="64" t="inlineStr">
        <is>
          <t>2026-08-21</t>
        </is>
      </c>
      <c r="AS279" s="65" t="n">
        <v>1741.4</v>
      </c>
      <c r="AT279" s="68" t="n"/>
      <c r="AU279" s="63" t="inlineStr">
        <is>
          <t>Y</t>
        </is>
      </c>
      <c r="AV279" s="78">
        <f>IF('BBG Verify'!O279="","not filed — run on terminal",'BBG Verify'!O279)</f>
        <v/>
      </c>
      <c r="AW279" s="74" t="n"/>
      <c r="AX279" s="74" t="n">
        <v>6.8</v>
      </c>
      <c r="AY279" s="74" t="n">
        <v>1.6</v>
      </c>
      <c r="AZ279" s="75" t="inlineStr">
        <is>
          <t>N</t>
        </is>
      </c>
      <c r="BA279" s="76">
        <f>IF('BBG Verify'!K279="","not filed — run on terminal",'BBG Verify'!K279)</f>
        <v/>
      </c>
      <c r="BB279" s="63" t="inlineStr">
        <is>
          <t>N/A</t>
        </is>
      </c>
      <c r="BC279" s="63" t="inlineStr">
        <is>
          <t>N/A</t>
        </is>
      </c>
      <c r="BD279" s="63" t="inlineStr">
        <is>
          <t>N/A</t>
        </is>
      </c>
      <c r="BE279" s="63" t="inlineStr">
        <is>
          <t>N/A</t>
        </is>
      </c>
      <c r="BF279" s="63" t="inlineStr">
        <is>
          <t>N/A</t>
        </is>
      </c>
      <c r="BG279" s="75" t="inlineStr">
        <is>
          <t>BNP Paribas Securities (Asia) Limited; CMB International Capital Limited</t>
        </is>
      </c>
      <c r="BH279" s="63" t="inlineStr">
        <is>
          <t>CMB International Capital Limited; BNP Paribas Securities (Asia) Limited</t>
        </is>
      </c>
      <c r="BI279" s="63" t="inlineStr">
        <is>
          <t>CMB International Capital Limited; BNP Paribas Securities (Asia) Limited</t>
        </is>
      </c>
      <c r="BJ279" s="63" t="inlineStr">
        <is>
          <t>BNP Paribas Securities (Asia) Limited; CMB International Capital Limited; Futu Securities International (Hong Kong) Limited; Livermore Holdings Limited; Tiger Brokers (HK) Global Limited; TradeGo Markets Limited</t>
        </is>
      </c>
      <c r="BK279" s="77">
        <f>HYPERLINK("https://www1.hkexnews.hk/listedco/listconews/sehk/2024/0923/2024092300003.pdf","prospectus")</f>
        <v/>
      </c>
      <c r="BL279" s="77">
        <f>HYPERLINK("https://www1.hkexnews.hk/listedco/listconews/sehk/2024/0930/2024093002464.pdf","allotment")</f>
        <v/>
      </c>
      <c r="BM279" s="77">
        <f>HYPERLINK("https://www1.hkexnews.hk/listedco/listconews/sehk/2024/1028/2024102801048.pdf","stabilisation")</f>
        <v/>
      </c>
      <c r="BN279" s="75" t="n"/>
      <c r="BO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7" t="n">
        <v>5.22</v>
      </c>
      <c r="W280" s="63" t="n"/>
      <c r="X280" s="63" t="n"/>
      <c r="Y280" s="67" t="n">
        <v>5.22</v>
      </c>
      <c r="Z280" s="63" t="inlineStr">
        <is>
          <t>lapsed</t>
        </is>
      </c>
      <c r="AA280" s="72" t="n">
        <v>-29.23</v>
      </c>
      <c r="AB280" s="73" t="n">
        <v>-13.54</v>
      </c>
      <c r="AC280" s="73" t="n">
        <v>-18.15</v>
      </c>
      <c r="AD280" s="73" t="n">
        <v>-54.85</v>
      </c>
      <c r="AE280" s="73" t="n">
        <v>-54.62</v>
      </c>
      <c r="AF280" s="73" t="n">
        <v>-70.23</v>
      </c>
      <c r="AG280" s="73" t="n">
        <v>-36.2</v>
      </c>
      <c r="AH280" s="73" t="n">
        <v>-35.88</v>
      </c>
      <c r="AI280" s="73" t="n">
        <v>-57.93</v>
      </c>
      <c r="AJ280" s="73" t="n">
        <v>-36.24</v>
      </c>
      <c r="AK280" s="73" t="n">
        <v>-41.17</v>
      </c>
      <c r="AL280" s="73" t="n">
        <v>-49.7</v>
      </c>
      <c r="AM280" s="73" t="n">
        <v>-35.49</v>
      </c>
      <c r="AN280" s="73" t="n">
        <v>-13.45</v>
      </c>
      <c r="AO280" s="73" t="n">
        <v>-0.39</v>
      </c>
      <c r="AP280" s="63" t="inlineStr">
        <is>
          <t>HSTECH (Hang Seng TECH ETF)</t>
        </is>
      </c>
      <c r="AQ280" s="73" t="n">
        <v>-57.58</v>
      </c>
      <c r="AR280" s="64" t="inlineStr">
        <is>
          <t>2026-08-20</t>
        </is>
      </c>
      <c r="AS280" s="65" t="n">
        <v>630.5</v>
      </c>
      <c r="AT280" s="68" t="n">
        <v>-464.8</v>
      </c>
      <c r="AU280" s="63" t="inlineStr">
        <is>
          <t>N</t>
        </is>
      </c>
      <c r="AV280" s="63" t="inlineStr">
        <is>
          <t>n/m</t>
        </is>
      </c>
      <c r="AW280" s="74" t="n"/>
      <c r="AX280" s="74" t="n"/>
      <c r="AY280" s="74" t="n">
        <v>10.2</v>
      </c>
      <c r="AZ280" s="75" t="inlineStr">
        <is>
          <t>N</t>
        </is>
      </c>
      <c r="BA280" s="76">
        <f>IF('BBG Verify'!K280="","not filed — run on terminal",'BBG Verify'!K280)</f>
        <v/>
      </c>
      <c r="BB280" s="63" t="inlineStr">
        <is>
          <t>N/A</t>
        </is>
      </c>
      <c r="BC280" s="63" t="inlineStr">
        <is>
          <t>N/A</t>
        </is>
      </c>
      <c r="BD280" s="63" t="inlineStr">
        <is>
          <t>N/A</t>
        </is>
      </c>
      <c r="BE280" s="63" t="inlineStr">
        <is>
          <t>N/A</t>
        </is>
      </c>
      <c r="BF280" s="63" t="inlineStr">
        <is>
          <t>N/A</t>
        </is>
      </c>
      <c r="BG280" s="75" t="n"/>
      <c r="BH280" s="63" t="inlineStr">
        <is>
          <t>China International Capital Corporation Hong Kong Securities Limited; Morgan Stanley Asia Limited</t>
        </is>
      </c>
      <c r="BI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7">
        <f>HYPERLINK("https://www1.hkexnews.hk/listedco/listconews/sehk/2024/0927/2024092700025.pdf","prospectus")</f>
        <v/>
      </c>
      <c r="BL280" s="77">
        <f>HYPERLINK("https://www1.hkexnews.hk/listedco/listconews/sehk/2024/1007/2024100701772.pdf","allotment")</f>
        <v/>
      </c>
      <c r="BM280" s="77">
        <f>HYPERLINK("https://www1.hkexnews.hk/listedco/listconews/sehk/2024/1103/2024110300003.pdf","stabilisation")</f>
        <v/>
      </c>
      <c r="BN280" s="75" t="n"/>
      <c r="BO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7" t="n">
        <v>19.7</v>
      </c>
      <c r="W281" s="63" t="inlineStr">
        <is>
          <t>Accel Group Holdings Limited; Sany Hongkong Group Limited; The Triplex Holdings Limited</t>
        </is>
      </c>
      <c r="X281" s="63" t="inlineStr">
        <is>
          <t>accel;sany;triplex</t>
        </is>
      </c>
      <c r="Y281" s="67" t="n">
        <v>15</v>
      </c>
      <c r="Z281" s="63" t="n"/>
      <c r="AA281" s="72" t="n">
        <v>-15.07</v>
      </c>
      <c r="AB281" s="73" t="n">
        <v>-31.51</v>
      </c>
      <c r="AC281" s="73" t="n">
        <v>24</v>
      </c>
      <c r="AD281" s="73" t="n">
        <v>-39.73</v>
      </c>
      <c r="AE281" s="73" t="n">
        <v>-36.99</v>
      </c>
      <c r="AF281" s="73" t="n">
        <v>-44.52</v>
      </c>
      <c r="AG281" s="73" t="n">
        <v>-29.04</v>
      </c>
      <c r="AH281" s="73" t="n">
        <v>-25.81</v>
      </c>
      <c r="AI281" s="73" t="n">
        <v>-34.68</v>
      </c>
      <c r="AJ281" s="73" t="n">
        <v>-34.14</v>
      </c>
      <c r="AK281" s="73" t="n">
        <v>-34.57</v>
      </c>
      <c r="AL281" s="73" t="n">
        <v>-33.26</v>
      </c>
      <c r="AM281" s="73" t="n">
        <v>-24.6</v>
      </c>
      <c r="AN281" s="73" t="n">
        <v>-2.42</v>
      </c>
      <c r="AO281" s="73" t="n">
        <v>-1.21</v>
      </c>
      <c r="AP281" s="63" t="inlineStr">
        <is>
          <t>Hang Seng Commerce &amp; Industry sub-index</t>
        </is>
      </c>
      <c r="AQ281" s="73" t="n">
        <v>35.62</v>
      </c>
      <c r="AR281" s="64" t="inlineStr">
        <is>
          <t>2026-08-20</t>
        </is>
      </c>
      <c r="AS281" s="65" t="n">
        <v>526.1</v>
      </c>
      <c r="AT281" s="68" t="n">
        <v>76.90000000000001</v>
      </c>
      <c r="AU281" s="63" t="inlineStr">
        <is>
          <t>Y</t>
        </is>
      </c>
      <c r="AV281" s="74" t="n">
        <v>9.5</v>
      </c>
      <c r="AW281" s="74" t="n"/>
      <c r="AX281" s="74" t="n">
        <v>57.2</v>
      </c>
      <c r="AY281" s="74" t="n">
        <v>1.4</v>
      </c>
      <c r="AZ281" s="75" t="inlineStr">
        <is>
          <t>N</t>
        </is>
      </c>
      <c r="BA281" s="76">
        <f>IF('BBG Verify'!K281="","not filed — run on terminal",'BBG Verify'!K281)</f>
        <v/>
      </c>
      <c r="BB281" s="63" t="inlineStr">
        <is>
          <t>N/A</t>
        </is>
      </c>
      <c r="BC281" s="63" t="inlineStr">
        <is>
          <t>N/A</t>
        </is>
      </c>
      <c r="BD281" s="63" t="inlineStr">
        <is>
          <t>N/A</t>
        </is>
      </c>
      <c r="BE281" s="63" t="inlineStr">
        <is>
          <t>N/A</t>
        </is>
      </c>
      <c r="BF281" s="63" t="inlineStr">
        <is>
          <t>N/A</t>
        </is>
      </c>
      <c r="BG281" s="75" t="inlineStr">
        <is>
          <t>Alliance Capital Partners Limited</t>
        </is>
      </c>
      <c r="BH281" s="63" t="inlineStr">
        <is>
          <t>Alliance Capital Partners Limited</t>
        </is>
      </c>
      <c r="BI281" s="63" t="inlineStr">
        <is>
          <t>Alliance Capital Partners Limited; China Galaxy International Securities (Hong Kong) Co., Limited; CMBC Securities Company Limited; ABCI Capital Limited; China Industrial Securities International Capital Limited</t>
        </is>
      </c>
      <c r="BJ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7">
        <f>HYPERLINK("https://www1.hkexnews.hk/listedco/listconews/sehk/2024/0927/2024092700039.pdf","prospectus")</f>
        <v/>
      </c>
      <c r="BL281" s="77">
        <f>HYPERLINK("https://www1.hkexnews.hk/listedco/listconews/sehk/2024/1008/2024100801016.pdf","allotment")</f>
        <v/>
      </c>
      <c r="BM281" s="63" t="n"/>
      <c r="BN281" s="75" t="n"/>
      <c r="BO281" s="63" t="inlineStr">
        <is>
          <t>greenshoe: end-of-stabilisation notice not located · A/H: no A-share listing</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7" t="n">
        <v>2.92</v>
      </c>
      <c r="W282" s="63" t="inlineStr">
        <is>
          <t>Woseon Limited Partnership</t>
        </is>
      </c>
      <c r="X282" s="63" t="inlineStr">
        <is>
          <t>woseon</t>
        </is>
      </c>
      <c r="Y282" s="67" t="n">
        <v>9.1</v>
      </c>
      <c r="Z282" s="63" t="inlineStr">
        <is>
          <t>lapsed (no over-allocation)</t>
        </is>
      </c>
      <c r="AA282" s="72" t="n">
        <v>-56.73</v>
      </c>
      <c r="AB282" s="73" t="n">
        <v>-41.82</v>
      </c>
      <c r="AC282" s="73" t="n">
        <v>-25.63</v>
      </c>
      <c r="AD282" s="73" t="n">
        <v>-56.73</v>
      </c>
      <c r="AE282" s="73" t="n">
        <v>-62.55</v>
      </c>
      <c r="AF282" s="73" t="n">
        <v>-75.27</v>
      </c>
      <c r="AG282" s="73" t="n">
        <v>0</v>
      </c>
      <c r="AH282" s="73" t="n">
        <v>-13.45</v>
      </c>
      <c r="AI282" s="73" t="n">
        <v>-42.85</v>
      </c>
      <c r="AJ282" s="73" t="n">
        <v>-60.39</v>
      </c>
      <c r="AK282" s="73" t="n">
        <v>-59.44</v>
      </c>
      <c r="AL282" s="73" t="n">
        <v>-74.34999999999999</v>
      </c>
      <c r="AM282" s="73" t="n">
        <v>-11.42</v>
      </c>
      <c r="AN282" s="73" t="n">
        <v>-3.11</v>
      </c>
      <c r="AO282" s="73" t="n">
        <v>-2.03</v>
      </c>
      <c r="AP282" s="63" t="inlineStr">
        <is>
          <t>HSTECH (Hang Seng TECH ETF)</t>
        </is>
      </c>
      <c r="AQ282" s="73" t="n">
        <v>-87.09</v>
      </c>
      <c r="AR282" s="64" t="inlineStr">
        <is>
          <t>2026-08-20</t>
        </is>
      </c>
      <c r="AS282" s="65" t="n">
        <v>1467.4</v>
      </c>
      <c r="AT282" s="68" t="n">
        <v>-356.5</v>
      </c>
      <c r="AU282" s="63" t="inlineStr">
        <is>
          <t>N</t>
        </is>
      </c>
      <c r="AV282" s="63" t="inlineStr">
        <is>
          <t>n/m</t>
        </is>
      </c>
      <c r="AW282" s="74" t="n"/>
      <c r="AX282" s="74" t="n"/>
      <c r="AY282" s="74" t="n">
        <v>3.7</v>
      </c>
      <c r="AZ282" s="75" t="inlineStr">
        <is>
          <t>N</t>
        </is>
      </c>
      <c r="BA282" s="76">
        <f>IF('BBG Verify'!K282="","not filed — run on terminal",'BBG Verify'!K282)</f>
        <v/>
      </c>
      <c r="BB282" s="63" t="inlineStr">
        <is>
          <t>N/A</t>
        </is>
      </c>
      <c r="BC282" s="63" t="inlineStr">
        <is>
          <t>N/A</t>
        </is>
      </c>
      <c r="BD282" s="63" t="inlineStr">
        <is>
          <t>N/A</t>
        </is>
      </c>
      <c r="BE282" s="63" t="inlineStr">
        <is>
          <t>N/A</t>
        </is>
      </c>
      <c r="BF282" s="63" t="inlineStr">
        <is>
          <t>N/A</t>
        </is>
      </c>
      <c r="BG282" s="75" t="inlineStr">
        <is>
          <t>Shenwan Hongyuan Capital (H.K.) Limited; BOCOM International (Asia) Limited</t>
        </is>
      </c>
      <c r="BH282" s="63" t="inlineStr">
        <is>
          <t>Shenwan Hongyuan Capital (H.K.) Limited</t>
        </is>
      </c>
      <c r="BI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7">
        <f>HYPERLINK("https://www1.hkexnews.hk/listedco/listconews/sehk/2024/0930/2024093000011.pdf","prospectus")</f>
        <v/>
      </c>
      <c r="BL282" s="77">
        <f>HYPERLINK("https://www1.hkexnews.hk/listedco/listconews/sehk/2024/1015/2024101500998.pdf","allotment")</f>
        <v/>
      </c>
      <c r="BM282" s="77">
        <f>HYPERLINK("https://www1.hkexnews.hk/listedco/listconews/sehk/2024/1111/2024111100811.pdf","stabilisation")</f>
        <v/>
      </c>
      <c r="BN282" s="75" t="n"/>
      <c r="BO282" s="63" t="inlineStr">
        <is>
          <t>P/E: n/m — loss-making at IPO (use P/S)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7" t="n">
        <v>7.74</v>
      </c>
      <c r="W283" s="63" t="inlineStr">
        <is>
          <t>Athos Capital Limited; China Post Life Insurance Company Limited; China Travel Service (Holdings) Hong Kong Limited; Ghisallo Master Fund LP; Oaktree Capital Management, L.P; Pamalican Fund Ltd; PT Indadi Juver; UBS AM Singapore; Wildlife Willow Limited</t>
        </is>
      </c>
      <c r="X283" s="63" t="inlineStr">
        <is>
          <t>athos;post;travel;ghisallo;oaktree;pamalican;pt;ubs;wildlife</t>
        </is>
      </c>
      <c r="Y283" s="67" t="n">
        <v>15</v>
      </c>
      <c r="Z283" s="63" t="inlineStr">
        <is>
          <t>partial</t>
        </is>
      </c>
      <c r="AA283" s="72" t="n">
        <v>15.03</v>
      </c>
      <c r="AB283" s="73" t="n">
        <v>13.52</v>
      </c>
      <c r="AC283" s="73" t="n">
        <v>1.33</v>
      </c>
      <c r="AD283" s="73" t="n">
        <v>6.62</v>
      </c>
      <c r="AE283" s="73" t="n">
        <v>-15.03</v>
      </c>
      <c r="AF283" s="73" t="n">
        <v>-18.07</v>
      </c>
      <c r="AG283" s="73" t="n">
        <v>-7.31</v>
      </c>
      <c r="AH283" s="73" t="n">
        <v>-26.13</v>
      </c>
      <c r="AI283" s="73" t="n">
        <v>-28.78</v>
      </c>
      <c r="AJ283" s="73" t="n">
        <v>7.43</v>
      </c>
      <c r="AK283" s="73" t="n">
        <v>-9.75</v>
      </c>
      <c r="AL283" s="73" t="n">
        <v>-12.42</v>
      </c>
      <c r="AM283" s="73" t="n">
        <v>-19.27</v>
      </c>
      <c r="AN283" s="73" t="n">
        <v>-5.28</v>
      </c>
      <c r="AO283" s="73" t="n">
        <v>-6.86</v>
      </c>
      <c r="AP283" s="63" t="inlineStr">
        <is>
          <t>Hang Seng Commerce &amp; Industry sub-index</t>
        </is>
      </c>
      <c r="AQ283" s="73" t="n">
        <v>-48.21</v>
      </c>
      <c r="AR283" s="64" t="inlineStr">
        <is>
          <t>2026-08-20</t>
        </is>
      </c>
      <c r="AS283" s="65" t="n">
        <v>14866.2</v>
      </c>
      <c r="AT283" s="68" t="n">
        <v>1464.5</v>
      </c>
      <c r="AU283" s="63" t="inlineStr">
        <is>
          <t>Y</t>
        </is>
      </c>
      <c r="AV283" s="74" t="n">
        <v>23.3</v>
      </c>
      <c r="AW283" s="74" t="n">
        <v>23.2</v>
      </c>
      <c r="AX283" s="74" t="n">
        <v>16</v>
      </c>
      <c r="AY283" s="74" t="n">
        <v>2.3</v>
      </c>
      <c r="AZ283" s="75" t="inlineStr">
        <is>
          <t>N</t>
        </is>
      </c>
      <c r="BA283" s="76">
        <f>IF('BBG Verify'!K283="","not filed — run on terminal",'BBG Verify'!K283)</f>
        <v/>
      </c>
      <c r="BB283" s="63" t="inlineStr">
        <is>
          <t>N/A</t>
        </is>
      </c>
      <c r="BC283" s="63" t="inlineStr">
        <is>
          <t>N/A</t>
        </is>
      </c>
      <c r="BD283" s="63" t="inlineStr">
        <is>
          <t>N/A</t>
        </is>
      </c>
      <c r="BE283" s="63" t="inlineStr">
        <is>
          <t>N/A</t>
        </is>
      </c>
      <c r="BF283" s="63" t="inlineStr">
        <is>
          <t>N/A</t>
        </is>
      </c>
      <c r="BG283" s="75" t="inlineStr">
        <is>
          <t>UBS Securities Hong Kong Limited; BOCI Asia Limited; CITIC Securities (Hong Kong) Limited; Merrill Lynch (Asia Pacific) Limited</t>
        </is>
      </c>
      <c r="BH283" s="63" t="inlineStr">
        <is>
          <t>UBS Securities Hong Kong Limited; Merrill Lynch (Asia Pacific) Limited; CITIC Securities (Hong Kong) Limited; BOCI Asia Limited</t>
        </is>
      </c>
      <c r="BI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7">
        <f>HYPERLINK("https://www1.hkexnews.hk/listedco/listconews/sehk/2024/1015/2024101500009.pdf","prospectus")</f>
        <v/>
      </c>
      <c r="BL283" s="77">
        <f>HYPERLINK("https://www1.hkexnews.hk/listedco/listconews/sehk/2024/1022/2024102201053.pdf","allotment")</f>
        <v/>
      </c>
      <c r="BM283" s="77">
        <f>HYPERLINK("https://www1.hkexnews.hk/listedco/listconews/sehk/2024/1118/2024111801006.pdf","stabilisation")</f>
        <v/>
      </c>
      <c r="BN283" s="75" t="n"/>
      <c r="BO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v>3.73</v>
      </c>
      <c r="L284" s="66" t="n">
        <v>3.99</v>
      </c>
      <c r="M284" s="66" t="n">
        <v>3.99</v>
      </c>
      <c r="N284" s="63" t="inlineStr">
        <is>
          <t>Y</t>
        </is>
      </c>
      <c r="O284" s="67" t="n">
        <v>100</v>
      </c>
      <c r="P284" s="67" t="n">
        <v>100</v>
      </c>
      <c r="Q284" s="68" t="n">
        <v>51989.2</v>
      </c>
      <c r="R284" s="63" t="inlineStr">
        <is>
          <t>derived:price x shares upon listing</t>
        </is>
      </c>
      <c r="S284" s="69" t="n">
        <v>33.83</v>
      </c>
      <c r="T284" s="70" t="n">
        <v>13.81</v>
      </c>
      <c r="U284" s="71" t="n">
        <v>31.56</v>
      </c>
      <c r="V284" s="67" t="n">
        <v>7.12</v>
      </c>
      <c r="W284" s="63" t="inlineStr">
        <is>
          <t>Alisoft China Holding Limited; Baidu (Hong Kong) Limited; JSC International Investment Fund SPC; PARTICIPATIONS 1</t>
        </is>
      </c>
      <c r="X284" s="63" t="inlineStr">
        <is>
          <t>alisoft;baidu;jsc;participations</t>
        </is>
      </c>
      <c r="Y284" s="67" t="n">
        <v>15</v>
      </c>
      <c r="Z284" s="63" t="inlineStr">
        <is>
          <t>partial</t>
        </is>
      </c>
      <c r="AA284" s="72" t="n">
        <v>2.76</v>
      </c>
      <c r="AB284" s="73" t="n">
        <v>28.32</v>
      </c>
      <c r="AC284" s="73" t="n">
        <v>-19.92</v>
      </c>
      <c r="AD284" s="73" t="n">
        <v>19.55</v>
      </c>
      <c r="AE284" s="73" t="n">
        <v>-4.76</v>
      </c>
      <c r="AF284" s="73" t="n">
        <v>10.03</v>
      </c>
      <c r="AG284" s="73" t="n">
        <v>16.34</v>
      </c>
      <c r="AH284" s="73" t="n">
        <v>-7.32</v>
      </c>
      <c r="AI284" s="73" t="n">
        <v>7.07</v>
      </c>
      <c r="AJ284" s="73" t="n">
        <v>22.2</v>
      </c>
      <c r="AK284" s="73" t="n">
        <v>3.41</v>
      </c>
      <c r="AL284" s="73" t="n">
        <v>9.32</v>
      </c>
      <c r="AM284" s="73" t="n">
        <v>-1.74</v>
      </c>
      <c r="AN284" s="73" t="n">
        <v>-8.17</v>
      </c>
      <c r="AO284" s="73" t="n">
        <v>-5.58</v>
      </c>
      <c r="AP284" s="63" t="inlineStr">
        <is>
          <t>HSTECH (Hang Seng TECH ETF)</t>
        </is>
      </c>
      <c r="AQ284" s="73" t="n">
        <v>21.55</v>
      </c>
      <c r="AR284" s="64" t="inlineStr">
        <is>
          <t>2026-08-20</t>
        </is>
      </c>
      <c r="AS284" s="65" t="n">
        <v>1706.8</v>
      </c>
      <c r="AT284" s="68" t="n">
        <v>-7413</v>
      </c>
      <c r="AU284" s="63" t="inlineStr">
        <is>
          <t>N</t>
        </is>
      </c>
      <c r="AV284" s="63" t="inlineStr">
        <is>
          <t>n/m</t>
        </is>
      </c>
      <c r="AW284" s="74" t="n"/>
      <c r="AX284" s="74" t="n"/>
      <c r="AY284" s="74" t="n">
        <v>30.5</v>
      </c>
      <c r="AZ284" s="75" t="inlineStr">
        <is>
          <t>N</t>
        </is>
      </c>
      <c r="BA284" s="76">
        <f>IF('BBG Verify'!K284="","not filed — run on terminal",'BBG Verify'!K284)</f>
        <v/>
      </c>
      <c r="BB284" s="63" t="inlineStr">
        <is>
          <t>N/A</t>
        </is>
      </c>
      <c r="BC284" s="63" t="inlineStr">
        <is>
          <t>N/A</t>
        </is>
      </c>
      <c r="BD284" s="63" t="inlineStr">
        <is>
          <t>N/A</t>
        </is>
      </c>
      <c r="BE284" s="63" t="inlineStr">
        <is>
          <t>N/A</t>
        </is>
      </c>
      <c r="BF284" s="63" t="inlineStr">
        <is>
          <t>N/A</t>
        </is>
      </c>
      <c r="BG284" s="75" t="inlineStr">
        <is>
          <t>Goldman Sachs (Asia) L.L.C; Morgan Stanley Asia Limited; China Securities (International) Corporate Finance Company Limited</t>
        </is>
      </c>
      <c r="BH284" s="63" t="inlineStr">
        <is>
          <t>Morgan Stanley Asia Limited; Goldman Sachs (Asia) L.L.C.; China Securities (International) Corporate Finance Company Limited</t>
        </is>
      </c>
      <c r="BI284" s="63"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7">
        <f>HYPERLINK("https://www1.hkexnews.hk/listedco/listconews/sehk/2024/1016/2024101600024.htm","prospectus")</f>
        <v/>
      </c>
      <c r="BL284" s="77">
        <f>HYPERLINK("https://www1.hkexnews.hk/listedco/listconews/sehk/2024/1023/2024102300943.pdf","allotment")</f>
        <v/>
      </c>
      <c r="BM284" s="77">
        <f>HYPERLINK("https://www1.hkexnews.hk/listedco/listconews/sehk/2024/1120/2024112001092.pdf","stabilisation")</f>
        <v/>
      </c>
      <c r="BN284" s="75" t="n"/>
      <c r="BO284" s="63"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c r="L285" s="66" t="n">
        <v>7</v>
      </c>
      <c r="M285" s="66" t="n">
        <v>5.5</v>
      </c>
      <c r="N285" s="63" t="inlineStr">
        <is>
          <t>N</t>
        </is>
      </c>
      <c r="O285" s="67" t="n">
        <v>78.59999999999999</v>
      </c>
      <c r="P285" s="67" t="n"/>
      <c r="Q285" s="68" t="n">
        <v>3666.7</v>
      </c>
      <c r="R285" s="63" t="inlineStr">
        <is>
          <t>derived:deal size / offer % of enlarged capital</t>
        </is>
      </c>
      <c r="S285" s="69" t="n">
        <v>3.99</v>
      </c>
      <c r="T285" s="70" t="n">
        <v>3.23</v>
      </c>
      <c r="U285" s="71" t="n">
        <v>20</v>
      </c>
      <c r="V285" s="67" t="n">
        <v>12</v>
      </c>
      <c r="W285" s="63" t="inlineStr">
        <is>
          <t>Harvest Oriental SP</t>
        </is>
      </c>
      <c r="X285" s="63" t="inlineStr">
        <is>
          <t>harvest</t>
        </is>
      </c>
      <c r="Y285" s="67" t="n">
        <v>15</v>
      </c>
      <c r="Z285" s="63" t="inlineStr">
        <is>
          <t>lapsed</t>
        </is>
      </c>
      <c r="AA285" s="72" t="n">
        <v>-13.64</v>
      </c>
      <c r="AB285" s="73" t="n">
        <v>-7.64</v>
      </c>
      <c r="AC285" s="73" t="n">
        <v>-6.5</v>
      </c>
      <c r="AD285" s="73" t="n">
        <v>-17.45</v>
      </c>
      <c r="AE285" s="73" t="n">
        <v>8.18</v>
      </c>
      <c r="AF285" s="73" t="n">
        <v>-17.45</v>
      </c>
      <c r="AG285" s="73" t="n">
        <v>-4.41</v>
      </c>
      <c r="AH285" s="73" t="n">
        <v>25.27</v>
      </c>
      <c r="AI285" s="73" t="n">
        <v>-4.41</v>
      </c>
      <c r="AJ285" s="73" t="n">
        <v>-16.12</v>
      </c>
      <c r="AK285" s="73" t="n">
        <v>15.56</v>
      </c>
      <c r="AL285" s="73" t="n">
        <v>-17.9</v>
      </c>
      <c r="AM285" s="73" t="n">
        <v>30.97</v>
      </c>
      <c r="AN285" s="73" t="n">
        <v>-7.38</v>
      </c>
      <c r="AO285" s="73" t="n">
        <v>-5.7</v>
      </c>
      <c r="AP285" s="63" t="inlineStr">
        <is>
          <t>Hang Seng Commerce &amp; Industry sub-index</t>
        </is>
      </c>
      <c r="AQ285" s="73" t="n">
        <v>69.64</v>
      </c>
      <c r="AR285" s="64" t="inlineStr">
        <is>
          <t>2026-08-20</t>
        </is>
      </c>
      <c r="AS285" s="65" t="n">
        <v>13466.1</v>
      </c>
      <c r="AT285" s="68" t="n">
        <v>-2013.6</v>
      </c>
      <c r="AU285" s="63" t="inlineStr">
        <is>
          <t>N</t>
        </is>
      </c>
      <c r="AV285" s="63" t="inlineStr">
        <is>
          <t>n/m</t>
        </is>
      </c>
      <c r="AW285" s="74" t="n"/>
      <c r="AX285" s="74" t="n">
        <v>94.3</v>
      </c>
      <c r="AY285" s="74" t="n">
        <v>0.3</v>
      </c>
      <c r="AZ285" s="75" t="inlineStr">
        <is>
          <t>Y</t>
        </is>
      </c>
      <c r="BA285" s="63" t="inlineStr">
        <is>
          <t>603906.SS</t>
        </is>
      </c>
      <c r="BB285" s="73" t="n">
        <v>103.17</v>
      </c>
      <c r="BC285" s="66" t="n">
        <v>11.1743</v>
      </c>
      <c r="BD285" s="80" t="n">
        <v>1.3202</v>
      </c>
      <c r="BE285" s="78">
        <f>IF('BBG Verify'!Q285="","run on terminal",'BBG Verify'!Q285)</f>
        <v/>
      </c>
      <c r="BF285" s="78">
        <f>IF('BBG Verify'!R285="","run on terminal",'BBG Verify'!R285)</f>
        <v/>
      </c>
      <c r="BG285" s="75" t="inlineStr">
        <is>
          <t>Guotai Junan Capital Limited; Halcyon Capital Limited</t>
        </is>
      </c>
      <c r="BH285" s="63" t="inlineStr">
        <is>
          <t>Guotai Junan Capital Limited; Halcyon Capital Limited</t>
        </is>
      </c>
      <c r="BI285" s="63" t="inlineStr">
        <is>
          <t>ABCI Securities Company Limited</t>
        </is>
      </c>
      <c r="BJ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7">
        <f>HYPERLINK("https://www1.hkexnews.hk/listedco/listconews/sehk/2024/1022/2024102200007.pdf","prospectus")</f>
        <v/>
      </c>
      <c r="BL285" s="77">
        <f>HYPERLINK("https://www1.hkexnews.hk/listedco/listconews/sehk/2024/1029/2024102901308.pdf","allotment")</f>
        <v/>
      </c>
      <c r="BM285" s="77">
        <f>HYPERLINK("https://www1.hkexnews.hk/listedco/listconews/sehk/2024/1125/2024112500279.pdf","stabilisation")</f>
        <v/>
      </c>
      <c r="BN285" s="75" t="n"/>
      <c r="BO285" s="63" t="inlineStr">
        <is>
          <t>P/E: n/m — loss-making at IPO (use P/S) · range low: cap-only pricing — the filing publishes a Maximum Offer Price and no indicative floor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c r="L286" s="66" t="n">
        <v>22</v>
      </c>
      <c r="M286" s="66" t="n">
        <v>16</v>
      </c>
      <c r="N286" s="63" t="inlineStr">
        <is>
          <t>N</t>
        </is>
      </c>
      <c r="O286" s="67" t="n">
        <v>72.7</v>
      </c>
      <c r="P286" s="67" t="n"/>
      <c r="Q286" s="68" t="n">
        <v>5833.4</v>
      </c>
      <c r="R286" s="63" t="inlineStr">
        <is>
          <t>derived:price x shares upon listing</t>
        </is>
      </c>
      <c r="S286" s="69" t="n">
        <v>21.45</v>
      </c>
      <c r="T286" s="70" t="n">
        <v>0.994</v>
      </c>
      <c r="U286" s="71" t="n">
        <v>15.7</v>
      </c>
      <c r="V286" s="67" t="n">
        <v>3.37</v>
      </c>
      <c r="W286" s="63" t="inlineStr">
        <is>
          <t>Baheal Wellness Industry International Trading Limited; Novotech SG Holdings Pte. Ltd; SilkyWater Absolute Return LPF; Wealth Strategy Holding Limited</t>
        </is>
      </c>
      <c r="X286" s="63" t="inlineStr">
        <is>
          <t>baheal;novotech;silkywater;wealth</t>
        </is>
      </c>
      <c r="Y286" s="67" t="n"/>
      <c r="Z286" s="63" t="n"/>
      <c r="AA286" s="72" t="n">
        <v>30</v>
      </c>
      <c r="AB286" s="73" t="n">
        <v>34.38</v>
      </c>
      <c r="AC286" s="73" t="n">
        <v>-3.26</v>
      </c>
      <c r="AD286" s="73" t="n">
        <v>75</v>
      </c>
      <c r="AE286" s="73" t="n">
        <v>74.69</v>
      </c>
      <c r="AF286" s="73" t="n">
        <v>-2.88</v>
      </c>
      <c r="AG286" s="73" t="n">
        <v>34.62</v>
      </c>
      <c r="AH286" s="73" t="n">
        <v>34.38</v>
      </c>
      <c r="AI286" s="73" t="n">
        <v>-25.29</v>
      </c>
      <c r="AJ286" s="73" t="n">
        <v>70.58</v>
      </c>
      <c r="AK286" s="73" t="n">
        <v>73.83</v>
      </c>
      <c r="AL286" s="73" t="n">
        <v>0.74</v>
      </c>
      <c r="AM286" s="73" t="n">
        <v>32.32</v>
      </c>
      <c r="AN286" s="73" t="n">
        <v>0.86</v>
      </c>
      <c r="AO286" s="73" t="n">
        <v>2.06</v>
      </c>
      <c r="AP286" s="63" t="inlineStr">
        <is>
          <t>China Biotech ETF (HS biotech proxy)</t>
        </is>
      </c>
      <c r="AQ286" s="73" t="n">
        <v>-78.59</v>
      </c>
      <c r="AR286" s="64" t="inlineStr">
        <is>
          <t>2026-08-20</t>
        </is>
      </c>
      <c r="AS286" s="65" t="n">
        <v>73.3</v>
      </c>
      <c r="AT286" s="68" t="n">
        <v>-91.8</v>
      </c>
      <c r="AU286" s="63" t="inlineStr">
        <is>
          <t>N</t>
        </is>
      </c>
      <c r="AV286" s="63" t="inlineStr">
        <is>
          <t>n/m</t>
        </is>
      </c>
      <c r="AW286" s="74" t="n"/>
      <c r="AX286" s="74" t="n"/>
      <c r="AY286" s="74" t="n">
        <v>79.59999999999999</v>
      </c>
      <c r="AZ286" s="75" t="inlineStr">
        <is>
          <t>N</t>
        </is>
      </c>
      <c r="BA286" s="76">
        <f>IF('BBG Verify'!K286="","not filed — run on terminal",'BBG Verify'!K286)</f>
        <v/>
      </c>
      <c r="BB286" s="63" t="inlineStr">
        <is>
          <t>N/A</t>
        </is>
      </c>
      <c r="BC286" s="63" t="inlineStr">
        <is>
          <t>N/A</t>
        </is>
      </c>
      <c r="BD286" s="63" t="inlineStr">
        <is>
          <t>N/A</t>
        </is>
      </c>
      <c r="BE286" s="63" t="inlineStr">
        <is>
          <t>N/A</t>
        </is>
      </c>
      <c r="BF286" s="63" t="inlineStr">
        <is>
          <t>N/A</t>
        </is>
      </c>
      <c r="BG286" s="75" t="n"/>
      <c r="BH286" s="63" t="inlineStr">
        <is>
          <t>CCB International Capital Limited; China Securities (International) Corporate Finance Company Limited</t>
        </is>
      </c>
      <c r="BI286" s="63" t="inlineStr">
        <is>
          <t>CCB International Capital Limited; CGS International Securities Hong Kong Limited; Citrus Securities Limited; CMBC Securities Company Limited; China Securities (International) Corporate Finance Company Limited; Fosun International Securities Limited</t>
        </is>
      </c>
      <c r="BJ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7">
        <f>HYPERLINK("https://www1.hkexnews.hk/listedco/listconews/sehk/2024/1023/2024102300015.pdf","prospectus")</f>
        <v/>
      </c>
      <c r="BL286" s="77">
        <f>HYPERLINK("https://www1.hkexnews.hk/listedco/listconews/sehk/2024/1030/2024103002007.pdf","allotment")</f>
        <v/>
      </c>
      <c r="BM286" s="63" t="n"/>
      <c r="BN286" s="75" t="n"/>
      <c r="BO286"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7" t="n">
        <v>13.33</v>
      </c>
      <c r="W287" s="63" t="inlineStr">
        <is>
          <t>Crane Movement; HUNG Chi-Li; Indigo Rainbow Limited; Metro Shine Group Limited; WANG Yi-Fen; Worldwide Logistics Holding HK Limited</t>
        </is>
      </c>
      <c r="X287" s="63" t="inlineStr">
        <is>
          <t>crane;hung;indigo;metro;wang-yi;logistics</t>
        </is>
      </c>
      <c r="Y287" s="67" t="n">
        <v>15</v>
      </c>
      <c r="Z287" s="63" t="inlineStr">
        <is>
          <t>partial</t>
        </is>
      </c>
      <c r="AA287" s="72" t="n">
        <v>-1.91</v>
      </c>
      <c r="AB287" s="73" t="n">
        <v>0</v>
      </c>
      <c r="AC287" s="73" t="n">
        <v>-1.91</v>
      </c>
      <c r="AD287" s="73" t="n">
        <v>-0</v>
      </c>
      <c r="AE287" s="73" t="n">
        <v>7.66</v>
      </c>
      <c r="AF287" s="73" t="n">
        <v>3.35</v>
      </c>
      <c r="AG287" s="73" t="n">
        <v>1.95</v>
      </c>
      <c r="AH287" s="73" t="n">
        <v>9.76</v>
      </c>
      <c r="AI287" s="73" t="n">
        <v>5.36</v>
      </c>
      <c r="AJ287" s="73" t="n">
        <v>-1.93</v>
      </c>
      <c r="AK287" s="73" t="n">
        <v>11.61</v>
      </c>
      <c r="AL287" s="73" t="n">
        <v>-0.68</v>
      </c>
      <c r="AM287" s="73" t="n">
        <v>14.67</v>
      </c>
      <c r="AN287" s="73" t="n">
        <v>-3.95</v>
      </c>
      <c r="AO287" s="73" t="n">
        <v>-4.91</v>
      </c>
      <c r="AP287" s="63" t="inlineStr">
        <is>
          <t>Hang Seng Commerce &amp; Industry sub-index</t>
        </is>
      </c>
      <c r="AQ287" s="73" t="n">
        <v>169.14</v>
      </c>
      <c r="AR287" s="64" t="inlineStr">
        <is>
          <t>2026-08-20</t>
        </is>
      </c>
      <c r="AS287" s="65" t="n">
        <v>6821.9</v>
      </c>
      <c r="AT287" s="68" t="n">
        <v>-245.9</v>
      </c>
      <c r="AU287" s="63" t="inlineStr">
        <is>
          <t>N</t>
        </is>
      </c>
      <c r="AV287" s="63" t="inlineStr">
        <is>
          <t>n/m</t>
        </is>
      </c>
      <c r="AW287" s="74" t="n"/>
      <c r="AX287" s="74" t="n">
        <v>6.7</v>
      </c>
      <c r="AY287" s="74" t="n">
        <v>1</v>
      </c>
      <c r="AZ287" s="75" t="inlineStr">
        <is>
          <t>N</t>
        </is>
      </c>
      <c r="BA287" s="76">
        <f>IF('BBG Verify'!K287="","not filed — run on terminal",'BBG Verify'!K287)</f>
        <v/>
      </c>
      <c r="BB287" s="63" t="inlineStr">
        <is>
          <t>N/A</t>
        </is>
      </c>
      <c r="BC287" s="63" t="inlineStr">
        <is>
          <t>N/A</t>
        </is>
      </c>
      <c r="BD287" s="63" t="inlineStr">
        <is>
          <t>N/A</t>
        </is>
      </c>
      <c r="BE287" s="63" t="inlineStr">
        <is>
          <t>N/A</t>
        </is>
      </c>
      <c r="BF287" s="63" t="inlineStr">
        <is>
          <t>N/A</t>
        </is>
      </c>
      <c r="BG287" s="75" t="inlineStr">
        <is>
          <t>J.P. Morgan Securities (Far East) Limited; China Merchants Securities (HK) Co., Limited</t>
        </is>
      </c>
      <c r="BH287" s="63" t="inlineStr">
        <is>
          <t>J.P. Morgan Securities (Far East) Limited; China Merchants Securities (HK) Company Limited</t>
        </is>
      </c>
      <c r="BI287" s="63" t="inlineStr">
        <is>
          <t>J.P. Morgan Securities (Asia Pacific) Limited; China Merchants Securities (HK) Co., Limited; Futu Securities International (Hong Kong) Limited; Yuanta Securities (Hong Kong) Company Limited; Admiralty, Hong Kong Livermore Holdings Limited</t>
        </is>
      </c>
      <c r="BJ287" s="63" t="inlineStr">
        <is>
          <t>China Merchants Securities (HK) Company Limited; Futu Securities International (Hong Kong) Limited; J.P. Morgan Securities (Asia Pacific) Limited; Livermore Holdings Limited; Yuanta Securities (Hong Kong) Company Limited</t>
        </is>
      </c>
      <c r="BK287" s="77">
        <f>HYPERLINK("https://www1.hkexnews.hk/listedco/listconews/sehk/2024/1024/2024102400036.pdf","prospectus")</f>
        <v/>
      </c>
      <c r="BL287" s="77">
        <f>HYPERLINK("https://www1.hkexnews.hk/listedco/listconews/sehk/2024/1031/2024103101844.pdf","allotment")</f>
        <v/>
      </c>
      <c r="BM287" s="77">
        <f>HYPERLINK("https://www1.hkexnews.hk/listedco/listconews/sehk/2024/1128/2024112802025.pdf","stabilisation")</f>
        <v/>
      </c>
      <c r="BN287" s="75" t="n"/>
      <c r="BO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7" t="n">
        <v>5.51</v>
      </c>
      <c r="W288" s="63" t="inlineStr">
        <is>
          <t>Hongkong Valsun Technology Limited; LC Logistics, Inc; Wong, Ka Wai Vivian</t>
        </is>
      </c>
      <c r="X288" s="63" t="inlineStr">
        <is>
          <t>hongkong;lc;wong</t>
        </is>
      </c>
      <c r="Y288" s="67" t="n">
        <v>15</v>
      </c>
      <c r="Z288" s="63" t="inlineStr">
        <is>
          <t>lapsed</t>
        </is>
      </c>
      <c r="AA288" s="72" t="n">
        <v>-11.41</v>
      </c>
      <c r="AB288" s="73" t="n">
        <v>-11.03</v>
      </c>
      <c r="AC288" s="73" t="n">
        <v>-0.43</v>
      </c>
      <c r="AD288" s="73" t="n">
        <v>-22.82</v>
      </c>
      <c r="AE288" s="73" t="n">
        <v>-19.23</v>
      </c>
      <c r="AF288" s="73" t="n">
        <v>-23.97</v>
      </c>
      <c r="AG288" s="73" t="n">
        <v>-12.88</v>
      </c>
      <c r="AH288" s="73" t="n">
        <v>-8.83</v>
      </c>
      <c r="AI288" s="73" t="n">
        <v>-14.18</v>
      </c>
      <c r="AJ288" s="73" t="n">
        <v>-15.16</v>
      </c>
      <c r="AK288" s="73" t="n">
        <v>-16.55</v>
      </c>
      <c r="AL288" s="73" t="n">
        <v>-29.84</v>
      </c>
      <c r="AM288" s="73" t="n">
        <v>-7.44</v>
      </c>
      <c r="AN288" s="73" t="n">
        <v>-2.68</v>
      </c>
      <c r="AO288" s="73" t="n">
        <v>-1.39</v>
      </c>
      <c r="AP288" s="63" t="inlineStr">
        <is>
          <t>Hang Seng Commerce &amp; Industry sub-index</t>
        </is>
      </c>
      <c r="AQ288" s="73" t="n">
        <v>-76.73</v>
      </c>
      <c r="AR288" s="64" t="inlineStr">
        <is>
          <t>2026-08-20</t>
        </is>
      </c>
      <c r="AS288" s="65" t="n">
        <v>9551.299999999999</v>
      </c>
      <c r="AT288" s="68" t="n">
        <v>572.1</v>
      </c>
      <c r="AU288" s="63" t="inlineStr">
        <is>
          <t>Y</t>
        </is>
      </c>
      <c r="AV288" s="74" t="n">
        <v>11.3</v>
      </c>
      <c r="AW288" s="74" t="n">
        <v>9.300000000000001</v>
      </c>
      <c r="AX288" s="74" t="n">
        <v>8.300000000000001</v>
      </c>
      <c r="AY288" s="74" t="n">
        <v>0.7</v>
      </c>
      <c r="AZ288" s="75" t="inlineStr">
        <is>
          <t>N</t>
        </is>
      </c>
      <c r="BA288" s="76">
        <f>IF('BBG Verify'!K288="","not filed — run on terminal",'BBG Verify'!K288)</f>
        <v/>
      </c>
      <c r="BB288" s="63" t="inlineStr">
        <is>
          <t>N/A</t>
        </is>
      </c>
      <c r="BC288" s="63" t="inlineStr">
        <is>
          <t>N/A</t>
        </is>
      </c>
      <c r="BD288" s="63" t="inlineStr">
        <is>
          <t>N/A</t>
        </is>
      </c>
      <c r="BE288" s="63" t="inlineStr">
        <is>
          <t>N/A</t>
        </is>
      </c>
      <c r="BF288" s="63" t="inlineStr">
        <is>
          <t>N/A</t>
        </is>
      </c>
      <c r="BG288" s="75" t="inlineStr">
        <is>
          <t>Huatai Financial Holdings (Hong Kong) Limited</t>
        </is>
      </c>
      <c r="BH288" s="63" t="inlineStr">
        <is>
          <t>Huatai Financial Holdings (Hong Kong) Limited</t>
        </is>
      </c>
      <c r="BI288" s="63" t="inlineStr">
        <is>
          <t>Huatai Financial Holdings (Hong Kong) Limited; CLSA Limited; DBS Asia Capital Limited; Livermore Holdings Limited</t>
        </is>
      </c>
      <c r="BJ288" s="63" t="inlineStr">
        <is>
          <t>CLSA Limited; DBS Asia Capital Limited; Huatai Financial Holdings (Hong Kong) Limited; Livermore Holdings Limited</t>
        </is>
      </c>
      <c r="BK288" s="77">
        <f>HYPERLINK("https://www1.hkexnews.hk/listedco/listconews/sehk/2024/1031/2024103100187.pdf","prospectus")</f>
        <v/>
      </c>
      <c r="BL288" s="77">
        <f>HYPERLINK("https://www1.hkexnews.hk/listedco/listconews/sehk/2024/1107/2024110701104.pdf","allotment")</f>
        <v/>
      </c>
      <c r="BM288" s="77">
        <f>HYPERLINK("https://www1.hkexnews.hk/listedco/listconews/sehk/2024/1205/2024120500586.pdf","stabilisation")</f>
        <v/>
      </c>
      <c r="BN288" s="75" t="n"/>
      <c r="BO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v>0</v>
      </c>
      <c r="V289" s="67" t="n">
        <v>7.19</v>
      </c>
      <c r="W289" s="63" t="n"/>
      <c r="X289" s="63" t="n"/>
      <c r="Y289" s="67" t="n"/>
      <c r="Z289" s="63" t="n"/>
      <c r="AA289" s="72" t="n">
        <v>47.65</v>
      </c>
      <c r="AB289" s="73" t="n">
        <v>16.34</v>
      </c>
      <c r="AC289" s="73" t="n">
        <v>26.91</v>
      </c>
      <c r="AD289" s="73" t="n">
        <v>25.21</v>
      </c>
      <c r="AE289" s="73" t="n">
        <v>-1.94</v>
      </c>
      <c r="AF289" s="73" t="n">
        <v>16.9</v>
      </c>
      <c r="AG289" s="73" t="n">
        <v>-15.2</v>
      </c>
      <c r="AH289" s="73" t="n">
        <v>-33.59</v>
      </c>
      <c r="AI289" s="73" t="n">
        <v>-20.83</v>
      </c>
      <c r="AJ289" s="73" t="n">
        <v>32.91</v>
      </c>
      <c r="AK289" s="73" t="n">
        <v>-1.5</v>
      </c>
      <c r="AL289" s="73" t="n">
        <v>5.72</v>
      </c>
      <c r="AM289" s="73" t="n">
        <v>-33.37</v>
      </c>
      <c r="AN289" s="73" t="n">
        <v>-0.44</v>
      </c>
      <c r="AO289" s="73" t="n">
        <v>-0.22</v>
      </c>
      <c r="AP289" s="63" t="inlineStr">
        <is>
          <t>HSTECH (Hang Seng TECH ETF)</t>
        </is>
      </c>
      <c r="AQ289" s="73" t="n">
        <v>-56.23</v>
      </c>
      <c r="AR289" s="64" t="inlineStr">
        <is>
          <t>2026-08-20</t>
        </is>
      </c>
      <c r="AS289" s="65" t="n">
        <v>2043.8</v>
      </c>
      <c r="AT289" s="68" t="n">
        <v>79.2</v>
      </c>
      <c r="AU289" s="63" t="inlineStr">
        <is>
          <t>Y</t>
        </is>
      </c>
      <c r="AV289" s="74" t="n">
        <v>24.5</v>
      </c>
      <c r="AW289" s="74" t="n">
        <v>30.8</v>
      </c>
      <c r="AX289" s="74" t="n">
        <v>11.1</v>
      </c>
      <c r="AY289" s="74" t="n">
        <v>0.9</v>
      </c>
      <c r="AZ289" s="75" t="inlineStr">
        <is>
          <t>N</t>
        </is>
      </c>
      <c r="BA289" s="76">
        <f>IF('BBG Verify'!K289="","not filed — run on terminal",'BBG Verify'!K289)</f>
        <v/>
      </c>
      <c r="BB289" s="63" t="inlineStr">
        <is>
          <t>N/A</t>
        </is>
      </c>
      <c r="BC289" s="63" t="inlineStr">
        <is>
          <t>N/A</t>
        </is>
      </c>
      <c r="BD289" s="63" t="inlineStr">
        <is>
          <t>N/A</t>
        </is>
      </c>
      <c r="BE289" s="63" t="inlineStr">
        <is>
          <t>N/A</t>
        </is>
      </c>
      <c r="BF289" s="63" t="inlineStr">
        <is>
          <t>N/A</t>
        </is>
      </c>
      <c r="BG289" s="75" t="inlineStr">
        <is>
          <t>CITIC Securities (Hong Kong) Limited</t>
        </is>
      </c>
      <c r="BH289" s="63" t="inlineStr">
        <is>
          <t>CITIC Securities (Hong Kong) Limited</t>
        </is>
      </c>
      <c r="BI289" s="63"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7">
        <f>HYPERLINK("https://www1.hkexnews.hk/listedco/listconews/sehk/2024/1031/2024103100078.htm","prospectus")</f>
        <v/>
      </c>
      <c r="BL289" s="77">
        <f>HYPERLINK("https://www1.hkexnews.hk/listedco/listconews/sehk/2024/1107/2024110701242.pdf","allotment")</f>
        <v/>
      </c>
      <c r="BM289" s="63" t="n"/>
      <c r="BN289" s="75" t="n"/>
      <c r="BO289" s="63"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c r="L290" s="66" t="n">
        <v>73</v>
      </c>
      <c r="M290" s="66" t="n">
        <v>65</v>
      </c>
      <c r="N290" s="63" t="inlineStr">
        <is>
          <t>N</t>
        </is>
      </c>
      <c r="O290" s="67" t="n">
        <v>89</v>
      </c>
      <c r="P290" s="67" t="n"/>
      <c r="Q290" s="68" t="n">
        <v>6806.2</v>
      </c>
      <c r="R290" s="63" t="inlineStr">
        <is>
          <t>derived:price x shares upon listing</t>
        </is>
      </c>
      <c r="S290" s="69" t="n">
        <v>21.07</v>
      </c>
      <c r="T290" s="70" t="n">
        <v>0.99</v>
      </c>
      <c r="U290" s="71" t="n">
        <v>80.8</v>
      </c>
      <c r="V290" s="67" t="n">
        <v>1.1</v>
      </c>
      <c r="W290" s="63" t="inlineStr">
        <is>
          <t>HongKong Frontier Tanzhonghe Limited; Yue Chuang New Energy HK Limited</t>
        </is>
      </c>
      <c r="X290" s="63" t="inlineStr">
        <is>
          <t>hongkong;yue</t>
        </is>
      </c>
      <c r="Y290" s="67" t="n"/>
      <c r="Z290" s="63" t="n"/>
      <c r="AA290" s="72" t="n">
        <v>20</v>
      </c>
      <c r="AB290" s="73" t="n">
        <v>26.62</v>
      </c>
      <c r="AC290" s="73" t="n">
        <v>-5.23</v>
      </c>
      <c r="AD290" s="73" t="n">
        <v>48.54</v>
      </c>
      <c r="AE290" s="73" t="n">
        <v>69.84999999999999</v>
      </c>
      <c r="AF290" s="73" t="n">
        <v>132.15</v>
      </c>
      <c r="AG290" s="73" t="n">
        <v>23.78</v>
      </c>
      <c r="AH290" s="73" t="n">
        <v>41.54</v>
      </c>
      <c r="AI290" s="73" t="n">
        <v>93.45999999999999</v>
      </c>
      <c r="AJ290" s="73" t="n">
        <v>49.64</v>
      </c>
      <c r="AK290" s="73" t="n">
        <v>68.18000000000001</v>
      </c>
      <c r="AL290" s="73" t="n">
        <v>111.97</v>
      </c>
      <c r="AM290" s="73" t="n">
        <v>39.99</v>
      </c>
      <c r="AN290" s="73" t="n">
        <v>1.67</v>
      </c>
      <c r="AO290" s="73" t="n">
        <v>1.55</v>
      </c>
      <c r="AP290" s="63" t="inlineStr">
        <is>
          <t>Hang Seng Commerce &amp; Industry sub-index</t>
        </is>
      </c>
      <c r="AQ290" s="73" t="n">
        <v>-85.68000000000001</v>
      </c>
      <c r="AR290" s="64" t="inlineStr">
        <is>
          <t>2026-08-20</t>
        </is>
      </c>
      <c r="AS290" s="65" t="n">
        <v>574.7</v>
      </c>
      <c r="AT290" s="68" t="n">
        <v>-82.5</v>
      </c>
      <c r="AU290" s="63" t="inlineStr">
        <is>
          <t>N</t>
        </is>
      </c>
      <c r="AV290" s="63" t="inlineStr">
        <is>
          <t>n/m</t>
        </is>
      </c>
      <c r="AW290" s="74" t="n"/>
      <c r="AX290" s="74" t="n"/>
      <c r="AY290" s="74" t="n">
        <v>11.8</v>
      </c>
      <c r="AZ290" s="75" t="inlineStr">
        <is>
          <t>N</t>
        </is>
      </c>
      <c r="BA290" s="76">
        <f>IF('BBG Verify'!K290="","not filed — run on terminal",'BBG Verify'!K290)</f>
        <v/>
      </c>
      <c r="BB290" s="63" t="inlineStr">
        <is>
          <t>N/A</t>
        </is>
      </c>
      <c r="BC290" s="63" t="inlineStr">
        <is>
          <t>N/A</t>
        </is>
      </c>
      <c r="BD290" s="63" t="inlineStr">
        <is>
          <t>N/A</t>
        </is>
      </c>
      <c r="BE290" s="63" t="inlineStr">
        <is>
          <t>N/A</t>
        </is>
      </c>
      <c r="BF290" s="63" t="inlineStr">
        <is>
          <t>N/A</t>
        </is>
      </c>
      <c r="BG290" s="75" t="inlineStr">
        <is>
          <t>Haitong International Capital Limited; Central, Hong Kong CITIC Securities (Hong Kong) Limited</t>
        </is>
      </c>
      <c r="BH290" s="63" t="inlineStr">
        <is>
          <t>Haitong International Capital Limited; CITIC Securities (Hong Kong) Limited</t>
        </is>
      </c>
      <c r="BI290" s="63"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7">
        <f>HYPERLINK("https://www1.hkexnews.hk/listedco/listconews/sehk/2024/1107/2024110700009.pdf","prospectus")</f>
        <v/>
      </c>
      <c r="BL290" s="77">
        <f>HYPERLINK("https://www1.hkexnews.hk/listedco/listconews/sehk/2024/1114/2024111400951.pdf","allotment")</f>
        <v/>
      </c>
      <c r="BM290" s="63" t="n"/>
      <c r="BN290" s="75" t="n"/>
      <c r="BO29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7" t="n">
        <v>2.83</v>
      </c>
      <c r="W291" s="63" t="inlineStr">
        <is>
          <t>CPIC; Wisdomshire AM; Norges Bank</t>
        </is>
      </c>
      <c r="X291" s="63" t="inlineStr">
        <is>
          <t>cpic;wisdomshire;norges</t>
        </is>
      </c>
      <c r="Y291" s="67" t="n">
        <v>15</v>
      </c>
      <c r="Z291" s="63" t="inlineStr">
        <is>
          <t>lapsed</t>
        </is>
      </c>
      <c r="AA291" s="72" t="n">
        <v>0</v>
      </c>
      <c r="AB291" s="73" t="n">
        <v>0</v>
      </c>
      <c r="AC291" s="73" t="n">
        <v>0</v>
      </c>
      <c r="AD291" s="73" t="n">
        <v>-4.96</v>
      </c>
      <c r="AE291" s="73" t="n">
        <v>-1.31</v>
      </c>
      <c r="AF291" s="73" t="n">
        <v>10.93</v>
      </c>
      <c r="AG291" s="73" t="n">
        <v>-4.96</v>
      </c>
      <c r="AH291" s="73" t="n">
        <v>-1.31</v>
      </c>
      <c r="AI291" s="73" t="n">
        <v>10.93</v>
      </c>
      <c r="AJ291" s="73" t="n">
        <v>-8.140000000000001</v>
      </c>
      <c r="AK291" s="73" t="n">
        <v>-5.57</v>
      </c>
      <c r="AL291" s="73" t="n">
        <v>-12.2</v>
      </c>
      <c r="AM291" s="73" t="n">
        <v>-2.59</v>
      </c>
      <c r="AN291" s="73" t="n">
        <v>4.26</v>
      </c>
      <c r="AO291" s="73" t="n">
        <v>1.28</v>
      </c>
      <c r="AP291" s="63" t="inlineStr">
        <is>
          <t>Hang Seng Commerce &amp; Industry sub-index</t>
        </is>
      </c>
      <c r="AQ291" s="73" t="n">
        <v>-4.84</v>
      </c>
      <c r="AR291" s="64" t="inlineStr">
        <is>
          <t>2026-08-20</t>
        </is>
      </c>
      <c r="AS291" s="65" t="n">
        <v>284250.3</v>
      </c>
      <c r="AT291" s="68" t="n">
        <v>8702.799999999999</v>
      </c>
      <c r="AU291" s="63" t="inlineStr">
        <is>
          <t>Y</t>
        </is>
      </c>
      <c r="AV291" s="74" t="n">
        <v>17.2</v>
      </c>
      <c r="AW291" s="74" t="n">
        <v>16.1</v>
      </c>
      <c r="AX291" s="74" t="n">
        <v>12.1</v>
      </c>
      <c r="AY291" s="74" t="n">
        <v>0.5</v>
      </c>
      <c r="AZ291" s="75" t="inlineStr">
        <is>
          <t>Y</t>
        </is>
      </c>
      <c r="BA291" s="63" t="inlineStr">
        <is>
          <t>002352.SZ</t>
        </is>
      </c>
      <c r="BB291" s="73" t="n">
        <v>31.72</v>
      </c>
      <c r="BC291" s="66" t="n">
        <v>45.1814</v>
      </c>
      <c r="BD291" s="80" t="n">
        <v>0.1823</v>
      </c>
      <c r="BE291" s="78">
        <f>IF('BBG Verify'!Q291="","run on terminal",'BBG Verify'!Q291)</f>
        <v/>
      </c>
      <c r="BF291" s="78">
        <f>IF('BBG Verify'!R291="","run on terminal",'BBG Verify'!R291)</f>
        <v/>
      </c>
      <c r="BG291" s="75" t="inlineStr">
        <is>
          <t>Goldman Sachs (Asia) L.L.C; Huatai Financial Holdings (Hong Kong) Limited; J.P. Morgan Securities (Far East) Limited</t>
        </is>
      </c>
      <c r="BH291" s="63" t="inlineStr">
        <is>
          <t>J.P. Morgan Securities (Far East) Limited; Goldman Sachs (Asia) L.L.C.; Huatai Financial Holdings (Hong Kong) Limited</t>
        </is>
      </c>
      <c r="BI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7">
        <f>HYPERLINK("https://www1.hkexnews.hk/listedco/listconews/sehk/2024/1119/2024111900011.pdf","prospectus")</f>
        <v/>
      </c>
      <c r="BL291" s="77">
        <f>HYPERLINK("https://www1.hkexnews.hk/listedco/listconews/sehk/2024/1126/2024112601132.pdf","allotment")</f>
        <v/>
      </c>
      <c r="BM291" s="77">
        <f>HYPERLINK("https://www1.hkexnews.hk/listedco/listconews/sehk/2024/1223/2024122300065.pdf","stabilisation")</f>
        <v/>
      </c>
      <c r="BN291" s="75" t="n"/>
      <c r="BO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7" t="n">
        <v>9.31</v>
      </c>
      <c r="W292" s="63" t="inlineStr">
        <is>
          <t>Heda Jinyuan (HK); Fosun Industrial; Hong Kong King-Friend Industrial; Alibaba Health (Hong Kong) Technology; Jointown International Group Company Limited; Mr. Wu Qiyuan; Delta Capital Hong Kong</t>
        </is>
      </c>
      <c r="X292" s="63" t="inlineStr">
        <is>
          <t>heda;fosun;king;alibaba;jointown;mr-wu;delta</t>
        </is>
      </c>
      <c r="Y292" s="67" t="n">
        <v>17.16</v>
      </c>
      <c r="Z292" s="63" t="n"/>
      <c r="AA292" s="72" t="n">
        <v>-38.41</v>
      </c>
      <c r="AB292" s="73" t="n">
        <v>-39.61</v>
      </c>
      <c r="AC292" s="73" t="n">
        <v>1.99</v>
      </c>
      <c r="AD292" s="73" t="n">
        <v>-35.35</v>
      </c>
      <c r="AE292" s="73" t="n">
        <v>-46.86</v>
      </c>
      <c r="AF292" s="73" t="n">
        <v>-47.42</v>
      </c>
      <c r="AG292" s="73" t="n">
        <v>4.97</v>
      </c>
      <c r="AH292" s="73" t="n">
        <v>-13.72</v>
      </c>
      <c r="AI292" s="73" t="n">
        <v>-14.63</v>
      </c>
      <c r="AJ292" s="73" t="n">
        <v>-34.84</v>
      </c>
      <c r="AK292" s="73" t="n">
        <v>-43.8</v>
      </c>
      <c r="AL292" s="73" t="n">
        <v>-54.93</v>
      </c>
      <c r="AM292" s="73" t="n">
        <v>-11.73</v>
      </c>
      <c r="AN292" s="73" t="n">
        <v>-3.06</v>
      </c>
      <c r="AO292" s="73" t="n">
        <v>-1.99</v>
      </c>
      <c r="AP292" s="63" t="inlineStr">
        <is>
          <t>China Biotech ETF (HS biotech proxy)</t>
        </is>
      </c>
      <c r="AQ292" s="73" t="n">
        <v>-59.02</v>
      </c>
      <c r="AR292" s="64" t="inlineStr">
        <is>
          <t>2026-08-20</t>
        </is>
      </c>
      <c r="AS292" s="65" t="n">
        <v>1416.1</v>
      </c>
      <c r="AT292" s="68" t="n">
        <v>131.8</v>
      </c>
      <c r="AU292" s="63" t="inlineStr">
        <is>
          <t>Y</t>
        </is>
      </c>
      <c r="AV292" s="74" t="n">
        <v>23.1</v>
      </c>
      <c r="AW292" s="74" t="n"/>
      <c r="AX292" s="74" t="n">
        <v>8.1</v>
      </c>
      <c r="AY292" s="74" t="n">
        <v>2.2</v>
      </c>
      <c r="AZ292" s="75" t="inlineStr">
        <is>
          <t>N</t>
        </is>
      </c>
      <c r="BA292" s="76">
        <f>IF('BBG Verify'!K292="","not filed — run on terminal",'BBG Verify'!K292)</f>
        <v/>
      </c>
      <c r="BB292" s="63" t="inlineStr">
        <is>
          <t>N/A</t>
        </is>
      </c>
      <c r="BC292" s="63" t="inlineStr">
        <is>
          <t>N/A</t>
        </is>
      </c>
      <c r="BD292" s="63" t="inlineStr">
        <is>
          <t>N/A</t>
        </is>
      </c>
      <c r="BE292" s="63" t="inlineStr">
        <is>
          <t>N/A</t>
        </is>
      </c>
      <c r="BF292" s="63" t="inlineStr">
        <is>
          <t>N/A</t>
        </is>
      </c>
      <c r="BG292" s="75" t="inlineStr">
        <is>
          <t>Huatai Financial Holdings (Hong Kong) Limited</t>
        </is>
      </c>
      <c r="BH292" s="63" t="inlineStr">
        <is>
          <t>Huatai Financial Holdings (Hong Kong) Limited</t>
        </is>
      </c>
      <c r="BI292" s="63" t="inlineStr">
        <is>
          <t>Huatai Financial Holdings (Hong Kong) Limited; Central, Hong Kong CLSA Limited</t>
        </is>
      </c>
      <c r="BJ292" s="63" t="inlineStr">
        <is>
          <t>CLSA Limited; CMB International Capital Limited; Huatai Financial Holdings (Hong Kong) Limited; Patrons Securities Limited; Ruibang Securities Limited</t>
        </is>
      </c>
      <c r="BK292" s="77">
        <f>HYPERLINK("https://www1.hkexnews.hk/listedco/listconews/sehk/2024/1120/2024112000019.pdf","prospectus")</f>
        <v/>
      </c>
      <c r="BL292" s="77">
        <f>HYPERLINK("https://www1.hkexnews.hk/listedco/listconews/sehk/2024/1127/2024112701177.pdf","allotment")</f>
        <v/>
      </c>
      <c r="BM292" s="63" t="n"/>
      <c r="BN292" s="75" t="n"/>
      <c r="BO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7" t="n">
        <v>9.699999999999999</v>
      </c>
      <c r="W293" s="63" t="inlineStr">
        <is>
          <t>Swift Grace</t>
        </is>
      </c>
      <c r="X293" s="63" t="inlineStr">
        <is>
          <t>swift</t>
        </is>
      </c>
      <c r="Y293" s="67" t="n">
        <v>5.64</v>
      </c>
      <c r="Z293" s="63" t="n"/>
      <c r="AA293" s="72" t="n">
        <v>7.5</v>
      </c>
      <c r="AB293" s="73" t="n">
        <v>4.17</v>
      </c>
      <c r="AC293" s="73" t="n">
        <v>3.2</v>
      </c>
      <c r="AD293" s="73" t="n">
        <v>-3.33</v>
      </c>
      <c r="AE293" s="73" t="n">
        <v>13.5</v>
      </c>
      <c r="AF293" s="73" t="n">
        <v>48.67</v>
      </c>
      <c r="AG293" s="73" t="n">
        <v>-10.07</v>
      </c>
      <c r="AH293" s="73" t="n">
        <v>5.58</v>
      </c>
      <c r="AI293" s="73" t="n">
        <v>38.3</v>
      </c>
      <c r="AJ293" s="73" t="n">
        <v>-5.69</v>
      </c>
      <c r="AK293" s="73" t="n">
        <v>12.42</v>
      </c>
      <c r="AL293" s="73" t="n">
        <v>17.28</v>
      </c>
      <c r="AM293" s="73" t="n">
        <v>4.8</v>
      </c>
      <c r="AN293" s="73" t="n">
        <v>1.08</v>
      </c>
      <c r="AO293" s="73" t="n">
        <v>0.78</v>
      </c>
      <c r="AP293" s="63" t="inlineStr">
        <is>
          <t>Hang Seng Commerce &amp; Industry sub-index</t>
        </is>
      </c>
      <c r="AQ293" s="73" t="n">
        <v>148.17</v>
      </c>
      <c r="AR293" s="64" t="inlineStr">
        <is>
          <t>2026-08-20</t>
        </is>
      </c>
      <c r="AS293" s="65" t="n">
        <v>22229.5</v>
      </c>
      <c r="AT293" s="68" t="n">
        <v>256.8</v>
      </c>
      <c r="AU293" s="63" t="inlineStr">
        <is>
          <t>Y</t>
        </is>
      </c>
      <c r="AV293" s="74" t="n">
        <v>12.8</v>
      </c>
      <c r="AW293" s="74" t="n">
        <v>15.8</v>
      </c>
      <c r="AX293" s="74" t="n">
        <v>65.7</v>
      </c>
      <c r="AY293" s="74" t="n">
        <v>0.1</v>
      </c>
      <c r="AZ293" s="75" t="inlineStr">
        <is>
          <t>N</t>
        </is>
      </c>
      <c r="BA293" s="76">
        <f>IF('BBG Verify'!K293="","not filed — run on terminal",'BBG Verify'!K293)</f>
        <v/>
      </c>
      <c r="BB293" s="63" t="inlineStr">
        <is>
          <t>N/A</t>
        </is>
      </c>
      <c r="BC293" s="63" t="inlineStr">
        <is>
          <t>N/A</t>
        </is>
      </c>
      <c r="BD293" s="63" t="inlineStr">
        <is>
          <t>N/A</t>
        </is>
      </c>
      <c r="BE293" s="63" t="inlineStr">
        <is>
          <t>N/A</t>
        </is>
      </c>
      <c r="BF293" s="63" t="inlineStr">
        <is>
          <t>N/A</t>
        </is>
      </c>
      <c r="BG293" s="75" t="inlineStr">
        <is>
          <t>CITIC Securities (Hong Kong) Limited</t>
        </is>
      </c>
      <c r="BH293" s="63" t="inlineStr">
        <is>
          <t>CITIC Securities (Hong Kong) Limited</t>
        </is>
      </c>
      <c r="BI293" s="63" t="inlineStr">
        <is>
          <t>CLSA Limited; ABCI Capital Limited; China Everbright Securities (HK) Limited; Futu Securities International (Hong Kong) Limited; ICBC International Securities Limited; TradeGo Markets Limited</t>
        </is>
      </c>
      <c r="BJ293" s="63" t="inlineStr">
        <is>
          <t>ABCI Securities Company Limited; China Everbright Securities (HK) Limited; CLSA Limited; Futu Securities International (Hong Kong) Limited; ICBC International Securities Limited; TradeGo Markets Limited</t>
        </is>
      </c>
      <c r="BK293" s="77">
        <f>HYPERLINK("https://www1.hkexnews.hk/listedco/listconews/sehk/2024/1121/2024112100017.pdf","prospectus")</f>
        <v/>
      </c>
      <c r="BL293" s="77">
        <f>HYPERLINK("https://www1.hkexnews.hk/listedco/listconews/sehk/2024/1128/2024112801779.pdf","allotment")</f>
        <v/>
      </c>
      <c r="BM293" s="63" t="n"/>
      <c r="BN293" s="75" t="n"/>
      <c r="BO293" s="63" t="inlineStr">
        <is>
          <t>greenshoe: end-of-stabilisation notice not located · A/H: no A-share listing</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7" t="n">
        <v>1.77</v>
      </c>
      <c r="W294" s="63" t="inlineStr">
        <is>
          <t>DFI Development Holdings Limited; CAPRET (SG) PTE. LTD; Celestial Limited; Odor Nice Limited</t>
        </is>
      </c>
      <c r="X294" s="63" t="inlineStr">
        <is>
          <t>dfi;capret;celestial;odor</t>
        </is>
      </c>
      <c r="Y294" s="67" t="n">
        <v>10</v>
      </c>
      <c r="Z294" s="63" t="inlineStr">
        <is>
          <t>lapsed (no over-allocation)</t>
        </is>
      </c>
      <c r="AA294" s="72" t="n">
        <v>-54.32</v>
      </c>
      <c r="AB294" s="73" t="n">
        <v>-28.17</v>
      </c>
      <c r="AC294" s="73" t="n">
        <v>-36.41</v>
      </c>
      <c r="AD294" s="73" t="n">
        <v>-79.18000000000001</v>
      </c>
      <c r="AE294" s="73" t="n">
        <v>-80.17</v>
      </c>
      <c r="AF294" s="73" t="n">
        <v>-56.97</v>
      </c>
      <c r="AG294" s="73" t="n">
        <v>-54.42</v>
      </c>
      <c r="AH294" s="73" t="n">
        <v>-56.59</v>
      </c>
      <c r="AI294" s="73" t="n">
        <v>-5.8</v>
      </c>
      <c r="AJ294" s="73" t="n">
        <v>-81.37</v>
      </c>
      <c r="AK294" s="73" t="n">
        <v>-78.68000000000001</v>
      </c>
      <c r="AL294" s="73" t="n">
        <v>-88.04000000000001</v>
      </c>
      <c r="AM294" s="73" t="n">
        <v>-52.99</v>
      </c>
      <c r="AN294" s="73" t="n">
        <v>-1.49</v>
      </c>
      <c r="AO294" s="73" t="n">
        <v>-3.6</v>
      </c>
      <c r="AP294" s="63" t="inlineStr">
        <is>
          <t>HSTECH (Hang Seng TECH ETF)</t>
        </is>
      </c>
      <c r="AQ294" s="73" t="n">
        <v>-84.64</v>
      </c>
      <c r="AR294" s="64" t="inlineStr">
        <is>
          <t>2026-08-20</t>
        </is>
      </c>
      <c r="AS294" s="65" t="n">
        <v>1743.9</v>
      </c>
      <c r="AT294" s="68" t="n">
        <v>-924.6</v>
      </c>
      <c r="AU294" s="63" t="inlineStr">
        <is>
          <t>N</t>
        </is>
      </c>
      <c r="AV294" s="63" t="inlineStr">
        <is>
          <t>n/m</t>
        </is>
      </c>
      <c r="AW294" s="74" t="n"/>
      <c r="AX294" s="74" t="n">
        <v>24.2</v>
      </c>
      <c r="AY294" s="74" t="n">
        <v>15.4</v>
      </c>
      <c r="AZ294" s="75" t="inlineStr">
        <is>
          <t>N</t>
        </is>
      </c>
      <c r="BA294" s="76">
        <f>IF('BBG Verify'!K294="","not filed — run on terminal",'BBG Verify'!K294)</f>
        <v/>
      </c>
      <c r="BB294" s="63" t="inlineStr">
        <is>
          <t>N/A</t>
        </is>
      </c>
      <c r="BC294" s="63" t="inlineStr">
        <is>
          <t>N/A</t>
        </is>
      </c>
      <c r="BD294" s="63" t="inlineStr">
        <is>
          <t>N/A</t>
        </is>
      </c>
      <c r="BE294" s="63" t="inlineStr">
        <is>
          <t>N/A</t>
        </is>
      </c>
      <c r="BF294" s="63" t="inlineStr">
        <is>
          <t>N/A</t>
        </is>
      </c>
      <c r="BG294" s="75" t="inlineStr">
        <is>
          <t>UBS Securities Hong Kong Limited; Central, Hong Kong CMB International Capital Limited; Central, Hong Kong China Merchants Securities (HK) Co., Limited</t>
        </is>
      </c>
      <c r="BH294" s="63" t="inlineStr">
        <is>
          <t>UBS Securities Hong Kong Limited; CMB International Capital Limited; China Merchants Securities (HK) Company Limited</t>
        </is>
      </c>
      <c r="BI294" s="63"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7">
        <f>HYPERLINK("https://www1.hkexnews.hk/listedco/listconews/sehk/2024/1128/2024112800056.htm","prospectus")</f>
        <v/>
      </c>
      <c r="BL294" s="77">
        <f>HYPERLINK("https://www1.hkexnews.hk/listedco/listconews/sehk/2024/1205/2024120501922.pdf","allotment")</f>
        <v/>
      </c>
      <c r="BM294" s="77">
        <f>HYPERLINK("https://www1.hkexnews.hk/listedco/listconews/sehk/2025/0102/2025010202824.pdf","stabilisation")</f>
        <v/>
      </c>
      <c r="BN294" s="75" t="n"/>
      <c r="BO294" s="63" t="inlineStr">
        <is>
          <t>P/E: n/m — loss-making at IPO (use P/S) · price range: fixed-price offering (no indicative range) · range low: cap-only pricing — the filing publishes a Maximum Offer Price and no indicative floor · A/H: no A-share listing</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7" t="n">
        <v>6.39</v>
      </c>
      <c r="W295" s="63" t="n"/>
      <c r="X295" s="63" t="n"/>
      <c r="Y295" s="67" t="n">
        <v>10</v>
      </c>
      <c r="Z295" s="63" t="inlineStr">
        <is>
          <t>partial</t>
        </is>
      </c>
      <c r="AA295" s="72" t="n">
        <v>0.07000000000000001</v>
      </c>
      <c r="AB295" s="73" t="n">
        <v>1.29</v>
      </c>
      <c r="AC295" s="73" t="n">
        <v>-1.2</v>
      </c>
      <c r="AD295" s="73" t="n">
        <v>11.02</v>
      </c>
      <c r="AE295" s="73" t="n">
        <v>30.82</v>
      </c>
      <c r="AF295" s="73" t="n">
        <v>68.98</v>
      </c>
      <c r="AG295" s="73" t="n">
        <v>10.94</v>
      </c>
      <c r="AH295" s="73" t="n">
        <v>30.73</v>
      </c>
      <c r="AI295" s="73" t="n">
        <v>68.86</v>
      </c>
      <c r="AJ295" s="73" t="n">
        <v>8.470000000000001</v>
      </c>
      <c r="AK295" s="73" t="n">
        <v>32.7</v>
      </c>
      <c r="AL295" s="73" t="n">
        <v>44.13</v>
      </c>
      <c r="AM295" s="73" t="n">
        <v>34.25</v>
      </c>
      <c r="AN295" s="73" t="n">
        <v>-1.88</v>
      </c>
      <c r="AO295" s="73" t="n">
        <v>-3.52</v>
      </c>
      <c r="AP295" s="63" t="inlineStr">
        <is>
          <t>Hang Seng Commerce &amp; Industry sub-index</t>
        </is>
      </c>
      <c r="AQ295" s="73" t="n">
        <v>-89.09999999999999</v>
      </c>
      <c r="AR295" s="64" t="inlineStr">
        <is>
          <t>2026-08-20</t>
        </is>
      </c>
      <c r="AS295" s="65" t="n">
        <v>984.8</v>
      </c>
      <c r="AT295" s="68" t="n">
        <v>-582.4</v>
      </c>
      <c r="AU295" s="63" t="inlineStr">
        <is>
          <t>N</t>
        </is>
      </c>
      <c r="AV295" s="63" t="inlineStr">
        <is>
          <t>n/m</t>
        </is>
      </c>
      <c r="AW295" s="74" t="n"/>
      <c r="AX295" s="74" t="n"/>
      <c r="AY295" s="74" t="n">
        <v>11.3</v>
      </c>
      <c r="AZ295" s="75" t="inlineStr">
        <is>
          <t>N</t>
        </is>
      </c>
      <c r="BA295" s="76">
        <f>IF('BBG Verify'!K295="","not filed — run on terminal",'BBG Verify'!K295)</f>
        <v/>
      </c>
      <c r="BB295" s="63" t="inlineStr">
        <is>
          <t>N/A</t>
        </is>
      </c>
      <c r="BC295" s="63" t="inlineStr">
        <is>
          <t>N/A</t>
        </is>
      </c>
      <c r="BD295" s="63" t="inlineStr">
        <is>
          <t>N/A</t>
        </is>
      </c>
      <c r="BE295" s="63" t="inlineStr">
        <is>
          <t>N/A</t>
        </is>
      </c>
      <c r="BF295" s="63" t="inlineStr">
        <is>
          <t>N/A</t>
        </is>
      </c>
      <c r="BG295" s="75" t="n"/>
      <c r="BH295" s="63" t="inlineStr">
        <is>
          <t>China International Capital Corporation Hong Kong Securities Limited</t>
        </is>
      </c>
      <c r="BI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7">
        <f>HYPERLINK("https://www1.hkexnews.hk/listedco/listconews/sehk/2024/1128/2024112800011.pdf","prospectus")</f>
        <v/>
      </c>
      <c r="BL295" s="77">
        <f>HYPERLINK("https://www1.hkexnews.hk/listedco/listconews/sehk/2024/1205/2024120501926.pdf","allotment")</f>
        <v/>
      </c>
      <c r="BM295" s="77">
        <f>HYPERLINK("https://www1.hkexnews.hk/listedco/listconews/sehk/2025/0102/2025010203561.pdf","stabilisation")</f>
        <v/>
      </c>
      <c r="BN295" s="75" t="n"/>
      <c r="BO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13853.1</v>
      </c>
      <c r="R296" s="63" t="inlineStr">
        <is>
          <t>derived:deal size / offer % of enlarged capital</t>
        </is>
      </c>
      <c r="S296" s="69" t="n">
        <v>919.1799999999999</v>
      </c>
      <c r="T296" s="70" t="n">
        <v>30.34</v>
      </c>
      <c r="U296" s="71" t="n">
        <v>33.3</v>
      </c>
      <c r="V296" s="67" t="n">
        <v>11.25</v>
      </c>
      <c r="W296" s="63" t="inlineStr">
        <is>
          <t>CPE Investment; Seraphim Advantage Inc; IvyRock; Fund LP and China Core Fund; Mega Prime</t>
        </is>
      </c>
      <c r="X296" s="63" t="inlineStr">
        <is>
          <t>cpe;seraphim;ivyrock;core;mega</t>
        </is>
      </c>
      <c r="Y296" s="67" t="n">
        <v>15</v>
      </c>
      <c r="Z296" s="63" t="n"/>
      <c r="AA296" s="72" t="n">
        <v>76.51000000000001</v>
      </c>
      <c r="AB296" s="73" t="n">
        <v>59.9</v>
      </c>
      <c r="AC296" s="73" t="n">
        <v>10.39</v>
      </c>
      <c r="AD296" s="73" t="n">
        <v>96.31</v>
      </c>
      <c r="AE296" s="73" t="n">
        <v>97.98999999999999</v>
      </c>
      <c r="AF296" s="73" t="n">
        <v>270.47</v>
      </c>
      <c r="AG296" s="73" t="n">
        <v>11.22</v>
      </c>
      <c r="AH296" s="73" t="n">
        <v>12.17</v>
      </c>
      <c r="AI296" s="73" t="n">
        <v>109.89</v>
      </c>
      <c r="AJ296" s="73" t="n">
        <v>100.54</v>
      </c>
      <c r="AK296" s="73" t="n">
        <v>106.68</v>
      </c>
      <c r="AL296" s="73" t="n">
        <v>247.76</v>
      </c>
      <c r="AM296" s="73" t="n">
        <v>20.14</v>
      </c>
      <c r="AN296" s="73" t="n">
        <v>-8.69</v>
      </c>
      <c r="AO296" s="73" t="n">
        <v>-7.97</v>
      </c>
      <c r="AP296" s="63" t="inlineStr">
        <is>
          <t>Hang Seng Commerce &amp; Industry sub-index</t>
        </is>
      </c>
      <c r="AQ296" s="73" t="n">
        <v>69.63</v>
      </c>
      <c r="AR296" s="64" t="inlineStr">
        <is>
          <t>2026-08-20</t>
        </is>
      </c>
      <c r="AS296" s="65" t="n">
        <v>3174.6</v>
      </c>
      <c r="AT296" s="68" t="n">
        <v>729.8</v>
      </c>
      <c r="AU296" s="63" t="inlineStr">
        <is>
          <t>Y</t>
        </is>
      </c>
      <c r="AV296" s="74" t="n">
        <v>19</v>
      </c>
      <c r="AW296" s="74" t="n">
        <v>12.2</v>
      </c>
      <c r="AX296" s="74" t="n">
        <v>17.7</v>
      </c>
      <c r="AY296" s="74" t="n">
        <v>4.4</v>
      </c>
      <c r="AZ296" s="75" t="inlineStr">
        <is>
          <t>N</t>
        </is>
      </c>
      <c r="BA296" s="76">
        <f>IF('BBG Verify'!K296="","not filed — run on terminal",'BBG Verify'!K296)</f>
        <v/>
      </c>
      <c r="BB296" s="63" t="inlineStr">
        <is>
          <t>N/A</t>
        </is>
      </c>
      <c r="BC296" s="63" t="inlineStr">
        <is>
          <t>N/A</t>
        </is>
      </c>
      <c r="BD296" s="63" t="inlineStr">
        <is>
          <t>N/A</t>
        </is>
      </c>
      <c r="BE296" s="63" t="inlineStr">
        <is>
          <t>N/A</t>
        </is>
      </c>
      <c r="BF296" s="63" t="inlineStr">
        <is>
          <t>N/A</t>
        </is>
      </c>
      <c r="BG296" s="75" t="inlineStr">
        <is>
          <t>China International Capital Corporation Hong Kong Securities Limited</t>
        </is>
      </c>
      <c r="BH296" s="63" t="inlineStr">
        <is>
          <t>China International Capital Corporation Hong Kong Securities Limited</t>
        </is>
      </c>
      <c r="BI296" s="63"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7">
        <f>HYPERLINK("https://www1.hkexnews.hk/listedco/listconews/sehk/2024/1202/2024120200011.pdf","prospectus")</f>
        <v/>
      </c>
      <c r="BL296" s="77">
        <f>HYPERLINK("https://www1.hkexnews.hk/listedco/listconews/sehk/2024/1209/2024120901607.pdf","allotment")</f>
        <v/>
      </c>
      <c r="BM296" s="63" t="n"/>
      <c r="BN296" s="75" t="n"/>
      <c r="BO296" s="63" t="inlineStr">
        <is>
          <t>greenshoe: end-of-stabilisation notice not located · range low: cap-only pricing — the filing publishes a Maximum Offer Price and no indicative floor · A/H: no A-share listing</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7" t="n">
        <v>19.4</v>
      </c>
      <c r="W297" s="63" t="inlineStr">
        <is>
          <t>Vital Message</t>
        </is>
      </c>
      <c r="X297" s="63" t="inlineStr">
        <is>
          <t>vital</t>
        </is>
      </c>
      <c r="Y297" s="67" t="n"/>
      <c r="Z297" s="63" t="n"/>
      <c r="AA297" s="72" t="n">
        <v>10.4</v>
      </c>
      <c r="AB297" s="73" t="n">
        <v>25.07</v>
      </c>
      <c r="AC297" s="73" t="n">
        <v>-11.73</v>
      </c>
      <c r="AD297" s="73" t="n">
        <v>-24.27</v>
      </c>
      <c r="AE297" s="73" t="n">
        <v>-45.07</v>
      </c>
      <c r="AF297" s="73" t="n">
        <v>-54.93</v>
      </c>
      <c r="AG297" s="73" t="n">
        <v>-31.4</v>
      </c>
      <c r="AH297" s="73" t="n">
        <v>-50.24</v>
      </c>
      <c r="AI297" s="73" t="n">
        <v>-59.18</v>
      </c>
      <c r="AJ297" s="73" t="n">
        <v>-22.77</v>
      </c>
      <c r="AK297" s="73" t="n">
        <v>-39.32</v>
      </c>
      <c r="AL297" s="73" t="n">
        <v>-63.87</v>
      </c>
      <c r="AM297" s="73" t="n">
        <v>-44.97</v>
      </c>
      <c r="AN297" s="73" t="n">
        <v>-5.75</v>
      </c>
      <c r="AO297" s="73" t="n">
        <v>-5.27</v>
      </c>
      <c r="AP297" s="63" t="inlineStr">
        <is>
          <t>China Biotech ETF (HS biotech proxy)</t>
        </is>
      </c>
      <c r="AQ297" s="73" t="n">
        <v>-74.93000000000001</v>
      </c>
      <c r="AR297" s="64" t="inlineStr">
        <is>
          <t>2026-08-20</t>
        </is>
      </c>
      <c r="AS297" s="65" t="n">
        <v>251.2</v>
      </c>
      <c r="AT297" s="68" t="n">
        <v>39.5</v>
      </c>
      <c r="AU297" s="63" t="inlineStr">
        <is>
          <t>Y</t>
        </is>
      </c>
      <c r="AV297" s="74" t="n">
        <v>12.7</v>
      </c>
      <c r="AW297" s="74" t="n"/>
      <c r="AX297" s="74" t="n"/>
      <c r="AY297" s="74" t="n">
        <v>2</v>
      </c>
      <c r="AZ297" s="75" t="inlineStr">
        <is>
          <t>N</t>
        </is>
      </c>
      <c r="BA297" s="76">
        <f>IF('BBG Verify'!K297="","not filed — run on terminal",'BBG Verify'!K297)</f>
        <v/>
      </c>
      <c r="BB297" s="63" t="inlineStr">
        <is>
          <t>N/A</t>
        </is>
      </c>
      <c r="BC297" s="63" t="inlineStr">
        <is>
          <t>N/A</t>
        </is>
      </c>
      <c r="BD297" s="63" t="inlineStr">
        <is>
          <t>N/A</t>
        </is>
      </c>
      <c r="BE297" s="63" t="inlineStr">
        <is>
          <t>N/A</t>
        </is>
      </c>
      <c r="BF297" s="63" t="inlineStr">
        <is>
          <t>N/A</t>
        </is>
      </c>
      <c r="BG297" s="75" t="n"/>
      <c r="BH297" s="63" t="inlineStr">
        <is>
          <t>ABCI Capital Limited</t>
        </is>
      </c>
      <c r="BI297" s="63" t="inlineStr">
        <is>
          <t>ABCI Capital Limited</t>
        </is>
      </c>
      <c r="BJ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7">
        <f>HYPERLINK("https://www1.hkexnews.hk/listedco/listconews/sehk/2024/1211/2024121100009.pdf","prospectus")</f>
        <v/>
      </c>
      <c r="BL297" s="77">
        <f>HYPERLINK("https://www1.hkexnews.hk/listedco/listconews/sehk/2024/1218/2024121801165.pdf","allotment")</f>
        <v/>
      </c>
      <c r="BM297" s="63" t="n"/>
      <c r="BN297" s="75" t="n"/>
      <c r="BO297" s="63" t="inlineStr">
        <is>
          <t>greenshoe: no over-allotment option in the offer structure · A/H: no A-share listing · sponsor: English name not in the filing text; AAStocks 保薦人 shown · greenshoe size: no over-allotment option in the offer structure</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860</v>
      </c>
      <c r="J298" s="63" t="inlineStr">
        <is>
          <t>gross (price x shares)</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v>0</v>
      </c>
      <c r="V298" s="67" t="n">
        <v>8.6</v>
      </c>
      <c r="W298" s="63" t="n"/>
      <c r="X298" s="63" t="n"/>
      <c r="Y298" s="67" t="n">
        <v>6.4</v>
      </c>
      <c r="Z298" s="63" t="n"/>
      <c r="AA298" s="72" t="n">
        <v>13.65</v>
      </c>
      <c r="AB298" s="73" t="n">
        <v>5.88</v>
      </c>
      <c r="AC298" s="73" t="n">
        <v>7.34</v>
      </c>
      <c r="AD298" s="73" t="n">
        <v>7.41</v>
      </c>
      <c r="AE298" s="73" t="n">
        <v>5.18</v>
      </c>
      <c r="AF298" s="73" t="n">
        <v>25.18</v>
      </c>
      <c r="AG298" s="73" t="n">
        <v>-5.49</v>
      </c>
      <c r="AH298" s="73" t="n">
        <v>-7.45</v>
      </c>
      <c r="AI298" s="73" t="n">
        <v>10.15</v>
      </c>
      <c r="AJ298" s="73" t="n">
        <v>6.62</v>
      </c>
      <c r="AK298" s="73" t="n">
        <v>6.36</v>
      </c>
      <c r="AL298" s="73" t="n">
        <v>1.54</v>
      </c>
      <c r="AM298" s="73" t="n">
        <v>-6.38</v>
      </c>
      <c r="AN298" s="73" t="n">
        <v>-1.18</v>
      </c>
      <c r="AO298" s="73" t="n">
        <v>-1.07</v>
      </c>
      <c r="AP298" s="63" t="inlineStr">
        <is>
          <t>Hang Seng Commerce &amp; Industry sub-index</t>
        </is>
      </c>
      <c r="AQ298" s="73" t="n">
        <v>-4.82</v>
      </c>
      <c r="AR298" s="64" t="inlineStr">
        <is>
          <t>2026-08-21</t>
        </is>
      </c>
      <c r="AS298" s="65" t="n">
        <v>5004.4</v>
      </c>
      <c r="AT298" s="68" t="n">
        <v>585.3</v>
      </c>
      <c r="AU298" s="63" t="inlineStr">
        <is>
          <t>Y</t>
        </is>
      </c>
      <c r="AV298" s="74" t="n">
        <v>17.1</v>
      </c>
      <c r="AW298" s="74" t="n"/>
      <c r="AX298" s="74" t="n"/>
      <c r="AY298" s="74" t="n">
        <v>2</v>
      </c>
      <c r="AZ298" s="75" t="inlineStr">
        <is>
          <t>N</t>
        </is>
      </c>
      <c r="BA298" s="76">
        <f>IF('BBG Verify'!K298="","not filed — run on terminal",'BBG Verify'!K298)</f>
        <v/>
      </c>
      <c r="BB298" s="63" t="inlineStr">
        <is>
          <t>N/A</t>
        </is>
      </c>
      <c r="BC298" s="63" t="inlineStr">
        <is>
          <t>N/A</t>
        </is>
      </c>
      <c r="BD298" s="63" t="inlineStr">
        <is>
          <t>N/A</t>
        </is>
      </c>
      <c r="BE298" s="63" t="inlineStr">
        <is>
          <t>N/A</t>
        </is>
      </c>
      <c r="BF298" s="63" t="inlineStr">
        <is>
          <t>N/A</t>
        </is>
      </c>
      <c r="BG298" s="75" t="inlineStr">
        <is>
          <t>Huatai Financial Holdings (Hong Kong) Limited; UBS Securities Hong Kong Limited</t>
        </is>
      </c>
      <c r="BH298" s="63" t="inlineStr">
        <is>
          <t>UBS Securities Hong Kong Limited; Huatai Financial Holdings (Hong Kong) Limited</t>
        </is>
      </c>
      <c r="BI298" s="63" t="inlineStr">
        <is>
          <t>Huatai Financial Holdings (Hong Kong) Limited; UBS AG Hong Kong Branch; Guoyuan Securities Brokerage (Hong Kong) Limited; CMB International Capital Limited; ABCI Capital Limited; ICBC International Securities Limited</t>
        </is>
      </c>
      <c r="BJ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7">
        <f>HYPERLINK("https://www1.hkexnews.hk/listedco/listconews/sehk/2024/1212/2024121200007.pdf","prospectus")</f>
        <v/>
      </c>
      <c r="BL298" s="77">
        <f>HYPERLINK("https://www1.hkexnews.hk/listedco/listconews/sehk/2024/1219/2024121901317.pdf","allotment")</f>
        <v/>
      </c>
      <c r="BM298" s="63" t="n"/>
      <c r="BN298" s="75" t="n"/>
      <c r="BO298" s="63"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7" t="n">
        <v>11.3</v>
      </c>
      <c r="W299" s="63" t="n"/>
      <c r="X299" s="63" t="n"/>
      <c r="Y299" s="67" t="n">
        <v>15</v>
      </c>
      <c r="Z299" s="63" t="inlineStr">
        <is>
          <t>partial</t>
        </is>
      </c>
      <c r="AA299" s="72" t="n">
        <v>0.74</v>
      </c>
      <c r="AB299" s="73" t="n">
        <v>4.79</v>
      </c>
      <c r="AC299" s="73" t="n">
        <v>-3.86</v>
      </c>
      <c r="AD299" s="73" t="n">
        <v>1.6</v>
      </c>
      <c r="AE299" s="73" t="n">
        <v>22.87</v>
      </c>
      <c r="AF299" s="73" t="n">
        <v>217.82</v>
      </c>
      <c r="AG299" s="73" t="n">
        <v>0.85</v>
      </c>
      <c r="AH299" s="73" t="n">
        <v>21.97</v>
      </c>
      <c r="AI299" s="73" t="n">
        <v>215.49</v>
      </c>
      <c r="AJ299" s="73" t="n">
        <v>3.67</v>
      </c>
      <c r="AK299" s="73" t="n">
        <v>18.14</v>
      </c>
      <c r="AL299" s="73" t="n">
        <v>193.85</v>
      </c>
      <c r="AM299" s="73" t="n">
        <v>17.63</v>
      </c>
      <c r="AN299" s="73" t="n">
        <v>4.73</v>
      </c>
      <c r="AO299" s="73" t="n">
        <v>4.34</v>
      </c>
      <c r="AP299" s="63" t="inlineStr">
        <is>
          <t>HSTECH (Hang Seng TECH ETF)</t>
        </is>
      </c>
      <c r="AQ299" s="73" t="n">
        <v>37.66</v>
      </c>
      <c r="AR299" s="64" t="inlineStr">
        <is>
          <t>2026-08-21</t>
        </is>
      </c>
      <c r="AS299" s="65" t="n">
        <v>315.4</v>
      </c>
      <c r="AT299" s="68" t="n">
        <v>-113.6</v>
      </c>
      <c r="AU299" s="63" t="inlineStr">
        <is>
          <t>N</t>
        </is>
      </c>
      <c r="AV299" s="63" t="inlineStr">
        <is>
          <t>n/m</t>
        </is>
      </c>
      <c r="AW299" s="74" t="n"/>
      <c r="AX299" s="74" t="n"/>
      <c r="AY299" s="74" t="n">
        <v>21.1</v>
      </c>
      <c r="AZ299" s="75" t="inlineStr">
        <is>
          <t>N</t>
        </is>
      </c>
      <c r="BA299" s="76">
        <f>IF('BBG Verify'!K299="","not filed — run on terminal",'BBG Verify'!K299)</f>
        <v/>
      </c>
      <c r="BB299" s="63" t="inlineStr">
        <is>
          <t>N/A</t>
        </is>
      </c>
      <c r="BC299" s="63" t="inlineStr">
        <is>
          <t>N/A</t>
        </is>
      </c>
      <c r="BD299" s="63" t="inlineStr">
        <is>
          <t>N/A</t>
        </is>
      </c>
      <c r="BE299" s="63" t="inlineStr">
        <is>
          <t>N/A</t>
        </is>
      </c>
      <c r="BF299" s="63" t="inlineStr">
        <is>
          <t>N/A</t>
        </is>
      </c>
      <c r="BG299" s="75" t="inlineStr">
        <is>
          <t>Guotai Junan Capital Limited; ABCI Capital Limited; OCs Guotai Junan Securities (Hong Kong) Limited</t>
        </is>
      </c>
      <c r="BH299" s="63" t="inlineStr">
        <is>
          <t>Guotai Junan Capital Limited; ABCI Capital Limited</t>
        </is>
      </c>
      <c r="BI299" s="63" t="inlineStr">
        <is>
          <t>Guotai Junan Securities (Hong Kong) Limited; ABCI Capital Limited; Shenwan Hongyuan Securities (H.K.) Limited; TradeGo Markets Limited</t>
        </is>
      </c>
      <c r="BJ299" s="63" t="inlineStr">
        <is>
          <t>ABCI Securities Company Limited; China PA Securities (Hong Kong) Company Limited; Guotai Junan Securities (Hong Kong) Limited; Shenwan Hongyuan Securities (H.K.) Limited; TradeGo Markets Limited</t>
        </is>
      </c>
      <c r="BK299" s="77">
        <f>HYPERLINK("https://www1.hkexnews.hk/listedco/listconews/sehk/2024/1213/2024121300029.pdf","prospectus")</f>
        <v/>
      </c>
      <c r="BL299" s="77">
        <f>HYPERLINK("https://www1.hkexnews.hk/listedco/listconews/sehk/2024/1220/2024122001962.pdf","allotment")</f>
        <v/>
      </c>
      <c r="BM299" s="77">
        <f>HYPERLINK("https://www1.hkexnews.hk/listedco/listconews/sehk/2025/0117/2025011701078.pdf","stabilisation")</f>
        <v/>
      </c>
      <c r="BN299" s="75" t="n"/>
      <c r="BO299" s="63" t="inlineStr">
        <is>
          <t>P/E: n/m — loss-making at IPO (use P/S) · range low: cap-only pricing — the filing publishes a Maximum Offer Price and no indicative floor · A/H: no A-share listing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7" t="n">
        <v>2.1</v>
      </c>
      <c r="W300" s="63" t="inlineStr">
        <is>
          <t>KCH International Investment Limited; Horizon Together Holding Ltd</t>
        </is>
      </c>
      <c r="X300" s="63" t="inlineStr">
        <is>
          <t>kch;horizon</t>
        </is>
      </c>
      <c r="Y300" s="67" t="n">
        <v>2</v>
      </c>
      <c r="Z300" s="63" t="inlineStr">
        <is>
          <t>partial</t>
        </is>
      </c>
      <c r="AA300" s="72" t="n">
        <v>14.12</v>
      </c>
      <c r="AB300" s="73" t="n">
        <v>9.41</v>
      </c>
      <c r="AC300" s="73" t="n">
        <v>4.3</v>
      </c>
      <c r="AD300" s="73" t="n">
        <v>2.94</v>
      </c>
      <c r="AE300" s="73" t="n">
        <v>22.94</v>
      </c>
      <c r="AF300" s="73" t="n">
        <v>88.53</v>
      </c>
      <c r="AG300" s="73" t="n">
        <v>-9.800000000000001</v>
      </c>
      <c r="AH300" s="73" t="n">
        <v>7.73</v>
      </c>
      <c r="AI300" s="73" t="n">
        <v>65.2</v>
      </c>
      <c r="AJ300" s="73" t="n">
        <v>5.52</v>
      </c>
      <c r="AK300" s="73" t="n">
        <v>18.33</v>
      </c>
      <c r="AL300" s="73" t="n">
        <v>69.06999999999999</v>
      </c>
      <c r="AM300" s="73" t="n">
        <v>3.83</v>
      </c>
      <c r="AN300" s="73" t="n">
        <v>4.61</v>
      </c>
      <c r="AO300" s="73" t="n">
        <v>3.9</v>
      </c>
      <c r="AP300" s="63" t="inlineStr">
        <is>
          <t>HSTECH (Hang Seng TECH ETF)</t>
        </is>
      </c>
      <c r="AQ300" s="73" t="n">
        <v>-78.44</v>
      </c>
      <c r="AR300" s="64" t="inlineStr">
        <is>
          <t>2026-08-21</t>
        </is>
      </c>
      <c r="AS300" s="65" t="n">
        <v>523.8</v>
      </c>
      <c r="AT300" s="68" t="n">
        <v>-227.9</v>
      </c>
      <c r="AU300" s="63" t="inlineStr">
        <is>
          <t>N</t>
        </is>
      </c>
      <c r="AV300" s="63" t="inlineStr">
        <is>
          <t>n/m</t>
        </is>
      </c>
      <c r="AW300" s="74" t="n"/>
      <c r="AX300" s="74" t="n"/>
      <c r="AY300" s="74" t="n">
        <v>11.5</v>
      </c>
      <c r="AZ300" s="75" t="inlineStr">
        <is>
          <t>N</t>
        </is>
      </c>
      <c r="BA300" s="76">
        <f>IF('BBG Verify'!K300="","not filed — run on terminal",'BBG Verify'!K300)</f>
        <v/>
      </c>
      <c r="BB300" s="63" t="inlineStr">
        <is>
          <t>N/A</t>
        </is>
      </c>
      <c r="BC300" s="63" t="inlineStr">
        <is>
          <t>N/A</t>
        </is>
      </c>
      <c r="BD300" s="63" t="inlineStr">
        <is>
          <t>N/A</t>
        </is>
      </c>
      <c r="BE300" s="63" t="inlineStr">
        <is>
          <t>N/A</t>
        </is>
      </c>
      <c r="BF300" s="63" t="inlineStr">
        <is>
          <t>N/A</t>
        </is>
      </c>
      <c r="BG300" s="75" t="inlineStr">
        <is>
          <t>CITIC Securities (Hong Kong) Limited; China International Capital Corporation Hong Kong Securities Limited</t>
        </is>
      </c>
      <c r="BH300" s="63" t="inlineStr">
        <is>
          <t>China International Capital Corporation Hong Kong Securities Limited; CITIC Securities (Hong Kong) Limited</t>
        </is>
      </c>
      <c r="BI300" s="63"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7">
        <f>HYPERLINK("https://www1.hkexnews.hk/listedco/listconews/sehk/2024/1217/2024121700015.pdf","prospectus")</f>
        <v/>
      </c>
      <c r="BL300" s="77">
        <f>HYPERLINK("https://www1.hkexnews.hk/listedco/listconews/sehk/2024/1224/2024122401190.pdf","allotment")</f>
        <v/>
      </c>
      <c r="BM300" s="77">
        <f>HYPERLINK("https://www1.hkexnews.hk/listedco/listconews/sehk/2025/0120/2025012000812.pdf","stabilisation")</f>
        <v/>
      </c>
      <c r="BN300" s="75" t="n"/>
      <c r="BO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7" t="n">
        <v>1.39</v>
      </c>
      <c r="W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3" t="inlineStr">
        <is>
          <t>affluent;baidu;hw;hongda;strait;may;jyun;bai-sheng;star;xing</t>
        </is>
      </c>
      <c r="Y301" s="67" t="n"/>
      <c r="Z301" s="63" t="n"/>
      <c r="AA301" s="72" t="n">
        <v>36.67</v>
      </c>
      <c r="AB301" s="73" t="n">
        <v>27.56</v>
      </c>
      <c r="AC301" s="73" t="n">
        <v>7.14</v>
      </c>
      <c r="AD301" s="73" t="n">
        <v>97.95</v>
      </c>
      <c r="AE301" s="73" t="n">
        <v>71.79000000000001</v>
      </c>
      <c r="AF301" s="73" t="n">
        <v>303.21</v>
      </c>
      <c r="AG301" s="73" t="n">
        <v>44.84</v>
      </c>
      <c r="AH301" s="73" t="n">
        <v>25.7</v>
      </c>
      <c r="AI301" s="73" t="n">
        <v>195.02</v>
      </c>
      <c r="AJ301" s="73" t="n">
        <v>102.77</v>
      </c>
      <c r="AK301" s="73" t="n">
        <v>74.68000000000001</v>
      </c>
      <c r="AL301" s="73" t="n">
        <v>282.84</v>
      </c>
      <c r="AM301" s="73" t="n">
        <v>29.24</v>
      </c>
      <c r="AN301" s="73" t="n">
        <v>-2.89</v>
      </c>
      <c r="AO301" s="73" t="n">
        <v>-3.54</v>
      </c>
      <c r="AP301" s="63" t="inlineStr">
        <is>
          <t>China Biotech ETF (HS biotech proxy)</t>
        </is>
      </c>
      <c r="AQ301" s="73" t="n">
        <v>-76.59999999999999</v>
      </c>
      <c r="AR301" s="64" t="inlineStr">
        <is>
          <t>2026-08-21</t>
        </is>
      </c>
      <c r="AS301" s="65" t="n">
        <v>1320.9</v>
      </c>
      <c r="AT301" s="68" t="n">
        <v>-345.3</v>
      </c>
      <c r="AU301" s="63" t="inlineStr">
        <is>
          <t>N</t>
        </is>
      </c>
      <c r="AV301" s="63" t="inlineStr">
        <is>
          <t>n/m</t>
        </is>
      </c>
      <c r="AW301" s="74" t="n"/>
      <c r="AX301" s="74" t="n">
        <v>26.7</v>
      </c>
      <c r="AY301" s="74" t="n">
        <v>5.2</v>
      </c>
      <c r="AZ301" s="75" t="inlineStr">
        <is>
          <t>N</t>
        </is>
      </c>
      <c r="BA301" s="76">
        <f>IF('BBG Verify'!K301="","not filed — run on terminal",'BBG Verify'!K301)</f>
        <v/>
      </c>
      <c r="BB301" s="63" t="inlineStr">
        <is>
          <t>N/A</t>
        </is>
      </c>
      <c r="BC301" s="63" t="inlineStr">
        <is>
          <t>N/A</t>
        </is>
      </c>
      <c r="BD301" s="63" t="inlineStr">
        <is>
          <t>N/A</t>
        </is>
      </c>
      <c r="BE301" s="63" t="inlineStr">
        <is>
          <t>N/A</t>
        </is>
      </c>
      <c r="BF301" s="63" t="inlineStr">
        <is>
          <t>N/A</t>
        </is>
      </c>
      <c r="BG301" s="75" t="inlineStr">
        <is>
          <t>CCB Intern ational Capital Limited; Financial Advisor (Note) Bristol Capital Limited</t>
        </is>
      </c>
      <c r="BH301" s="63" t="inlineStr">
        <is>
          <t>CCB International Capital Limited</t>
        </is>
      </c>
      <c r="BI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7">
        <f>HYPERLINK("https://www1.hkexnews.hk/listedco/listconews/sehk/2024/1218/2024121800023.pdf","prospectus")</f>
        <v/>
      </c>
      <c r="BL301" s="77">
        <f>HYPERLINK("https://www1.hkexnews.hk/listedco/listconews/sehk/2024/1227/2024122701758.pdf","allotment")</f>
        <v/>
      </c>
      <c r="BM301" s="63" t="n"/>
      <c r="BN301" s="75" t="n"/>
      <c r="BO301" s="63" t="inlineStr">
        <is>
          <t>P/E: n/m — loss-making at IPO (use P/S) · greenshoe: no over-allotment option in the offer structure · A/H: no A-share listing · greenshoe size: no over-allotment option in the offer structure</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27130.6</v>
      </c>
      <c r="R302" s="63" t="inlineStr">
        <is>
          <t>prospectus:stated market capitalisation</t>
        </is>
      </c>
      <c r="S302" s="69" t="n">
        <v>2.87</v>
      </c>
      <c r="T302" s="70" t="n">
        <v>1.41</v>
      </c>
      <c r="U302" s="71" t="n">
        <v>55.38</v>
      </c>
      <c r="V302" s="67" t="n">
        <v>2.3</v>
      </c>
      <c r="W302" s="63" t="inlineStr">
        <is>
          <t>Jiangsu Govtor; HK InnoSC; Inno CL</t>
        </is>
      </c>
      <c r="X302" s="63" t="inlineStr">
        <is>
          <t>jiangsu;innosc;inno</t>
        </is>
      </c>
      <c r="Y302" s="67" t="n">
        <v>5.3</v>
      </c>
      <c r="Z302" s="63" t="inlineStr">
        <is>
          <t>partial</t>
        </is>
      </c>
      <c r="AA302" s="72" t="n">
        <v>0.45</v>
      </c>
      <c r="AB302" s="73" t="n">
        <v>0.45</v>
      </c>
      <c r="AC302" s="73" t="n">
        <v>0</v>
      </c>
      <c r="AD302" s="73" t="n">
        <v>-0.03</v>
      </c>
      <c r="AE302" s="73" t="n">
        <v>32.7</v>
      </c>
      <c r="AF302" s="73" t="n">
        <v>44.2</v>
      </c>
      <c r="AG302" s="73" t="n">
        <v>-0.48</v>
      </c>
      <c r="AH302" s="73" t="n">
        <v>32.11</v>
      </c>
      <c r="AI302" s="73" t="n">
        <v>43.55</v>
      </c>
      <c r="AJ302" s="73" t="n">
        <v>4.01</v>
      </c>
      <c r="AK302" s="73" t="n">
        <v>28.3</v>
      </c>
      <c r="AL302" s="73" t="n">
        <v>24.98</v>
      </c>
      <c r="AM302" s="73" t="n">
        <v>26.81</v>
      </c>
      <c r="AN302" s="73" t="n">
        <v>4.4</v>
      </c>
      <c r="AO302" s="73" t="n">
        <v>5.3</v>
      </c>
      <c r="AP302" s="63" t="inlineStr">
        <is>
          <t>HSTECH (Hang Seng TECH ETF)</t>
        </is>
      </c>
      <c r="AQ302" s="73" t="n">
        <v>51.46</v>
      </c>
      <c r="AR302" s="64" t="inlineStr">
        <is>
          <t>2026-08-21</t>
        </is>
      </c>
      <c r="AS302" s="65" t="n">
        <v>652</v>
      </c>
      <c r="AT302" s="68" t="n">
        <v>-1212.1</v>
      </c>
      <c r="AU302" s="63" t="inlineStr">
        <is>
          <t>N</t>
        </is>
      </c>
      <c r="AV302" s="63" t="inlineStr">
        <is>
          <t>n/m</t>
        </is>
      </c>
      <c r="AW302" s="74" t="n"/>
      <c r="AX302" s="74" t="n"/>
      <c r="AY302" s="74" t="n">
        <v>41.6</v>
      </c>
      <c r="AZ302" s="75" t="inlineStr">
        <is>
          <t>N</t>
        </is>
      </c>
      <c r="BA302" s="76">
        <f>IF('BBG Verify'!K302="","not filed — run on terminal",'BBG Verify'!K302)</f>
        <v/>
      </c>
      <c r="BB302" s="63" t="inlineStr">
        <is>
          <t>N/A</t>
        </is>
      </c>
      <c r="BC302" s="63" t="inlineStr">
        <is>
          <t>N/A</t>
        </is>
      </c>
      <c r="BD302" s="63" t="inlineStr">
        <is>
          <t>N/A</t>
        </is>
      </c>
      <c r="BE302" s="63" t="inlineStr">
        <is>
          <t>N/A</t>
        </is>
      </c>
      <c r="BF302" s="63" t="inlineStr">
        <is>
          <t>N/A</t>
        </is>
      </c>
      <c r="BG302" s="75" t="inlineStr">
        <is>
          <t>CMB International Capital Limited</t>
        </is>
      </c>
      <c r="BH302" s="63" t="inlineStr">
        <is>
          <t>China International Capital Corporation Hong Kong Securities Limited; CMB International Capital Corporation Limited</t>
        </is>
      </c>
      <c r="BI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7">
        <f>HYPERLINK("https://www1.hkexnews.hk/listedco/listconews/sehk/2024/1218/2024121800031.pdf","prospectus")</f>
        <v/>
      </c>
      <c r="BL302" s="77">
        <f>HYPERLINK("https://www1.hkexnews.hk/listedco/listconews/sehk/2024/1227/2024122701822.pdf","allotment")</f>
        <v/>
      </c>
      <c r="BM302" s="77">
        <f>HYPERLINK("https://www1.hkexnews.hk/listedco/listconews/sehk/2025/0122/2025012200846.pdf","stabilisation")</f>
        <v/>
      </c>
      <c r="BN302" s="75" t="n"/>
      <c r="BO302" s="63" t="inlineStr">
        <is>
          <t>P/E: n/m — loss-making at IPO (use P/S) · A/H: no A-share listing</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7" t="n">
        <v>3.06</v>
      </c>
      <c r="W303" s="63" t="inlineStr">
        <is>
          <t>Xunyi Limited; Star Group Limited</t>
        </is>
      </c>
      <c r="X303" s="63" t="inlineStr">
        <is>
          <t>xunyi;star</t>
        </is>
      </c>
      <c r="Y303" s="67" t="n">
        <v>10.51</v>
      </c>
      <c r="Z303" s="63" t="inlineStr">
        <is>
          <t>lapsed (no over-allocation)</t>
        </is>
      </c>
      <c r="AA303" s="72" t="n">
        <v>5.07</v>
      </c>
      <c r="AB303" s="73" t="n">
        <v>8.390000000000001</v>
      </c>
      <c r="AC303" s="73" t="n">
        <v>-3.06</v>
      </c>
      <c r="AD303" s="73" t="n">
        <v>2.17</v>
      </c>
      <c r="AE303" s="73" t="n">
        <v>5.43</v>
      </c>
      <c r="AF303" s="73" t="n">
        <v>60.75</v>
      </c>
      <c r="AG303" s="73" t="n">
        <v>-2.76</v>
      </c>
      <c r="AH303" s="73" t="n">
        <v>0.34</v>
      </c>
      <c r="AI303" s="73" t="n">
        <v>52.99</v>
      </c>
      <c r="AJ303" s="73" t="n">
        <v>6.99</v>
      </c>
      <c r="AK303" s="73" t="n">
        <v>8.32</v>
      </c>
      <c r="AL303" s="73" t="n">
        <v>40.38</v>
      </c>
      <c r="AM303" s="73" t="n">
        <v>3.88</v>
      </c>
      <c r="AN303" s="73" t="n">
        <v>-2.89</v>
      </c>
      <c r="AO303" s="73" t="n">
        <v>-3.54</v>
      </c>
      <c r="AP303" s="63" t="inlineStr">
        <is>
          <t>China Biotech ETF (HS biotech proxy)</t>
        </is>
      </c>
      <c r="AQ303" s="73" t="n">
        <v>-7.43</v>
      </c>
      <c r="AR303" s="64" t="inlineStr">
        <is>
          <t>2026-08-21</t>
        </is>
      </c>
      <c r="AS303" s="65" t="n">
        <v>611.6</v>
      </c>
      <c r="AT303" s="68" t="n">
        <v>-169.4</v>
      </c>
      <c r="AU303" s="63" t="inlineStr">
        <is>
          <t>N</t>
        </is>
      </c>
      <c r="AV303" s="63" t="inlineStr">
        <is>
          <t>n/m</t>
        </is>
      </c>
      <c r="AW303" s="74" t="n"/>
      <c r="AX303" s="74" t="n"/>
      <c r="AY303" s="74" t="n">
        <v>16.4</v>
      </c>
      <c r="AZ303" s="75" t="inlineStr">
        <is>
          <t>N</t>
        </is>
      </c>
      <c r="BA303" s="76">
        <f>IF('BBG Verify'!K303="","not filed — run on terminal",'BBG Verify'!K303)</f>
        <v/>
      </c>
      <c r="BB303" s="63" t="inlineStr">
        <is>
          <t>N/A</t>
        </is>
      </c>
      <c r="BC303" s="63" t="inlineStr">
        <is>
          <t>N/A</t>
        </is>
      </c>
      <c r="BD303" s="63" t="inlineStr">
        <is>
          <t>N/A</t>
        </is>
      </c>
      <c r="BE303" s="63" t="inlineStr">
        <is>
          <t>N/A</t>
        </is>
      </c>
      <c r="BF303" s="63" t="inlineStr">
        <is>
          <t>N/A</t>
        </is>
      </c>
      <c r="BG303" s="75" t="inlineStr">
        <is>
          <t>Huatai Financial Holdings (Hong Kong) Limited; GF Capital (Hong Kong) Limited; CCB International Capital Limited</t>
        </is>
      </c>
      <c r="BH303" s="63" t="inlineStr">
        <is>
          <t>CCB International Capital Limited; Huatai Financial Holdings (Hong Kong) Limited; GF Capital (Hong Kong) Limited</t>
        </is>
      </c>
      <c r="BI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7">
        <f>HYPERLINK("https://www1.hkexnews.hk/listedco/listconews/sehk/2024/1218/2024121800019.pdf","prospectus")</f>
        <v/>
      </c>
      <c r="BL303" s="77">
        <f>HYPERLINK("https://www1.hkexnews.hk/listedco/listconews/sehk/2024/1227/2024122701834.pdf","allotment")</f>
        <v/>
      </c>
      <c r="BM303" s="77">
        <f>HYPERLINK("https://www1.hkexnews.hk/listedco/listconews/sehk/2025/0122/2025012200840.pdf","stabilisation")</f>
        <v/>
      </c>
      <c r="BN303" s="75" t="n"/>
      <c r="BO303" s="63" t="inlineStr">
        <is>
          <t>P/E: n/m — loss-making at IPO (use P/S)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7" t="n">
        <v>5.11</v>
      </c>
      <c r="W304" s="63" t="inlineStr">
        <is>
          <t>Huang Guangwei</t>
        </is>
      </c>
      <c r="X304" s="63" t="inlineStr">
        <is>
          <t>huang-guangwei</t>
        </is>
      </c>
      <c r="Y304" s="67" t="n">
        <v>14</v>
      </c>
      <c r="Z304" s="63" t="inlineStr">
        <is>
          <t>lapsed (no over-allocation)</t>
        </is>
      </c>
      <c r="AA304" s="72" t="n">
        <v>3.42</v>
      </c>
      <c r="AB304" s="73" t="n">
        <v>0</v>
      </c>
      <c r="AC304" s="73" t="n">
        <v>3.42</v>
      </c>
      <c r="AD304" s="73" t="n">
        <v>14.91</v>
      </c>
      <c r="AE304" s="73" t="n">
        <v>73.91</v>
      </c>
      <c r="AF304" s="73" t="n">
        <v>89.75</v>
      </c>
      <c r="AG304" s="73" t="n">
        <v>11.11</v>
      </c>
      <c r="AH304" s="73" t="n">
        <v>68.16</v>
      </c>
      <c r="AI304" s="73" t="n">
        <v>83.48</v>
      </c>
      <c r="AJ304" s="73" t="n">
        <v>15.58</v>
      </c>
      <c r="AK304" s="73" t="n">
        <v>66.81999999999999</v>
      </c>
      <c r="AL304" s="73" t="n">
        <v>74.26000000000001</v>
      </c>
      <c r="AM304" s="73" t="n">
        <v>60.09</v>
      </c>
      <c r="AN304" s="73" t="n">
        <v>7.09</v>
      </c>
      <c r="AO304" s="73" t="n">
        <v>8.07</v>
      </c>
      <c r="AP304" s="63" t="inlineStr">
        <is>
          <t>China Biotech ETF (HS biotech proxy)</t>
        </is>
      </c>
      <c r="AQ304" s="73" t="n">
        <v>-52.95</v>
      </c>
      <c r="AR304" s="64" t="inlineStr">
        <is>
          <t>2026-08-20</t>
        </is>
      </c>
      <c r="AS304" s="65" t="n">
        <v>73.90000000000001</v>
      </c>
      <c r="AT304" s="68" t="n">
        <v>-395</v>
      </c>
      <c r="AU304" s="63" t="inlineStr">
        <is>
          <t>N</t>
        </is>
      </c>
      <c r="AV304" s="63" t="inlineStr">
        <is>
          <t>n/m</t>
        </is>
      </c>
      <c r="AW304" s="74" t="n"/>
      <c r="AX304" s="74" t="n"/>
      <c r="AY304" s="74" t="n">
        <v>55.2</v>
      </c>
      <c r="AZ304" s="75" t="inlineStr">
        <is>
          <t>N</t>
        </is>
      </c>
      <c r="BA304" s="76">
        <f>IF('BBG Verify'!K304="","not filed — run on terminal",'BBG Verify'!K304)</f>
        <v/>
      </c>
      <c r="BB304" s="63" t="inlineStr">
        <is>
          <t>N/A</t>
        </is>
      </c>
      <c r="BC304" s="63" t="inlineStr">
        <is>
          <t>N/A</t>
        </is>
      </c>
      <c r="BD304" s="63" t="inlineStr">
        <is>
          <t>N/A</t>
        </is>
      </c>
      <c r="BE304" s="63" t="inlineStr">
        <is>
          <t>N/A</t>
        </is>
      </c>
      <c r="BF304" s="63" t="inlineStr">
        <is>
          <t>N/A</t>
        </is>
      </c>
      <c r="BG304" s="75" t="inlineStr">
        <is>
          <t>China International Capital Corporation Hong Kong Securities Limited; SPDB International Capital Limited</t>
        </is>
      </c>
      <c r="BH304" s="63" t="inlineStr">
        <is>
          <t>China International Capital Corporation Hong Kong Securities Limited; SPDB International Capital Limited</t>
        </is>
      </c>
      <c r="BI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7">
        <f>HYPERLINK("https://www1.hkexnews.hk/listedco/listconews/sehk/2024/1230/2024123000045.pdf","prospectus")</f>
        <v/>
      </c>
      <c r="BL304" s="77">
        <f>HYPERLINK("https://www1.hkexnews.hk/listedco/listconews/sehk/2025/0107/2025010701660.pdf","allotment")</f>
        <v/>
      </c>
      <c r="BM304" s="77">
        <f>HYPERLINK("https://www1.hkexnews.hk/listedco/listconews/sehk/2025/0202/2025020200065.pdf","stabilisation")</f>
        <v/>
      </c>
      <c r="BN304" s="75" t="n"/>
      <c r="BO304" s="63" t="inlineStr">
        <is>
          <t>P/E: n/m — loss-making at IPO (use P/S)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c r="L305" s="66" t="n">
        <v>3.3</v>
      </c>
      <c r="M305" s="66" t="n">
        <v>3</v>
      </c>
      <c r="N305" s="63" t="inlineStr">
        <is>
          <t>N</t>
        </is>
      </c>
      <c r="O305" s="67" t="n">
        <v>90.90000000000001</v>
      </c>
      <c r="P305" s="67" t="n"/>
      <c r="Q305" s="68" t="n">
        <v>1897.9</v>
      </c>
      <c r="R305" s="63" t="inlineStr">
        <is>
          <t>aastocks:上市市值 at the struck price</t>
        </is>
      </c>
      <c r="S305" s="69" t="n">
        <v>25.83</v>
      </c>
      <c r="T305" s="70" t="n">
        <v>1.04</v>
      </c>
      <c r="U305" s="71" t="n">
        <v>66.79000000000001</v>
      </c>
      <c r="V305" s="67" t="n">
        <v>7.61</v>
      </c>
      <c r="W305" s="63" t="inlineStr">
        <is>
          <t>SCGC Capital Holding Company Limited; Gotion High-Tech (HK); Anhui Shengchang; Wuhu Artec; Guangdong Zongxing; Shenzhen Gaodeng</t>
        </is>
      </c>
      <c r="X305" s="63" t="inlineStr">
        <is>
          <t>scgc;gotion;anhui;wuhu;guangdong;shenzhen-gaodeng</t>
        </is>
      </c>
      <c r="Y305" s="67" t="n">
        <v>8.5</v>
      </c>
      <c r="Z305" s="63" t="n"/>
      <c r="AA305" s="72" t="n">
        <v>-47.67</v>
      </c>
      <c r="AB305" s="73" t="n">
        <v>-40</v>
      </c>
      <c r="AC305" s="73" t="n">
        <v>-12.78</v>
      </c>
      <c r="AD305" s="73" t="n">
        <v>-51.67</v>
      </c>
      <c r="AE305" s="73" t="n">
        <v>-54.67</v>
      </c>
      <c r="AF305" s="73" t="n">
        <v>-41.33</v>
      </c>
      <c r="AG305" s="73" t="n">
        <v>-7.64</v>
      </c>
      <c r="AH305" s="73" t="n">
        <v>-13.38</v>
      </c>
      <c r="AI305" s="73" t="n">
        <v>12.12</v>
      </c>
      <c r="AJ305" s="73" t="n">
        <v>-53.25</v>
      </c>
      <c r="AK305" s="73" t="n">
        <v>-71.84</v>
      </c>
      <c r="AL305" s="73" t="n">
        <v>-55.83</v>
      </c>
      <c r="AM305" s="73" t="n">
        <v>-30.32</v>
      </c>
      <c r="AN305" s="73" t="n">
        <v>17.17</v>
      </c>
      <c r="AO305" s="73" t="n">
        <v>16.94</v>
      </c>
      <c r="AP305" s="63" t="inlineStr">
        <is>
          <t>Hang Seng Commerce &amp; Industry sub-index</t>
        </is>
      </c>
      <c r="AQ305" s="73" t="n">
        <v>-52.17</v>
      </c>
      <c r="AR305" s="64" t="inlineStr">
        <is>
          <t>2026-08-20</t>
        </is>
      </c>
      <c r="AS305" s="65" t="n">
        <v>2635.1</v>
      </c>
      <c r="AT305" s="68" t="n"/>
      <c r="AU305" s="63" t="inlineStr">
        <is>
          <t>Y</t>
        </is>
      </c>
      <c r="AV305" s="74" t="n">
        <v>5.1</v>
      </c>
      <c r="AW305" s="74" t="n">
        <v>5.1</v>
      </c>
      <c r="AX305" s="74" t="n">
        <v>6.5</v>
      </c>
      <c r="AY305" s="74" t="n">
        <v>0.7</v>
      </c>
      <c r="AZ305" s="75" t="inlineStr">
        <is>
          <t>N</t>
        </is>
      </c>
      <c r="BA305" s="76">
        <f>IF('BBG Verify'!K305="","not filed — run on terminal",'BBG Verify'!K305)</f>
        <v/>
      </c>
      <c r="BB305" s="63" t="inlineStr">
        <is>
          <t>N/A</t>
        </is>
      </c>
      <c r="BC305" s="63" t="inlineStr">
        <is>
          <t>N/A</t>
        </is>
      </c>
      <c r="BD305" s="63" t="inlineStr">
        <is>
          <t>N/A</t>
        </is>
      </c>
      <c r="BE305" s="63" t="inlineStr">
        <is>
          <t>N/A</t>
        </is>
      </c>
      <c r="BF305" s="63" t="inlineStr">
        <is>
          <t>N/A</t>
        </is>
      </c>
      <c r="BG305" s="75" t="inlineStr">
        <is>
          <t>China Securities (International) Corporate Finance Company Limited</t>
        </is>
      </c>
      <c r="BH305" s="63" t="inlineStr">
        <is>
          <t>China Securities (International) Corporate Finance Company Limited</t>
        </is>
      </c>
      <c r="BI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7">
        <f>HYPERLINK("https://www1.hkexnews.hk/listedco/listconews/sehk/2024/1231/2024123100162.pdf","prospectus")</f>
        <v/>
      </c>
      <c r="BL305" s="77">
        <f>HYPERLINK("https://www1.hkexnews.hk/listedco/listconews/sehk/2025/0108/2025010801080.pdf","allotment")</f>
        <v/>
      </c>
      <c r="BM305" s="63" t="n"/>
      <c r="BN305" s="75" t="n"/>
      <c r="BO305" s="63"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7" t="n">
        <v>3.83</v>
      </c>
      <c r="W306" s="63" t="inlineStr">
        <is>
          <t>Mr. Tiago Braz; Fund SPC; Harvest International</t>
        </is>
      </c>
      <c r="X306" s="63" t="inlineStr">
        <is>
          <t>mr-tiago;fund-spc;harvest</t>
        </is>
      </c>
      <c r="Y306" s="67" t="n"/>
      <c r="Z306" s="63" t="n"/>
      <c r="AA306" s="72" t="n">
        <v>6.29</v>
      </c>
      <c r="AB306" s="73" t="n">
        <v>6.76</v>
      </c>
      <c r="AC306" s="73" t="n">
        <v>-0.44</v>
      </c>
      <c r="AD306" s="73" t="n">
        <v>-5.66</v>
      </c>
      <c r="AE306" s="73" t="n">
        <v>-4.09</v>
      </c>
      <c r="AF306" s="73" t="n">
        <v>-8.65</v>
      </c>
      <c r="AG306" s="73" t="n">
        <v>-11.24</v>
      </c>
      <c r="AH306" s="73" t="n">
        <v>-9.77</v>
      </c>
      <c r="AI306" s="73" t="n">
        <v>-14.06</v>
      </c>
      <c r="AJ306" s="73" t="n">
        <v>-7.24</v>
      </c>
      <c r="AK306" s="73" t="n">
        <v>-21.26</v>
      </c>
      <c r="AL306" s="73" t="n">
        <v>-23.15</v>
      </c>
      <c r="AM306" s="73" t="n">
        <v>-26.71</v>
      </c>
      <c r="AN306" s="73" t="n">
        <v>17.17</v>
      </c>
      <c r="AO306" s="73" t="n">
        <v>16.94</v>
      </c>
      <c r="AP306" s="63" t="inlineStr">
        <is>
          <t>Hang Seng Commerce &amp; Industry sub-index</t>
        </is>
      </c>
      <c r="AQ306" s="73" t="n">
        <v>0.63</v>
      </c>
      <c r="AR306" s="64" t="inlineStr">
        <is>
          <t>2026-08-20</t>
        </is>
      </c>
      <c r="AS306" s="65" t="n">
        <v>561.3</v>
      </c>
      <c r="AT306" s="68" t="n">
        <v>132.6</v>
      </c>
      <c r="AU306" s="63" t="inlineStr">
        <is>
          <t>Y</t>
        </is>
      </c>
      <c r="AV306" s="74" t="n">
        <v>9.6</v>
      </c>
      <c r="AW306" s="74" t="n"/>
      <c r="AX306" s="74" t="n">
        <v>186.7</v>
      </c>
      <c r="AY306" s="74" t="n">
        <v>2.3</v>
      </c>
      <c r="AZ306" s="75" t="inlineStr">
        <is>
          <t>N</t>
        </is>
      </c>
      <c r="BA306" s="76">
        <f>IF('BBG Verify'!K306="","not filed — run on terminal",'BBG Verify'!K306)</f>
        <v/>
      </c>
      <c r="BB306" s="63" t="inlineStr">
        <is>
          <t>N/A</t>
        </is>
      </c>
      <c r="BC306" s="63" t="inlineStr">
        <is>
          <t>N/A</t>
        </is>
      </c>
      <c r="BD306" s="63" t="inlineStr">
        <is>
          <t>N/A</t>
        </is>
      </c>
      <c r="BE306" s="63" t="inlineStr">
        <is>
          <t>N/A</t>
        </is>
      </c>
      <c r="BF306" s="63" t="inlineStr">
        <is>
          <t>N/A</t>
        </is>
      </c>
      <c r="BG306" s="75" t="inlineStr">
        <is>
          <t>CITIC Securities (Hong Kong) Limited; China Galaxy International Securities (Hong Kong) Co., Limited</t>
        </is>
      </c>
      <c r="BH306" s="63" t="inlineStr">
        <is>
          <t>CITIC Securities (Hong Kong) Limited; China Galaxy International Securities (Hong Kong) Company Limited</t>
        </is>
      </c>
      <c r="BI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7">
        <f>HYPERLINK("https://www1.hkexnews.hk/listedco/listconews/sehk/2024/1231/2024123100011.pdf","prospectus")</f>
        <v/>
      </c>
      <c r="BL306" s="77">
        <f>HYPERLINK("https://www1.hkexnews.hk/listedco/listconews/sehk/2025/0108/2025010801098.pdf","allotment")</f>
        <v/>
      </c>
      <c r="BM306" s="63" t="n"/>
      <c r="BN306" s="75" t="n"/>
      <c r="BO306" s="63" t="inlineStr">
        <is>
          <t>greenshoe: no over-allotment option in the offer structure · A/H: no A-share listing · greenshoe size: no over-allotment option in the offer structure</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13437.9</v>
      </c>
      <c r="R307" s="63" t="inlineStr">
        <is>
          <t>prospectus:stated market capitalisation</t>
        </is>
      </c>
      <c r="S307" s="69" t="n">
        <v>5999.96</v>
      </c>
      <c r="T307" s="70" t="n">
        <v>38.6</v>
      </c>
      <c r="U307" s="71" t="n">
        <v>23.1</v>
      </c>
      <c r="V307" s="67" t="n">
        <v>9.58</v>
      </c>
      <c r="W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3" t="inlineStr">
        <is>
          <t>ubs;greenwoods;gaintex;plus;merron;huatai;jycp;jymb;beihai;blueco;yunfeng;hongshan;lenient</t>
        </is>
      </c>
      <c r="Y307" s="67" t="n">
        <v>15</v>
      </c>
      <c r="Z307" s="63" t="n"/>
      <c r="AA307" s="72" t="n">
        <v>40.85</v>
      </c>
      <c r="AB307" s="73" t="n">
        <v>81.61</v>
      </c>
      <c r="AC307" s="73" t="n">
        <v>-22.44</v>
      </c>
      <c r="AD307" s="73" t="n">
        <v>49.63</v>
      </c>
      <c r="AE307" s="73" t="n">
        <v>40.18</v>
      </c>
      <c r="AF307" s="73" t="n">
        <v>101.66</v>
      </c>
      <c r="AG307" s="73" t="n">
        <v>6.23</v>
      </c>
      <c r="AH307" s="73" t="n">
        <v>-0.48</v>
      </c>
      <c r="AI307" s="73" t="n">
        <v>43.17</v>
      </c>
      <c r="AJ307" s="73" t="n">
        <v>47.69</v>
      </c>
      <c r="AK307" s="73" t="n">
        <v>23.64</v>
      </c>
      <c r="AL307" s="73" t="n">
        <v>87.13</v>
      </c>
      <c r="AM307" s="73" t="n">
        <v>-18.44</v>
      </c>
      <c r="AN307" s="73" t="n">
        <v>16.54</v>
      </c>
      <c r="AO307" s="73" t="n">
        <v>17.96</v>
      </c>
      <c r="AP307" s="63" t="inlineStr">
        <is>
          <t>Hang Seng Commerce &amp; Industry sub-index</t>
        </is>
      </c>
      <c r="AQ307" s="73" t="n">
        <v>27.84</v>
      </c>
      <c r="AR307" s="64" t="inlineStr">
        <is>
          <t>2026-08-20</t>
        </is>
      </c>
      <c r="AS307" s="65" t="n">
        <v>964.4</v>
      </c>
      <c r="AT307" s="68" t="n">
        <v>-441.2</v>
      </c>
      <c r="AU307" s="63" t="inlineStr">
        <is>
          <t>N</t>
        </is>
      </c>
      <c r="AV307" s="63" t="inlineStr">
        <is>
          <t>n/m</t>
        </is>
      </c>
      <c r="AW307" s="74" t="n"/>
      <c r="AX307" s="74" t="n"/>
      <c r="AY307" s="74" t="n">
        <v>13.9</v>
      </c>
      <c r="AZ307" s="75" t="inlineStr">
        <is>
          <t>N</t>
        </is>
      </c>
      <c r="BA307" s="76">
        <f>IF('BBG Verify'!K307="","not filed — run on terminal",'BBG Verify'!K307)</f>
        <v/>
      </c>
      <c r="BB307" s="63" t="inlineStr">
        <is>
          <t>N/A</t>
        </is>
      </c>
      <c r="BC307" s="63" t="inlineStr">
        <is>
          <t>N/A</t>
        </is>
      </c>
      <c r="BD307" s="63" t="inlineStr">
        <is>
          <t>N/A</t>
        </is>
      </c>
      <c r="BE307" s="63" t="inlineStr">
        <is>
          <t>N/A</t>
        </is>
      </c>
      <c r="BF307" s="63" t="inlineStr">
        <is>
          <t>N/A</t>
        </is>
      </c>
      <c r="BG307" s="75" t="inlineStr">
        <is>
          <t>and Sponsor-OC Goldman Sachs (Asia) L.L.C; Huatai Financial Holdings (Hong Kong) Limited</t>
        </is>
      </c>
      <c r="BH307" s="63" t="inlineStr">
        <is>
          <t>Goldman Sachs (Asia) L.L.C.; Huatai Financial Holdings (Hong Kong) Limited</t>
        </is>
      </c>
      <c r="BI307" s="63" t="inlineStr">
        <is>
          <t>Goldman Sachs (Asia) L.L.C; Huatai Financial Holdings (Hong Kong) Limited</t>
        </is>
      </c>
      <c r="BJ307" s="63" t="inlineStr">
        <is>
          <t>Futu Securities International (Hong Kong) Limited; Goldman Sachs (Asia) L.L.C.; Huatai Financial Holdings (Hong Kong) Limited</t>
        </is>
      </c>
      <c r="BK307" s="77">
        <f>HYPERLINK("https://www1.hkexnews.hk/listedco/listconews/sehk/2024/1231/2024123100152.pdf","prospectus")</f>
        <v/>
      </c>
      <c r="BL307" s="77">
        <f>HYPERLINK("https://www1.hkexnews.hk/listedco/listconews/sehk/2025/0109/2025010900829.pdf","allotment")</f>
        <v/>
      </c>
      <c r="BM307" s="63" t="n"/>
      <c r="BN307" s="75" t="n"/>
      <c r="BO307" s="63"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7" t="n">
        <v>25</v>
      </c>
      <c r="W308" s="63" t="n"/>
      <c r="X308" s="63" t="n"/>
      <c r="Y308" s="67" t="n">
        <v>20</v>
      </c>
      <c r="Z308" s="63" t="n"/>
      <c r="AA308" s="72" t="n">
        <v>-13.75</v>
      </c>
      <c r="AB308" s="73" t="n">
        <v>-1.25</v>
      </c>
      <c r="AC308" s="73" t="n">
        <v>-12.66</v>
      </c>
      <c r="AD308" s="73" t="n">
        <v>-15</v>
      </c>
      <c r="AE308" s="73" t="n">
        <v>-13.75</v>
      </c>
      <c r="AF308" s="73" t="n">
        <v>-16.25</v>
      </c>
      <c r="AG308" s="73" t="n">
        <v>-1.45</v>
      </c>
      <c r="AH308" s="73" t="n">
        <v>0</v>
      </c>
      <c r="AI308" s="73" t="n">
        <v>-2.9</v>
      </c>
      <c r="AJ308" s="73" t="n">
        <v>-16.94</v>
      </c>
      <c r="AK308" s="73" t="n">
        <v>-30.29</v>
      </c>
      <c r="AL308" s="73" t="n">
        <v>-30.78</v>
      </c>
      <c r="AM308" s="73" t="n">
        <v>-17.96</v>
      </c>
      <c r="AN308" s="73" t="n">
        <v>16.54</v>
      </c>
      <c r="AO308" s="73" t="n">
        <v>17.96</v>
      </c>
      <c r="AP308" s="63" t="inlineStr">
        <is>
          <t>Hang Seng Commerce &amp; Industry sub-index</t>
        </is>
      </c>
      <c r="AQ308" s="73" t="n">
        <v>-8.130000000000001</v>
      </c>
      <c r="AR308" s="64" t="inlineStr">
        <is>
          <t>2026-08-20</t>
        </is>
      </c>
      <c r="AS308" s="65" t="n">
        <v>469.2</v>
      </c>
      <c r="AT308" s="68" t="n">
        <v>175.3</v>
      </c>
      <c r="AU308" s="63" t="inlineStr">
        <is>
          <t>Y</t>
        </is>
      </c>
      <c r="AV308" s="74" t="n">
        <v>4.6</v>
      </c>
      <c r="AW308" s="74" t="n"/>
      <c r="AX308" s="74" t="n">
        <v>115.6</v>
      </c>
      <c r="AY308" s="74" t="n">
        <v>1.7</v>
      </c>
      <c r="AZ308" s="75" t="inlineStr">
        <is>
          <t>N</t>
        </is>
      </c>
      <c r="BA308" s="76">
        <f>IF('BBG Verify'!K308="","not filed — run on terminal",'BBG Verify'!K308)</f>
        <v/>
      </c>
      <c r="BB308" s="63" t="inlineStr">
        <is>
          <t>N/A</t>
        </is>
      </c>
      <c r="BC308" s="63" t="inlineStr">
        <is>
          <t>N/A</t>
        </is>
      </c>
      <c r="BD308" s="63" t="inlineStr">
        <is>
          <t>N/A</t>
        </is>
      </c>
      <c r="BE308" s="63" t="inlineStr">
        <is>
          <t>N/A</t>
        </is>
      </c>
      <c r="BF308" s="63" t="inlineStr">
        <is>
          <t>N/A</t>
        </is>
      </c>
      <c r="BG308" s="75" t="inlineStr">
        <is>
          <t>Caitong International Capital Co., Limited</t>
        </is>
      </c>
      <c r="BH308" s="63" t="inlineStr">
        <is>
          <t>Caitong International Capital Co.</t>
        </is>
      </c>
      <c r="BI308" s="63"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7">
        <f>HYPERLINK("https://www1.hkexnews.hk/listedco/listconews/sehk/2024/1230/2024123000005.pdf","prospectus")</f>
        <v/>
      </c>
      <c r="BL308" s="77">
        <f>HYPERLINK("https://www1.hkexnews.hk/listedco/listconews/sehk/2025/0109/2025010901059.pdf","allotment")</f>
        <v/>
      </c>
      <c r="BM308" s="63" t="n"/>
      <c r="BN308" s="75" t="n"/>
      <c r="BO308" s="63" t="inlineStr">
        <is>
          <t>greenshoe: end-of-stabilisation notice not located · A/H: no A-share listing · cornerstone list: no cornerstone tranche in this deal</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c r="L309" s="66" t="n">
        <v>2.72</v>
      </c>
      <c r="M309" s="66" t="n">
        <v>2.59</v>
      </c>
      <c r="N309" s="63" t="inlineStr">
        <is>
          <t>N</t>
        </is>
      </c>
      <c r="O309" s="67" t="n">
        <v>95.2</v>
      </c>
      <c r="P309" s="67" t="n"/>
      <c r="Q309" s="68" t="n">
        <v>10568.8</v>
      </c>
      <c r="R309" s="63" t="inlineStr">
        <is>
          <t>derived:deal size / offer % of enlarged capital</t>
        </is>
      </c>
      <c r="S309" s="69" t="n">
        <v>0.21</v>
      </c>
      <c r="T309" s="70" t="n">
        <v>1.14</v>
      </c>
      <c r="U309" s="71" t="n">
        <v>0</v>
      </c>
      <c r="V309" s="67" t="n">
        <v>16.87</v>
      </c>
      <c r="W309" s="63" t="n"/>
      <c r="X309" s="63" t="n"/>
      <c r="Y309" s="67" t="n">
        <v>3.2</v>
      </c>
      <c r="Z309" s="63" t="inlineStr">
        <is>
          <t>lapsed</t>
        </is>
      </c>
      <c r="AA309" s="72" t="n">
        <v>0.77</v>
      </c>
      <c r="AB309" s="73" t="n">
        <v>0</v>
      </c>
      <c r="AC309" s="73" t="n">
        <v>0.77</v>
      </c>
      <c r="AD309" s="73" t="n">
        <v>0.39</v>
      </c>
      <c r="AE309" s="73" t="n">
        <v>0.39</v>
      </c>
      <c r="AF309" s="73" t="n">
        <v>1.16</v>
      </c>
      <c r="AG309" s="73" t="n">
        <v>-0.38</v>
      </c>
      <c r="AH309" s="73" t="n">
        <v>-0.38</v>
      </c>
      <c r="AI309" s="73" t="n">
        <v>0.39</v>
      </c>
      <c r="AJ309" s="73" t="n">
        <v>-2.89</v>
      </c>
      <c r="AK309" s="73" t="n">
        <v>-12.01</v>
      </c>
      <c r="AL309" s="73" t="n">
        <v>-6.6</v>
      </c>
      <c r="AM309" s="73" t="n">
        <v>-13.97</v>
      </c>
      <c r="AN309" s="73" t="n">
        <v>12.4</v>
      </c>
      <c r="AO309" s="73" t="n">
        <v>13.59</v>
      </c>
      <c r="AP309" s="63" t="inlineStr">
        <is>
          <t>Hang Seng Finance sub-index</t>
        </is>
      </c>
      <c r="AQ309" s="73" t="n">
        <v>1.16</v>
      </c>
      <c r="AR309" s="64" t="inlineStr">
        <is>
          <t>2026-08-21</t>
        </is>
      </c>
      <c r="AS309" s="65" t="n">
        <v>2387</v>
      </c>
      <c r="AT309" s="68" t="n">
        <v>524.7</v>
      </c>
      <c r="AU309" s="63" t="inlineStr">
        <is>
          <t>Y</t>
        </is>
      </c>
      <c r="AV309" s="74" t="n">
        <v>20.1</v>
      </c>
      <c r="AW309" s="74" t="n"/>
      <c r="AX309" s="74" t="n"/>
      <c r="AY309" s="74" t="n">
        <v>4.4</v>
      </c>
      <c r="AZ309" s="75" t="inlineStr">
        <is>
          <t>N</t>
        </is>
      </c>
      <c r="BA309" s="76">
        <f>IF('BBG Verify'!K309="","not filed — run on terminal",'BBG Verify'!K309)</f>
        <v/>
      </c>
      <c r="BB309" s="63" t="inlineStr">
        <is>
          <t>N/A</t>
        </is>
      </c>
      <c r="BC309" s="63" t="inlineStr">
        <is>
          <t>N/A</t>
        </is>
      </c>
      <c r="BD309" s="63" t="inlineStr">
        <is>
          <t>N/A</t>
        </is>
      </c>
      <c r="BE309" s="63" t="inlineStr">
        <is>
          <t>N/A</t>
        </is>
      </c>
      <c r="BF309" s="63" t="inlineStr">
        <is>
          <t>N/A</t>
        </is>
      </c>
      <c r="BG309" s="75" t="inlineStr">
        <is>
          <t>CCB International Capital Limited; ICBC International Capital Limited</t>
        </is>
      </c>
      <c r="BH309" s="63" t="inlineStr">
        <is>
          <t>CCB International Capital Limited; ICBC International Capital Limited</t>
        </is>
      </c>
      <c r="BI309" s="63" t="inlineStr">
        <is>
          <t>BOCI Asia Limited; CLSA Limited; Zhongtai International Securities Limited</t>
        </is>
      </c>
      <c r="BJ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7">
        <f>HYPERLINK("https://www1.hkexnews.hk/listedco/listconews/sehk/2024/1230/2024123000047.pdf","prospectus")</f>
        <v/>
      </c>
      <c r="BL309" s="77">
        <f>HYPERLINK("https://www1.hkexnews.hk/listedco/listconews/sehk/2025/0110/2025011001363.pdf","allotment")</f>
        <v/>
      </c>
      <c r="BM309" s="77">
        <f>HYPERLINK("https://www1.hkexnews.hk/listedco/listconews/sehk/2025/0207/2025020700893.pdf","stabilisation")</f>
        <v/>
      </c>
      <c r="BN309" s="75" t="n"/>
      <c r="BO309" s="63" t="inlineStr">
        <is>
          <t>range low: cap-only pricing — the filing publishes a Maximum Offer Price and no indicative floor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7" t="n">
        <v>16.43</v>
      </c>
      <c r="W310" s="63" t="n"/>
      <c r="X310" s="63" t="n"/>
      <c r="Y310" s="67" t="n">
        <v>9.300000000000001</v>
      </c>
      <c r="Z310" s="63" t="inlineStr">
        <is>
          <t>lapsed (no over-allocation)</t>
        </is>
      </c>
      <c r="AA310" s="72" t="n">
        <v>1.46</v>
      </c>
      <c r="AB310" s="73" t="n">
        <v>2.39</v>
      </c>
      <c r="AC310" s="73" t="n">
        <v>-0.91</v>
      </c>
      <c r="AD310" s="73" t="n">
        <v>0.38</v>
      </c>
      <c r="AE310" s="73" t="n">
        <v>17.17</v>
      </c>
      <c r="AF310" s="73" t="n">
        <v>-4.54</v>
      </c>
      <c r="AG310" s="73" t="n">
        <v>-1.06</v>
      </c>
      <c r="AH310" s="73" t="n">
        <v>15.48</v>
      </c>
      <c r="AI310" s="73" t="n">
        <v>-5.91</v>
      </c>
      <c r="AJ310" s="73" t="n">
        <v>-2.59</v>
      </c>
      <c r="AK310" s="73" t="n">
        <v>-7.53</v>
      </c>
      <c r="AL310" s="73" t="n">
        <v>-18.23</v>
      </c>
      <c r="AM310" s="73" t="n">
        <v>-9</v>
      </c>
      <c r="AN310" s="73" t="n">
        <v>24.7</v>
      </c>
      <c r="AO310" s="73" t="n">
        <v>24.48</v>
      </c>
      <c r="AP310" s="63" t="inlineStr">
        <is>
          <t>Hang Seng Commerce &amp; Industry sub-index</t>
        </is>
      </c>
      <c r="AQ310" s="73" t="n">
        <v>16.01</v>
      </c>
      <c r="AR310" s="64" t="inlineStr">
        <is>
          <t>2026-08-20</t>
        </is>
      </c>
      <c r="AS310" s="65" t="n">
        <v>193.3</v>
      </c>
      <c r="AT310" s="68" t="n">
        <v>55.8</v>
      </c>
      <c r="AU310" s="63" t="inlineStr">
        <is>
          <t>Y</t>
        </is>
      </c>
      <c r="AV310" s="74" t="n">
        <v>31</v>
      </c>
      <c r="AW310" s="74" t="n"/>
      <c r="AX310" s="74" t="n">
        <v>33.9</v>
      </c>
      <c r="AY310" s="74" t="n">
        <v>9</v>
      </c>
      <c r="AZ310" s="75" t="inlineStr">
        <is>
          <t>N</t>
        </is>
      </c>
      <c r="BA310" s="76">
        <f>IF('BBG Verify'!K310="","not filed — run on terminal",'BBG Verify'!K310)</f>
        <v/>
      </c>
      <c r="BB310" s="63" t="inlineStr">
        <is>
          <t>N/A</t>
        </is>
      </c>
      <c r="BC310" s="63" t="inlineStr">
        <is>
          <t>N/A</t>
        </is>
      </c>
      <c r="BD310" s="63" t="inlineStr">
        <is>
          <t>N/A</t>
        </is>
      </c>
      <c r="BE310" s="63" t="inlineStr">
        <is>
          <t>N/A</t>
        </is>
      </c>
      <c r="BF310" s="63" t="inlineStr">
        <is>
          <t>N/A</t>
        </is>
      </c>
      <c r="BG310" s="75" t="n"/>
      <c r="BH310" s="63" t="inlineStr">
        <is>
          <t>CEB International Capital Corporation Limited</t>
        </is>
      </c>
      <c r="BI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7">
        <f>HYPERLINK("https://www1.hkexnews.hk/listedco/listconews/sehk/2024/1231/2024123100154.pdf","prospectus")</f>
        <v/>
      </c>
      <c r="BL310" s="77">
        <f>HYPERLINK("https://www1.hkexnews.hk/listedco/listconews/sehk/2025/0114/2025011400898.pdf","allotment")</f>
        <v/>
      </c>
      <c r="BM310" s="77">
        <f>HYPERLINK("https://www1.hkexnews.hk/listedco/listconews/sehk/2025/0210/2025021000368.pdf","stabilisation")</f>
        <v/>
      </c>
      <c r="BN310" s="75" t="n"/>
      <c r="BO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7" t="n">
        <v>5.38</v>
      </c>
      <c r="W311" s="63" t="inlineStr">
        <is>
          <t>Huang River Investment Limited; Global Company Limited; Long-Z Fund I, LP; Duckling Fund, L.P; Mr. Qi; Mr. Ruan; Ms. Pan</t>
        </is>
      </c>
      <c r="X311" s="63" t="inlineStr">
        <is>
          <t>huang-river;global-company;long;duckling;mr-qi;mr-ruan;ms-pan</t>
        </is>
      </c>
      <c r="Y311" s="67" t="n">
        <v>15</v>
      </c>
      <c r="Z311" s="63" t="inlineStr">
        <is>
          <t>partial</t>
        </is>
      </c>
      <c r="AA311" s="72" t="n">
        <v>-6.44</v>
      </c>
      <c r="AB311" s="73" t="n">
        <v>0.6</v>
      </c>
      <c r="AC311" s="73" t="n">
        <v>-7</v>
      </c>
      <c r="AD311" s="73" t="n">
        <v>-2.11</v>
      </c>
      <c r="AE311" s="73" t="n">
        <v>45.07</v>
      </c>
      <c r="AF311" s="73" t="n">
        <v>157.04</v>
      </c>
      <c r="AG311" s="73" t="n">
        <v>4.63</v>
      </c>
      <c r="AH311" s="73" t="n">
        <v>55.06</v>
      </c>
      <c r="AI311" s="73" t="n">
        <v>174.73</v>
      </c>
      <c r="AJ311" s="73" t="n">
        <v>-11.51</v>
      </c>
      <c r="AK311" s="73" t="n">
        <v>33.21</v>
      </c>
      <c r="AL311" s="73" t="n">
        <v>148.82</v>
      </c>
      <c r="AM311" s="73" t="n">
        <v>46.26</v>
      </c>
      <c r="AN311" s="73" t="n">
        <v>11.86</v>
      </c>
      <c r="AO311" s="73" t="n">
        <v>8.800000000000001</v>
      </c>
      <c r="AP311" s="63" t="inlineStr">
        <is>
          <t>Hang Seng Commerce &amp; Industry sub-index</t>
        </is>
      </c>
      <c r="AQ311" s="73" t="n">
        <v>149.9</v>
      </c>
      <c r="AR311" s="64" t="inlineStr">
        <is>
          <t>2026-08-20</t>
        </is>
      </c>
      <c r="AS311" s="65" t="n">
        <v>8443.200000000001</v>
      </c>
      <c r="AT311" s="68" t="n">
        <v>1206</v>
      </c>
      <c r="AU311" s="63" t="inlineStr">
        <is>
          <t>Y</t>
        </is>
      </c>
      <c r="AV311" s="74" t="n">
        <v>19.4</v>
      </c>
      <c r="AW311" s="74" t="n">
        <v>12.3</v>
      </c>
      <c r="AX311" s="74" t="n">
        <v>15.4</v>
      </c>
      <c r="AY311" s="74" t="n">
        <v>2.8</v>
      </c>
      <c r="AZ311" s="75" t="inlineStr">
        <is>
          <t>N</t>
        </is>
      </c>
      <c r="BA311" s="76">
        <f>IF('BBG Verify'!K311="","not filed — run on terminal",'BBG Verify'!K311)</f>
        <v/>
      </c>
      <c r="BB311" s="63" t="inlineStr">
        <is>
          <t>N/A</t>
        </is>
      </c>
      <c r="BC311" s="63" t="inlineStr">
        <is>
          <t>N/A</t>
        </is>
      </c>
      <c r="BD311" s="63" t="inlineStr">
        <is>
          <t>N/A</t>
        </is>
      </c>
      <c r="BE311" s="63" t="inlineStr">
        <is>
          <t>N/A</t>
        </is>
      </c>
      <c r="BF311" s="63" t="inlineStr">
        <is>
          <t>N/A</t>
        </is>
      </c>
      <c r="BG311" s="75" t="inlineStr">
        <is>
          <t>Goldman Sachs (Asia) L.L.C; UBS Securities Hong Kong Limited; UBS AG Hong Kong Branch</t>
        </is>
      </c>
      <c r="BH311" s="63" t="inlineStr">
        <is>
          <t>UBS Securities Hong Kong Limited; Goldman Sachs (Asia) L.L.C.</t>
        </is>
      </c>
      <c r="BI311" s="63"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7">
        <f>HYPERLINK("https://www1.hkexnews.hk/listedco/listconews/sehk/2025/0204/2025020400011.pdf","prospectus")</f>
        <v/>
      </c>
      <c r="BL311" s="77">
        <f>HYPERLINK("https://www1.hkexnews.hk/listedco/listconews/sehk/2025/0211/2025021100944.pdf","allotment")</f>
        <v/>
      </c>
      <c r="BM311" s="77">
        <f>HYPERLINK("https://www1.hkexnews.hk/listedco/listconews/sehk/2025/0309/2025030900015.pdf","stabilisation")</f>
        <v/>
      </c>
      <c r="BN311" s="75" t="n"/>
      <c r="BO311" s="63" t="inlineStr">
        <is>
          <t>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66827.89999999999</v>
      </c>
      <c r="R312" s="63" t="inlineStr">
        <is>
          <t>derived:deal size / offer % of enlarged capital</t>
        </is>
      </c>
      <c r="S312" s="69" t="n">
        <v>5258.21</v>
      </c>
      <c r="T312" s="70" t="n">
        <v>35.23</v>
      </c>
      <c r="U312" s="71" t="n">
        <v>45.09</v>
      </c>
      <c r="V312" s="67" t="n">
        <v>2.84</v>
      </c>
      <c r="W312" s="63" t="inlineStr">
        <is>
          <t>M&amp;G Investments; HongShan Growth; Persistence Growth Limited; HHLR Fund, L.P.; Long-Z Fund I, LP</t>
        </is>
      </c>
      <c r="X312" s="63" t="inlineStr">
        <is>
          <t>investments;hongshan;persistence;hhlr;long</t>
        </is>
      </c>
      <c r="Y312" s="67" t="n">
        <v>15</v>
      </c>
      <c r="Z312" s="63" t="inlineStr">
        <is>
          <t>full</t>
        </is>
      </c>
      <c r="AA312" s="72" t="n">
        <v>43.21</v>
      </c>
      <c r="AB312" s="73" t="n">
        <v>29.38</v>
      </c>
      <c r="AC312" s="73" t="n">
        <v>10.69</v>
      </c>
      <c r="AD312" s="73" t="n">
        <v>94.27</v>
      </c>
      <c r="AE312" s="73" t="n">
        <v>107.41</v>
      </c>
      <c r="AF312" s="73" t="n">
        <v>180.49</v>
      </c>
      <c r="AG312" s="73" t="n">
        <v>35.65</v>
      </c>
      <c r="AH312" s="73" t="n">
        <v>44.83</v>
      </c>
      <c r="AI312" s="73" t="n">
        <v>95.86</v>
      </c>
      <c r="AJ312" s="73" t="n">
        <v>89.55</v>
      </c>
      <c r="AK312" s="73" t="n">
        <v>106.47</v>
      </c>
      <c r="AL312" s="73" t="n">
        <v>178.85</v>
      </c>
      <c r="AM312" s="73" t="n">
        <v>44.15</v>
      </c>
      <c r="AN312" s="73" t="n">
        <v>0.9399999999999999</v>
      </c>
      <c r="AO312" s="73" t="n">
        <v>0.68</v>
      </c>
      <c r="AP312" s="63" t="inlineStr">
        <is>
          <t>Hang Seng Commerce &amp; Industry sub-index</t>
        </is>
      </c>
      <c r="AQ312" s="73" t="n">
        <v>14.86</v>
      </c>
      <c r="AR312" s="64" t="inlineStr">
        <is>
          <t>2026-08-21</t>
        </is>
      </c>
      <c r="AS312" s="65" t="n">
        <v>22332.7</v>
      </c>
      <c r="AT312" s="68" t="n">
        <v>3505.3</v>
      </c>
      <c r="AU312" s="63" t="inlineStr">
        <is>
          <t>Y</t>
        </is>
      </c>
      <c r="AV312" s="74" t="n">
        <v>19.1</v>
      </c>
      <c r="AW312" s="74" t="n"/>
      <c r="AX312" s="74" t="n">
        <v>12.5</v>
      </c>
      <c r="AY312" s="74" t="n">
        <v>3</v>
      </c>
      <c r="AZ312" s="75" t="inlineStr">
        <is>
          <t>N</t>
        </is>
      </c>
      <c r="BA312" s="76">
        <f>IF('BBG Verify'!K312="","not filed — run on terminal",'BBG Verify'!K312)</f>
        <v/>
      </c>
      <c r="BB312" s="63" t="inlineStr">
        <is>
          <t>N/A</t>
        </is>
      </c>
      <c r="BC312" s="63" t="inlineStr">
        <is>
          <t>N/A</t>
        </is>
      </c>
      <c r="BD312" s="63" t="inlineStr">
        <is>
          <t>N/A</t>
        </is>
      </c>
      <c r="BE312" s="63" t="inlineStr">
        <is>
          <t>N/A</t>
        </is>
      </c>
      <c r="BF312" s="63" t="inlineStr">
        <is>
          <t>N/A</t>
        </is>
      </c>
      <c r="BG312" s="75" t="inlineStr">
        <is>
          <t>Merrill Lynch (Asia Pacific) Limited; Goldman Sachs (Asia) L.L.C; UBS Securities Hong Kong Limited</t>
        </is>
      </c>
      <c r="BH312" s="63" t="inlineStr">
        <is>
          <t>UBS Securities Hong Kong Limited; Merrill Lynch (Asia Pacific) Limited; Goldman Sachs (Asia) L.L.C.</t>
        </is>
      </c>
      <c r="BI312" s="63" t="inlineStr">
        <is>
          <t>Merrill Lynch (Asia Pacific) Limited; Goldman Sachs (Asia) L.L.C; UBS AG Hong Kong Branch; Huatai Financial Holdings (Hong Kong) Limited; ICBC International Securities Limited; GF Securities (Hong Kong) Brokerage Limited; CMB International Capital Limited</t>
        </is>
      </c>
      <c r="BJ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7">
        <f>HYPERLINK("https://www1.hkexnews.hk/listedco/listconews/sehk/2025/0221/2025022100016.htm","prospectus")</f>
        <v/>
      </c>
      <c r="BL312" s="77">
        <f>HYPERLINK("https://www1.hkexnews.hk/listedco/listconews/sehk/2025/0228/2025022801727.pdf","allotment")</f>
        <v/>
      </c>
      <c r="BM312" s="77">
        <f>HYPERLINK("https://www1.hkexnews.hk/listedco/listconews/sehk/2025/0328/2025032802276.pdf","stabilisation")</f>
        <v/>
      </c>
      <c r="BN312" s="75" t="n"/>
      <c r="BO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7" t="n">
        <v>8.1</v>
      </c>
      <c r="W313" s="63" t="inlineStr">
        <is>
          <t>International Mining Company Limited; Sparky International Company Limited</t>
        </is>
      </c>
      <c r="X313" s="63" t="inlineStr">
        <is>
          <t>mining;sparky</t>
        </is>
      </c>
      <c r="Y313" s="67" t="n">
        <v>15</v>
      </c>
      <c r="Z313" s="63" t="inlineStr">
        <is>
          <t>full</t>
        </is>
      </c>
      <c r="AA313" s="72" t="n">
        <v>0</v>
      </c>
      <c r="AB313" s="73" t="n">
        <v>0</v>
      </c>
      <c r="AC313" s="73" t="n">
        <v>0</v>
      </c>
      <c r="AD313" s="73" t="n">
        <v>2.04</v>
      </c>
      <c r="AE313" s="73" t="n">
        <v>25.51</v>
      </c>
      <c r="AF313" s="73" t="n">
        <v>110.64</v>
      </c>
      <c r="AG313" s="73" t="n">
        <v>2.04</v>
      </c>
      <c r="AH313" s="73" t="n">
        <v>25.51</v>
      </c>
      <c r="AI313" s="73" t="n">
        <v>110.64</v>
      </c>
      <c r="AJ313" s="73" t="n">
        <v>2.89</v>
      </c>
      <c r="AK313" s="73" t="n">
        <v>43.51</v>
      </c>
      <c r="AL313" s="73" t="n">
        <v>116.43</v>
      </c>
      <c r="AM313" s="73" t="n">
        <v>41.41</v>
      </c>
      <c r="AN313" s="73" t="n">
        <v>-18</v>
      </c>
      <c r="AO313" s="73" t="n">
        <v>-15.9</v>
      </c>
      <c r="AP313" s="63" t="inlineStr">
        <is>
          <t>Hang Seng Commerce &amp; Industry sub-index</t>
        </is>
      </c>
      <c r="AQ313" s="73" t="n">
        <v>234.26</v>
      </c>
      <c r="AR313" s="64" t="inlineStr">
        <is>
          <t>2026-08-21</t>
        </is>
      </c>
      <c r="AS313" s="65" t="n">
        <v>7943</v>
      </c>
      <c r="AT313" s="68" t="n">
        <v>958.7</v>
      </c>
      <c r="AU313" s="63" t="inlineStr">
        <is>
          <t>Y</t>
        </is>
      </c>
      <c r="AV313" s="74" t="n">
        <v>26.8</v>
      </c>
      <c r="AW313" s="74" t="n">
        <v>12</v>
      </c>
      <c r="AX313" s="74" t="n">
        <v>17.2</v>
      </c>
      <c r="AY313" s="74" t="n">
        <v>3.2</v>
      </c>
      <c r="AZ313" s="75" t="inlineStr">
        <is>
          <t>Y</t>
        </is>
      </c>
      <c r="BA313" s="63" t="inlineStr">
        <is>
          <t>600988.SS</t>
        </is>
      </c>
      <c r="BB313" s="73" t="n">
        <v>50.61</v>
      </c>
      <c r="BC313" s="66" t="n">
        <v>20.6635</v>
      </c>
      <c r="BD313" s="80" t="n">
        <v>0.3091</v>
      </c>
      <c r="BE313" s="78">
        <f>IF('BBG Verify'!Q313="","run on terminal",'BBG Verify'!Q313)</f>
        <v/>
      </c>
      <c r="BF313" s="78">
        <f>IF('BBG Verify'!R313="","run on terminal",'BBG Verify'!R313)</f>
        <v/>
      </c>
      <c r="BG313" s="75" t="inlineStr">
        <is>
          <t>CITIC Securities (Hong Kong) Limited</t>
        </is>
      </c>
      <c r="BH313" s="63" t="inlineStr">
        <is>
          <t>CITIC Securities (Hong Kong) Limited</t>
        </is>
      </c>
      <c r="BI313" s="63" t="inlineStr">
        <is>
          <t>Kong Securities Limited; ABCI Capital Limited; Central, Hong Kong ABCI Securities Company Limited</t>
        </is>
      </c>
      <c r="BJ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7">
        <f>HYPERLINK("https://www1.hkexnews.hk/listedco/listconews/sehk/2025/0228/2025022800056.pdf","prospectus")</f>
        <v/>
      </c>
      <c r="BL313" s="77">
        <f>HYPERLINK("https://www1.hkexnews.hk/listedco/listconews/sehk/2025/0307/2025030701501.pdf","allotment")</f>
        <v/>
      </c>
      <c r="BM313" s="77">
        <f>HYPERLINK("https://www1.hkexnews.hk/listedco/listconews/sehk/2025/0406/2025040600051.pdf","stabilisation")</f>
        <v/>
      </c>
      <c r="BN313" s="75" t="n"/>
      <c r="BO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7" t="n">
        <v>3.22</v>
      </c>
      <c r="W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3" t="inlineStr">
        <is>
          <t>morgan;vivo;suzhou;jefferies;cosmic;logos;crf</t>
        </is>
      </c>
      <c r="Y314" s="67" t="n">
        <v>15</v>
      </c>
      <c r="Z314" s="63" t="inlineStr">
        <is>
          <t>lapsed</t>
        </is>
      </c>
      <c r="AA314" s="72" t="n">
        <v>0</v>
      </c>
      <c r="AB314" s="73" t="n">
        <v>0</v>
      </c>
      <c r="AC314" s="73" t="n">
        <v>0</v>
      </c>
      <c r="AD314" s="73" t="n">
        <v>-16.79</v>
      </c>
      <c r="AE314" s="73" t="n">
        <v>-30.81</v>
      </c>
      <c r="AF314" s="73" t="n">
        <v>-30.96</v>
      </c>
      <c r="AG314" s="73" t="n">
        <v>-16.79</v>
      </c>
      <c r="AH314" s="73" t="n">
        <v>-30.81</v>
      </c>
      <c r="AI314" s="73" t="n">
        <v>-30.96</v>
      </c>
      <c r="AJ314" s="73" t="n">
        <v>-17.6</v>
      </c>
      <c r="AK314" s="73" t="n">
        <v>-31.78</v>
      </c>
      <c r="AL314" s="73" t="n">
        <v>-44.95</v>
      </c>
      <c r="AM314" s="73" t="n">
        <v>-35.57</v>
      </c>
      <c r="AN314" s="73" t="n">
        <v>0.97</v>
      </c>
      <c r="AO314" s="73" t="n">
        <v>4.76</v>
      </c>
      <c r="AP314" s="63" t="inlineStr">
        <is>
          <t>China Biotech ETF (HS biotech proxy)</t>
        </is>
      </c>
      <c r="AQ314" s="73" t="n">
        <v>-71.40000000000001</v>
      </c>
      <c r="AR314" s="64" t="inlineStr">
        <is>
          <t>2026-08-20</t>
        </is>
      </c>
      <c r="AS314" s="65" t="n">
        <v>2.2</v>
      </c>
      <c r="AT314" s="68" t="n">
        <v>-229.2</v>
      </c>
      <c r="AU314" s="63" t="inlineStr">
        <is>
          <t>N</t>
        </is>
      </c>
      <c r="AV314" s="63" t="inlineStr">
        <is>
          <t>n/m</t>
        </is>
      </c>
      <c r="AW314" s="74" t="n"/>
      <c r="AX314" s="74" t="n"/>
      <c r="AY314" s="74" t="n">
        <v>3867.9</v>
      </c>
      <c r="AZ314" s="75" t="inlineStr">
        <is>
          <t>N</t>
        </is>
      </c>
      <c r="BA314" s="76">
        <f>IF('BBG Verify'!K314="","not filed — run on terminal",'BBG Verify'!K314)</f>
        <v/>
      </c>
      <c r="BB314" s="63" t="inlineStr">
        <is>
          <t>N/A</t>
        </is>
      </c>
      <c r="BC314" s="63" t="inlineStr">
        <is>
          <t>N/A</t>
        </is>
      </c>
      <c r="BD314" s="63" t="inlineStr">
        <is>
          <t>N/A</t>
        </is>
      </c>
      <c r="BE314" s="63" t="inlineStr">
        <is>
          <t>N/A</t>
        </is>
      </c>
      <c r="BF314" s="63" t="inlineStr">
        <is>
          <t>N/A</t>
        </is>
      </c>
      <c r="BG314" s="75" t="inlineStr">
        <is>
          <t>Morgan Stanley Asia Limited; Jefferies Hong Kong Limited</t>
        </is>
      </c>
      <c r="BH314" s="63" t="inlineStr">
        <is>
          <t>Jefferies Hong Kong Limited; Morgan Stanley Asia Limited</t>
        </is>
      </c>
      <c r="BI314" s="63" t="inlineStr">
        <is>
          <t>CLSA Limited; Futu Securities International (Hong Kong) Limited; Guoyuan Securities Brokerage (Hong Kong) Limited; Jefferies Hong Kong Limited; Morgan Stanley Asia Limited; Patrons Securities Limited</t>
        </is>
      </c>
      <c r="BJ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7">
        <f>HYPERLINK("https://www1.hkexnews.hk/listedco/listconews/sehk/2025/0313/2025031300017.pdf","prospectus")</f>
        <v/>
      </c>
      <c r="BL314" s="77">
        <f>HYPERLINK("https://www1.hkexnews.hk/listedco/listconews/sehk/2025/0320/2025032001490.pdf","allotment")</f>
        <v/>
      </c>
      <c r="BM314" s="77">
        <f>HYPERLINK("https://www1.hkexnews.hk/listedco/listconews/sehk/2025/0417/2025041701661.pdf","stabilisation")</f>
        <v/>
      </c>
      <c r="BN314" s="75" t="n"/>
      <c r="BO314" s="63"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7" t="n">
        <v>9.029999999999999</v>
      </c>
      <c r="W315" s="63" t="inlineStr">
        <is>
          <t>Glencore International AG; PT Indika Energy Tbk</t>
        </is>
      </c>
      <c r="X315" s="63" t="inlineStr">
        <is>
          <t>glencore;pt</t>
        </is>
      </c>
      <c r="Y315" s="67" t="n">
        <v>15</v>
      </c>
      <c r="Z315" s="63" t="inlineStr">
        <is>
          <t>partial</t>
        </is>
      </c>
      <c r="AA315" s="72" t="n">
        <v>-5.08</v>
      </c>
      <c r="AB315" s="73" t="n">
        <v>0</v>
      </c>
      <c r="AC315" s="73" t="n">
        <v>-5.08</v>
      </c>
      <c r="AD315" s="73" t="n">
        <v>-8.83</v>
      </c>
      <c r="AE315" s="73" t="n">
        <v>-8.65</v>
      </c>
      <c r="AF315" s="73" t="n">
        <v>16.54</v>
      </c>
      <c r="AG315" s="73" t="n">
        <v>-3.95</v>
      </c>
      <c r="AH315" s="73" t="n">
        <v>-3.76</v>
      </c>
      <c r="AI315" s="73" t="n">
        <v>22.78</v>
      </c>
      <c r="AJ315" s="73" t="n">
        <v>-4.83</v>
      </c>
      <c r="AK315" s="73" t="n">
        <v>2.12</v>
      </c>
      <c r="AL315" s="73" t="n">
        <v>20.59</v>
      </c>
      <c r="AM315" s="73" t="n">
        <v>4.35</v>
      </c>
      <c r="AN315" s="73" t="n">
        <v>-10.77</v>
      </c>
      <c r="AO315" s="73" t="n">
        <v>-8.109999999999999</v>
      </c>
      <c r="AP315" s="63" t="inlineStr">
        <is>
          <t>Hang Seng Commerce &amp; Industry sub-index</t>
        </is>
      </c>
      <c r="AQ315" s="73" t="n">
        <v>0.08</v>
      </c>
      <c r="AR315" s="64" t="inlineStr">
        <is>
          <t>2026-08-20</t>
        </is>
      </c>
      <c r="AS315" s="65" t="n">
        <v>5286.7</v>
      </c>
      <c r="AT315" s="68" t="n">
        <v>956.8</v>
      </c>
      <c r="AU315" s="63" t="inlineStr">
        <is>
          <t>Y</t>
        </is>
      </c>
      <c r="AV315" s="74" t="n">
        <v>16.4</v>
      </c>
      <c r="AW315" s="74" t="n">
        <v>3.5</v>
      </c>
      <c r="AX315" s="74" t="n">
        <v>4.7</v>
      </c>
      <c r="AY315" s="74" t="n">
        <v>3</v>
      </c>
      <c r="AZ315" s="75" t="inlineStr">
        <is>
          <t>N</t>
        </is>
      </c>
      <c r="BA315" s="76">
        <f>IF('BBG Verify'!K315="","not filed — run on terminal",'BBG Verify'!K315)</f>
        <v/>
      </c>
      <c r="BB315" s="63" t="inlineStr">
        <is>
          <t>N/A</t>
        </is>
      </c>
      <c r="BC315" s="63" t="inlineStr">
        <is>
          <t>N/A</t>
        </is>
      </c>
      <c r="BD315" s="63" t="inlineStr">
        <is>
          <t>N/A</t>
        </is>
      </c>
      <c r="BE315" s="63" t="inlineStr">
        <is>
          <t>N/A</t>
        </is>
      </c>
      <c r="BF315" s="63" t="inlineStr">
        <is>
          <t>N/A</t>
        </is>
      </c>
      <c r="BG315" s="75" t="n"/>
      <c r="BH315" s="63" t="inlineStr">
        <is>
          <t>Huatai Financial Holdings (Hong Kong) Limited</t>
        </is>
      </c>
      <c r="BI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7">
        <f>HYPERLINK("https://www1.hkexnews.hk/listedco/listconews/sehk/2025/0317/2025031700019.pdf","prospectus")</f>
        <v/>
      </c>
      <c r="BL315" s="77">
        <f>HYPERLINK("https://www1.hkexnews.hk/listedco/listconews/sehk/2025/0324/2025032401216.pdf","allotment")</f>
        <v/>
      </c>
      <c r="BM315" s="77">
        <f>HYPERLINK("https://www1.hkexnews.hk/listedco/listconews/sehk/2025/0422/2025042201921.pdf","stabilisation")</f>
        <v/>
      </c>
      <c r="BN315" s="75" t="n"/>
      <c r="BO315" s="63" t="inlineStr">
        <is>
          <t>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7" t="n">
        <v>25</v>
      </c>
      <c r="W316" s="63" t="n"/>
      <c r="X316" s="63" t="n"/>
      <c r="Y316" s="67" t="n">
        <v>7.5</v>
      </c>
      <c r="Z316" s="63" t="n"/>
      <c r="AA316" s="72" t="n">
        <v>31.37</v>
      </c>
      <c r="AB316" s="73" t="n">
        <v>-3.92</v>
      </c>
      <c r="AC316" s="73" t="n">
        <v>36.73</v>
      </c>
      <c r="AD316" s="73" t="n">
        <v>-1.96</v>
      </c>
      <c r="AE316" s="73" t="n">
        <v>23.53</v>
      </c>
      <c r="AF316" s="73" t="n">
        <v>162.75</v>
      </c>
      <c r="AG316" s="73" t="n">
        <v>-25.37</v>
      </c>
      <c r="AH316" s="73" t="n">
        <v>-5.97</v>
      </c>
      <c r="AI316" s="73" t="n">
        <v>100.01</v>
      </c>
      <c r="AJ316" s="73" t="n">
        <v>1.99</v>
      </c>
      <c r="AK316" s="73" t="n">
        <v>31.31</v>
      </c>
      <c r="AL316" s="73" t="n">
        <v>165.32</v>
      </c>
      <c r="AM316" s="73" t="n">
        <v>2.28</v>
      </c>
      <c r="AN316" s="73" t="n">
        <v>-7.78</v>
      </c>
      <c r="AO316" s="73" t="n">
        <v>-8.25</v>
      </c>
      <c r="AP316" s="63" t="inlineStr">
        <is>
          <t>Hang Seng Commerce &amp; Industry sub-index</t>
        </is>
      </c>
      <c r="AQ316" s="73" t="n">
        <v>142.16</v>
      </c>
      <c r="AR316" s="64" t="inlineStr">
        <is>
          <t>2026-08-20</t>
        </is>
      </c>
      <c r="AS316" s="65" t="n">
        <v>720</v>
      </c>
      <c r="AT316" s="68" t="n">
        <v>64.8</v>
      </c>
      <c r="AU316" s="63" t="inlineStr">
        <is>
          <t>Y</t>
        </is>
      </c>
      <c r="AV316" s="74" t="n">
        <v>7.9</v>
      </c>
      <c r="AW316" s="74" t="n"/>
      <c r="AX316" s="74" t="n">
        <v>17.6</v>
      </c>
      <c r="AY316" s="74" t="n">
        <v>0.7</v>
      </c>
      <c r="AZ316" s="75" t="inlineStr">
        <is>
          <t>N</t>
        </is>
      </c>
      <c r="BA316" s="76">
        <f>IF('BBG Verify'!K316="","not filed — run on terminal",'BBG Verify'!K316)</f>
        <v/>
      </c>
      <c r="BB316" s="63" t="inlineStr">
        <is>
          <t>N/A</t>
        </is>
      </c>
      <c r="BC316" s="63" t="inlineStr">
        <is>
          <t>N/A</t>
        </is>
      </c>
      <c r="BD316" s="63" t="inlineStr">
        <is>
          <t>N/A</t>
        </is>
      </c>
      <c r="BE316" s="63" t="inlineStr">
        <is>
          <t>N/A</t>
        </is>
      </c>
      <c r="BF316" s="63" t="inlineStr">
        <is>
          <t>N/A</t>
        </is>
      </c>
      <c r="BG316" s="75" t="n"/>
      <c r="BH316" s="63" t="inlineStr">
        <is>
          <t>Sunny Fortune Capital Limited</t>
        </is>
      </c>
      <c r="BI316" s="63" t="inlineStr">
        <is>
          <t>CMBC Securities Company Limited; Central, Hong Kong Hung Sing Securities Limited; Yuet Sheung International Securities Limited; Central, Hong Kong Zhongtai International Securities Limited; Central, Hong Kong ZMF Asset Management Limited</t>
        </is>
      </c>
      <c r="BJ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7">
        <f>HYPERLINK("https://www1.hkexnews.hk/listedco/listconews/sehk/2025/0319/2025031900013.pdf","prospectus")</f>
        <v/>
      </c>
      <c r="BL316" s="77">
        <f>HYPERLINK("https://www1.hkexnews.hk/listedco/listconews/sehk/2025/0326/2025032601370.pdf","allotment")</f>
        <v/>
      </c>
      <c r="BM316" s="63" t="n"/>
      <c r="BN316" s="75" t="n"/>
      <c r="BO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7" t="n">
        <v>17.79</v>
      </c>
      <c r="W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3" t="inlineStr">
        <is>
          <t>xu-shihe;yin;hu-qinghua;zhu-zheng;zhan;jiang-xianyue;yao-xinhua;guo-xia;lu-shouping;kan;huang-haiyan;zhen;shen-zhigen;xia-zhonglin</t>
        </is>
      </c>
      <c r="Y317" s="67" t="n">
        <v>7.65</v>
      </c>
      <c r="Z317" s="63" t="n"/>
      <c r="AA317" s="72" t="n">
        <v>0</v>
      </c>
      <c r="AB317" s="73" t="n">
        <v>37.6</v>
      </c>
      <c r="AC317" s="73" t="n">
        <v>-27.33</v>
      </c>
      <c r="AD317" s="73" t="n">
        <v>-14.4</v>
      </c>
      <c r="AE317" s="73" t="n">
        <v>33.6</v>
      </c>
      <c r="AF317" s="73" t="n">
        <v>11.2</v>
      </c>
      <c r="AG317" s="73" t="n">
        <v>-14.4</v>
      </c>
      <c r="AH317" s="73" t="n">
        <v>33.6</v>
      </c>
      <c r="AI317" s="73" t="n">
        <v>11.2</v>
      </c>
      <c r="AJ317" s="73" t="n">
        <v>1.44</v>
      </c>
      <c r="AK317" s="73" t="n">
        <v>38.29</v>
      </c>
      <c r="AL317" s="73" t="n">
        <v>14.93</v>
      </c>
      <c r="AM317" s="73" t="n">
        <v>36.36</v>
      </c>
      <c r="AN317" s="73" t="n">
        <v>-4.69</v>
      </c>
      <c r="AO317" s="73" t="n">
        <v>-2.76</v>
      </c>
      <c r="AP317" s="63" t="inlineStr">
        <is>
          <t>Hang Seng Commerce &amp; Industry sub-index</t>
        </is>
      </c>
      <c r="AQ317" s="73" t="n">
        <v>-20.4</v>
      </c>
      <c r="AR317" s="64" t="inlineStr">
        <is>
          <t>2026-08-21</t>
        </is>
      </c>
      <c r="AS317" s="65" t="n">
        <v>1542.2</v>
      </c>
      <c r="AT317" s="68" t="n">
        <v>56.8</v>
      </c>
      <c r="AU317" s="63" t="inlineStr">
        <is>
          <t>Y</t>
        </is>
      </c>
      <c r="AV317" s="74" t="n">
        <v>9.4</v>
      </c>
      <c r="AW317" s="74" t="n">
        <v>8.6</v>
      </c>
      <c r="AX317" s="74" t="n">
        <v>9.9</v>
      </c>
      <c r="AY317" s="74" t="n">
        <v>0.3</v>
      </c>
      <c r="AZ317" s="75" t="inlineStr">
        <is>
          <t>N</t>
        </is>
      </c>
      <c r="BA317" s="76">
        <f>IF('BBG Verify'!K317="","not filed — run on terminal",'BBG Verify'!K317)</f>
        <v/>
      </c>
      <c r="BB317" s="63" t="inlineStr">
        <is>
          <t>N/A</t>
        </is>
      </c>
      <c r="BC317" s="63" t="inlineStr">
        <is>
          <t>N/A</t>
        </is>
      </c>
      <c r="BD317" s="63" t="inlineStr">
        <is>
          <t>N/A</t>
        </is>
      </c>
      <c r="BE317" s="63" t="inlineStr">
        <is>
          <t>N/A</t>
        </is>
      </c>
      <c r="BF317" s="63" t="inlineStr">
        <is>
          <t>N/A</t>
        </is>
      </c>
      <c r="BG317" s="75" t="inlineStr">
        <is>
          <t>Red Solar Capital Limited</t>
        </is>
      </c>
      <c r="BH317" s="63" t="inlineStr">
        <is>
          <t>Red Solar Capital Limited</t>
        </is>
      </c>
      <c r="BI317" s="63" t="inlineStr">
        <is>
          <t>Red Solar Capital Limited; CCB International Capital Limited</t>
        </is>
      </c>
      <c r="BJ317" s="63" t="inlineStr">
        <is>
          <t>CCB International Capital Limited; CMBC Securities Company Limited; CMB International Capital Limited; Eddid Securities and Futures Limited; Innovax Securities Limited; Long Bridge HK Limited; Red Solar Capital Limited; Star River Securities Limited</t>
        </is>
      </c>
      <c r="BK317" s="77">
        <f>HYPERLINK("https://www1.hkexnews.hk/listedco/listconews/sehk/2025/0321/2025032100009.pdf","prospectus")</f>
        <v/>
      </c>
      <c r="BL317" s="77">
        <f>HYPERLINK("https://www1.hkexnews.hk/listedco/listconews/sehk/2025/0328/2025032802386.pdf","allotment")</f>
        <v/>
      </c>
      <c r="BM317" s="63" t="n"/>
      <c r="BN317" s="75" t="n"/>
      <c r="BO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7" t="n">
        <v>1.84</v>
      </c>
      <c r="W318" s="63" t="n"/>
      <c r="X318" s="63" t="n"/>
      <c r="Y318" s="67" t="n">
        <v>15</v>
      </c>
      <c r="Z318" s="63" t="inlineStr">
        <is>
          <t>lapsed (no over-allocation)</t>
        </is>
      </c>
      <c r="AA318" s="72" t="n">
        <v>1.45</v>
      </c>
      <c r="AB318" s="73" t="n">
        <v>2.3</v>
      </c>
      <c r="AC318" s="73" t="n">
        <v>-0.83</v>
      </c>
      <c r="AD318" s="73" t="n">
        <v>0.73</v>
      </c>
      <c r="AE318" s="73" t="n">
        <v>13.78</v>
      </c>
      <c r="AF318" s="73" t="n">
        <v>26.72</v>
      </c>
      <c r="AG318" s="73" t="n">
        <v>-0.71</v>
      </c>
      <c r="AH318" s="73" t="n">
        <v>12.15</v>
      </c>
      <c r="AI318" s="73" t="n">
        <v>24.91</v>
      </c>
      <c r="AJ318" s="73" t="n">
        <v>-3.66</v>
      </c>
      <c r="AK318" s="73" t="n">
        <v>3.8</v>
      </c>
      <c r="AL318" s="73" t="n">
        <v>13.94</v>
      </c>
      <c r="AM318" s="73" t="n">
        <v>4.43</v>
      </c>
      <c r="AN318" s="73" t="n">
        <v>9.98</v>
      </c>
      <c r="AO318" s="73" t="n">
        <v>7.72</v>
      </c>
      <c r="AP318" s="63" t="inlineStr">
        <is>
          <t>Hang Seng Commerce &amp; Industry sub-index</t>
        </is>
      </c>
      <c r="AQ318" s="73" t="n">
        <v>-35.61</v>
      </c>
      <c r="AR318" s="64" t="inlineStr">
        <is>
          <t>2026-08-21</t>
        </is>
      </c>
      <c r="AS318" s="65" t="n">
        <v>4577.8</v>
      </c>
      <c r="AT318" s="68" t="n">
        <v>-648.9</v>
      </c>
      <c r="AU318" s="63" t="inlineStr">
        <is>
          <t>N</t>
        </is>
      </c>
      <c r="AV318" s="63" t="inlineStr">
        <is>
          <t>n/m</t>
        </is>
      </c>
      <c r="AW318" s="74" t="n">
        <v>197.7</v>
      </c>
      <c r="AX318" s="74" t="n">
        <v>14.3</v>
      </c>
      <c r="AY318" s="74" t="n">
        <v>4.5</v>
      </c>
      <c r="AZ318" s="75" t="inlineStr">
        <is>
          <t>N</t>
        </is>
      </c>
      <c r="BA318" s="76">
        <f>IF('BBG Verify'!K318="","not filed — run on terminal",'BBG Verify'!K318)</f>
        <v/>
      </c>
      <c r="BB318" s="63" t="inlineStr">
        <is>
          <t>N/A</t>
        </is>
      </c>
      <c r="BC318" s="63" t="inlineStr">
        <is>
          <t>N/A</t>
        </is>
      </c>
      <c r="BD318" s="63" t="inlineStr">
        <is>
          <t>N/A</t>
        </is>
      </c>
      <c r="BE318" s="63" t="inlineStr">
        <is>
          <t>N/A</t>
        </is>
      </c>
      <c r="BF318" s="63" t="inlineStr">
        <is>
          <t>N/A</t>
        </is>
      </c>
      <c r="BG318" s="75" t="n"/>
      <c r="BH318" s="63" t="inlineStr">
        <is>
          <t>China International Capital Corporation Hong Kong Securities Limited; CMB International Capital Limited</t>
        </is>
      </c>
      <c r="BI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7">
        <f>HYPERLINK("https://www1.hkexnews.hk/listedco/listconews/sehk/2025/0403/2025040300013.pdf","prospectus")</f>
        <v/>
      </c>
      <c r="BL318" s="77">
        <f>HYPERLINK("https://www1.hkexnews.hk/listedco/listconews/sehk/2025/0411/2025041101645.pdf","allotment")</f>
        <v/>
      </c>
      <c r="BM318" s="77">
        <f>HYPERLINK("https://www1.hkexnews.hk/listedco/listconews/sehk/2025/0509/2025050900261.pdf","stabilisation")</f>
        <v/>
      </c>
      <c r="BN318" s="75" t="n"/>
      <c r="BO318" s="63"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7868.4</v>
      </c>
      <c r="R319" s="63" t="inlineStr">
        <is>
          <t>prospectus:stated market capitalisation</t>
        </is>
      </c>
      <c r="S319" s="69" t="n">
        <v>115.14</v>
      </c>
      <c r="T319" s="70" t="n">
        <v>13.52</v>
      </c>
      <c r="U319" s="71" t="n">
        <v>30.82</v>
      </c>
      <c r="V319" s="67" t="n">
        <v>14.42</v>
      </c>
      <c r="W319" s="63" t="inlineStr">
        <is>
          <t>LAV Star Limited; Suzhou Suchuang; E Fund Mangement; BioNTech SE; TruMed; E Fund Management Co., Ltd; DualityBio Ltd; LAV Fund VI, L.P; King Star Med LP</t>
        </is>
      </c>
      <c r="X319" s="63" t="inlineStr">
        <is>
          <t>lav;suzhou;mangement;biontech;trumed;fund-management;dualitybio;king</t>
        </is>
      </c>
      <c r="Y319" s="67" t="n">
        <v>15</v>
      </c>
      <c r="Z319" s="63" t="inlineStr">
        <is>
          <t>full</t>
        </is>
      </c>
      <c r="AA319" s="72" t="n">
        <v>116.7</v>
      </c>
      <c r="AB319" s="73" t="n">
        <v>91.33</v>
      </c>
      <c r="AC319" s="73" t="n">
        <v>13.26</v>
      </c>
      <c r="AD319" s="73" t="n">
        <v>137.84</v>
      </c>
      <c r="AE319" s="73" t="n">
        <v>111.42</v>
      </c>
      <c r="AF319" s="73" t="n">
        <v>255.18</v>
      </c>
      <c r="AG319" s="73" t="n">
        <v>9.76</v>
      </c>
      <c r="AH319" s="73" t="n">
        <v>-2.44</v>
      </c>
      <c r="AI319" s="73" t="n">
        <v>63.9</v>
      </c>
      <c r="AJ319" s="73" t="n">
        <v>133.61</v>
      </c>
      <c r="AK319" s="73" t="n">
        <v>107.06</v>
      </c>
      <c r="AL319" s="73" t="n">
        <v>221.6</v>
      </c>
      <c r="AM319" s="73" t="n">
        <v>-7.44</v>
      </c>
      <c r="AN319" s="73" t="n">
        <v>4.36</v>
      </c>
      <c r="AO319" s="73" t="n">
        <v>5</v>
      </c>
      <c r="AP319" s="63" t="inlineStr">
        <is>
          <t>China Biotech ETF (HS biotech proxy)</t>
        </is>
      </c>
      <c r="AQ319" s="73" t="n">
        <v>98.41</v>
      </c>
      <c r="AR319" s="64" t="inlineStr">
        <is>
          <t>2026-08-20</t>
        </is>
      </c>
      <c r="AS319" s="65" t="n">
        <v>2135.4</v>
      </c>
      <c r="AT319" s="68" t="n">
        <v>-1155.5</v>
      </c>
      <c r="AU319" s="63" t="inlineStr">
        <is>
          <t>N</t>
        </is>
      </c>
      <c r="AV319" s="63" t="inlineStr">
        <is>
          <t>n/m</t>
        </is>
      </c>
      <c r="AW319" s="74" t="n"/>
      <c r="AX319" s="74" t="n"/>
      <c r="AY319" s="74" t="n">
        <v>3.7</v>
      </c>
      <c r="AZ319" s="75" t="inlineStr">
        <is>
          <t>N</t>
        </is>
      </c>
      <c r="BA319" s="76">
        <f>IF('BBG Verify'!K319="","not filed — run on terminal",'BBG Verify'!K319)</f>
        <v/>
      </c>
      <c r="BB319" s="63" t="inlineStr">
        <is>
          <t>N/A</t>
        </is>
      </c>
      <c r="BC319" s="63" t="inlineStr">
        <is>
          <t>N/A</t>
        </is>
      </c>
      <c r="BD319" s="63" t="inlineStr">
        <is>
          <t>N/A</t>
        </is>
      </c>
      <c r="BE319" s="63" t="inlineStr">
        <is>
          <t>N/A</t>
        </is>
      </c>
      <c r="BF319" s="63" t="inlineStr">
        <is>
          <t>N/A</t>
        </is>
      </c>
      <c r="BG319" s="75" t="inlineStr">
        <is>
          <t>Morgan Stanley Asia Limited</t>
        </is>
      </c>
      <c r="BH319" s="63" t="inlineStr">
        <is>
          <t>Jefferies Hong Kong Limited; Morgan Stanley Asia Limited; CITIC Securities (Hong Kong) Limited</t>
        </is>
      </c>
      <c r="BI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7">
        <f>HYPERLINK("https://www1.hkexnews.hk/listedco/listconews/sehk/2025/0407/2025040700009.pdf","prospectus")</f>
        <v/>
      </c>
      <c r="BL319" s="77">
        <f>HYPERLINK("https://www1.hkexnews.hk/listedco/listconews/sehk/2025/0414/2025041401384.pdf","allotment")</f>
        <v/>
      </c>
      <c r="BM319" s="77">
        <f>HYPERLINK("https://www1.hkexnews.hk/listedco/listconews/sehk/2025/0512/2025051200137.pdf","stabilisation")</f>
        <v/>
      </c>
      <c r="BN319" s="75" t="n"/>
      <c r="BO319" s="63" t="inlineStr">
        <is>
          <t>P/E: n/m — loss-making at IPO (use P/S) · A/H: no A-share listing</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9">
        <f>IF('BBG Verify'!E320="","not filed — run on terminal",'BBG Verify'!E320)</f>
        <v/>
      </c>
      <c r="U320" s="71" t="n">
        <v>22.7</v>
      </c>
      <c r="V320" s="67" t="n">
        <v>2.65</v>
      </c>
      <c r="W320" s="63" t="inlineStr">
        <is>
          <t>Changfeng Growth Equity Fund</t>
        </is>
      </c>
      <c r="X320" s="63" t="inlineStr">
        <is>
          <t>changfeng</t>
        </is>
      </c>
      <c r="Y320" s="67" t="n">
        <v>14.23</v>
      </c>
      <c r="Z320" s="63" t="n"/>
      <c r="AA320" s="72" t="n">
        <v>38.33</v>
      </c>
      <c r="AB320" s="73" t="n">
        <v>61.11</v>
      </c>
      <c r="AC320" s="73" t="n">
        <v>-14.14</v>
      </c>
      <c r="AD320" s="73" t="n">
        <v>31.11</v>
      </c>
      <c r="AE320" s="73" t="n">
        <v>79.44</v>
      </c>
      <c r="AF320" s="73" t="n">
        <v>53.33</v>
      </c>
      <c r="AG320" s="73" t="n">
        <v>-5.22</v>
      </c>
      <c r="AH320" s="73" t="n">
        <v>29.72</v>
      </c>
      <c r="AI320" s="73" t="n">
        <v>10.84</v>
      </c>
      <c r="AJ320" s="73" t="n">
        <v>27.73</v>
      </c>
      <c r="AK320" s="73" t="n">
        <v>75.65000000000001</v>
      </c>
      <c r="AL320" s="73" t="n">
        <v>46.9</v>
      </c>
      <c r="AM320" s="73" t="n">
        <v>25.23</v>
      </c>
      <c r="AN320" s="73" t="n">
        <v>3.79</v>
      </c>
      <c r="AO320" s="73" t="n">
        <v>4.49</v>
      </c>
      <c r="AP320" s="63" t="inlineStr">
        <is>
          <t>Hang Seng Commerce &amp; Industry sub-index</t>
        </is>
      </c>
      <c r="AQ320" s="73" t="n">
        <v>-40.39</v>
      </c>
      <c r="AR320" s="64" t="inlineStr">
        <is>
          <t>2026-08-20</t>
        </is>
      </c>
      <c r="AS320" s="65" t="n">
        <v>401</v>
      </c>
      <c r="AT320" s="68" t="n">
        <v>-302</v>
      </c>
      <c r="AU320" s="63" t="inlineStr">
        <is>
          <t>N</t>
        </is>
      </c>
      <c r="AV320" s="63" t="inlineStr">
        <is>
          <t>n/m</t>
        </is>
      </c>
      <c r="AW320" s="74" t="n"/>
      <c r="AX320" s="74" t="n"/>
      <c r="AY320" s="74" t="n">
        <v>17</v>
      </c>
      <c r="AZ320" s="75" t="inlineStr">
        <is>
          <t>N</t>
        </is>
      </c>
      <c r="BA320" s="76">
        <f>IF('BBG Verify'!K320="","not filed — run on terminal",'BBG Verify'!K320)</f>
        <v/>
      </c>
      <c r="BB320" s="63" t="inlineStr">
        <is>
          <t>N/A</t>
        </is>
      </c>
      <c r="BC320" s="63" t="inlineStr">
        <is>
          <t>N/A</t>
        </is>
      </c>
      <c r="BD320" s="63" t="inlineStr">
        <is>
          <t>N/A</t>
        </is>
      </c>
      <c r="BE320" s="63" t="inlineStr">
        <is>
          <t>N/A</t>
        </is>
      </c>
      <c r="BF320" s="63" t="inlineStr">
        <is>
          <t>N/A</t>
        </is>
      </c>
      <c r="BG320" s="75" t="inlineStr">
        <is>
          <t>CMB International Capital Limited</t>
        </is>
      </c>
      <c r="BH320" s="63" t="inlineStr">
        <is>
          <t>China International Capital Corporation Hong Kong Securities Limited; CMB International Capital Corporation Limited</t>
        </is>
      </c>
      <c r="BI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7">
        <f>HYPERLINK("https://www1.hkexnews.hk/listedco/listconews/sehk/2025/0425/2025042500055.pdf","prospectus")</f>
        <v/>
      </c>
      <c r="BL320" s="77">
        <f>HYPERLINK("https://www1.hkexnews.hk/listedco/listconews/sehk/2025/0506/2025050602875.pdf","allotment")</f>
        <v/>
      </c>
      <c r="BM320" s="63" t="n"/>
      <c r="BN320" s="75" t="n"/>
      <c r="BO320" s="63"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7" t="n">
        <v>13.48</v>
      </c>
      <c r="W321" s="63" t="inlineStr">
        <is>
          <t>Zhuhai Gokin New Energy Investment Co., Ltd; Modern Direct Investment New Energy Technology Co., Limited; GF Securities</t>
        </is>
      </c>
      <c r="X321" s="63" t="inlineStr">
        <is>
          <t>zhuhai;modern;gf</t>
        </is>
      </c>
      <c r="Y321" s="67" t="n">
        <v>7.6</v>
      </c>
      <c r="Z321" s="63" t="inlineStr">
        <is>
          <t>lapsed (no over-allocation)</t>
        </is>
      </c>
      <c r="AA321" s="72" t="n">
        <v>20.09</v>
      </c>
      <c r="AB321" s="73" t="n">
        <v>0.23</v>
      </c>
      <c r="AC321" s="73" t="n">
        <v>19.81</v>
      </c>
      <c r="AD321" s="73" t="n">
        <v>3.61</v>
      </c>
      <c r="AE321" s="73" t="n">
        <v>8.130000000000001</v>
      </c>
      <c r="AF321" s="73" t="n">
        <v>-2.48</v>
      </c>
      <c r="AG321" s="73" t="n">
        <v>-13.72</v>
      </c>
      <c r="AH321" s="73" t="n">
        <v>-9.960000000000001</v>
      </c>
      <c r="AI321" s="73" t="n">
        <v>-18.79</v>
      </c>
      <c r="AJ321" s="73" t="n">
        <v>0.51</v>
      </c>
      <c r="AK321" s="73" t="n">
        <v>4.34</v>
      </c>
      <c r="AL321" s="73" t="n">
        <v>-9.83</v>
      </c>
      <c r="AM321" s="73" t="n">
        <v>-13.02</v>
      </c>
      <c r="AN321" s="73" t="n">
        <v>3.79</v>
      </c>
      <c r="AO321" s="73" t="n">
        <v>3.06</v>
      </c>
      <c r="AP321" s="63" t="inlineStr">
        <is>
          <t>Hang Seng Commerce &amp; Industry sub-index</t>
        </is>
      </c>
      <c r="AQ321" s="73" t="n">
        <v>-24.6</v>
      </c>
      <c r="AR321" s="64" t="inlineStr">
        <is>
          <t>2026-08-20</t>
        </is>
      </c>
      <c r="AS321" s="65" t="n">
        <v>2006.3</v>
      </c>
      <c r="AT321" s="68" t="n">
        <v>-275.6</v>
      </c>
      <c r="AU321" s="63" t="inlineStr">
        <is>
          <t>N</t>
        </is>
      </c>
      <c r="AV321" s="63" t="inlineStr">
        <is>
          <t>n/m</t>
        </is>
      </c>
      <c r="AW321" s="74" t="n"/>
      <c r="AX321" s="74" t="n"/>
      <c r="AY321" s="74" t="n">
        <v>3.2</v>
      </c>
      <c r="AZ321" s="75" t="inlineStr">
        <is>
          <t>Y</t>
        </is>
      </c>
      <c r="BA321" s="63" t="inlineStr">
        <is>
          <t>002865.SZ</t>
        </is>
      </c>
      <c r="BB321" s="73" t="n">
        <v>99.26000000000001</v>
      </c>
      <c r="BC321" s="66" t="n">
        <v>44.1352</v>
      </c>
      <c r="BD321" s="80" t="n">
        <v>1.9481</v>
      </c>
      <c r="BE321" s="78">
        <f>IF('BBG Verify'!Q321="","run on terminal",'BBG Verify'!Q321)</f>
        <v/>
      </c>
      <c r="BF321" s="78">
        <f>IF('BBG Verify'!R321="","run on terminal",'BBG Verify'!R321)</f>
        <v/>
      </c>
      <c r="BG321" s="75" t="inlineStr">
        <is>
          <t>Huatai Financial Holdings (Hong Kong) Limited; CMB International Capital Limited; Deutsche Securities Asia Limited</t>
        </is>
      </c>
      <c r="BH321" s="63" t="inlineStr">
        <is>
          <t>Huatai Financial Holdings (Hong Kong) Limited; Deutsche Securities Asia Limited; CMB International Capital Corporation Limited</t>
        </is>
      </c>
      <c r="BI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7">
        <f>HYPERLINK("https://www1.hkexnews.hk/listedco/listconews/sehk/2025/0428/2025042800051.pdf","prospectus")</f>
        <v/>
      </c>
      <c r="BL321" s="77">
        <f>HYPERLINK("https://www1.hkexnews.hk/listedco/listconews/sehk/2025/0507/2025050702202.pdf","allotment")</f>
        <v/>
      </c>
      <c r="BM321" s="77">
        <f>HYPERLINK("https://www1.hkexnews.hk/listedco/listconews/sehk/2025/0602/2025060200082.pdf","stabilisation")</f>
        <v/>
      </c>
      <c r="BN321" s="75" t="n"/>
      <c r="BO321" s="63" t="inlineStr">
        <is>
          <t>P/E: n/m — loss-making at IPO (use P/S)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7" t="n">
        <v>1.8</v>
      </c>
      <c r="W322" s="63" t="inlineStr">
        <is>
          <t>Infore Holding</t>
        </is>
      </c>
      <c r="X322" s="63" t="inlineStr">
        <is>
          <t>infore</t>
        </is>
      </c>
      <c r="Y322" s="67" t="n">
        <v>15</v>
      </c>
      <c r="Z322" s="63" t="inlineStr">
        <is>
          <t>full</t>
        </is>
      </c>
      <c r="AA322" s="72" t="n">
        <v>40.03</v>
      </c>
      <c r="AB322" s="73" t="n">
        <v>68.48999999999999</v>
      </c>
      <c r="AC322" s="73" t="n">
        <v>-16.89</v>
      </c>
      <c r="AD322" s="73" t="n">
        <v>12.89</v>
      </c>
      <c r="AE322" s="73" t="n">
        <v>9.619999999999999</v>
      </c>
      <c r="AF322" s="73" t="n">
        <v>21.38</v>
      </c>
      <c r="AG322" s="73" t="n">
        <v>-19.38</v>
      </c>
      <c r="AH322" s="73" t="n">
        <v>-21.72</v>
      </c>
      <c r="AI322" s="73" t="n">
        <v>-13.32</v>
      </c>
      <c r="AJ322" s="73" t="n">
        <v>9.789999999999999</v>
      </c>
      <c r="AK322" s="73" t="n">
        <v>5.83</v>
      </c>
      <c r="AL322" s="73" t="n">
        <v>14.03</v>
      </c>
      <c r="AM322" s="73" t="n">
        <v>-24.78</v>
      </c>
      <c r="AN322" s="73" t="n">
        <v>3.79</v>
      </c>
      <c r="AO322" s="73" t="n">
        <v>3.06</v>
      </c>
      <c r="AP322" s="63" t="inlineStr">
        <is>
          <t>Hang Seng Commerce &amp; Industry sub-index</t>
        </is>
      </c>
      <c r="AQ322" s="73" t="n">
        <v>-27.51</v>
      </c>
      <c r="AR322" s="64" t="inlineStr">
        <is>
          <t>2026-08-20</t>
        </is>
      </c>
      <c r="AS322" s="65" t="n">
        <v>3613</v>
      </c>
      <c r="AT322" s="68" t="n">
        <v>361.8</v>
      </c>
      <c r="AU322" s="63" t="inlineStr">
        <is>
          <t>Y</t>
        </is>
      </c>
      <c r="AV322" s="74" t="n">
        <v>29</v>
      </c>
      <c r="AW322" s="74" t="n">
        <v>45.8</v>
      </c>
      <c r="AX322" s="74" t="n">
        <v>15.2</v>
      </c>
      <c r="AY322" s="74" t="n">
        <v>2.9</v>
      </c>
      <c r="AZ322" s="75" t="inlineStr">
        <is>
          <t>N</t>
        </is>
      </c>
      <c r="BA322" s="76">
        <f>IF('BBG Verify'!K322="","not filed — run on terminal",'BBG Verify'!K322)</f>
        <v/>
      </c>
      <c r="BB322" s="63" t="inlineStr">
        <is>
          <t>N/A</t>
        </is>
      </c>
      <c r="BC322" s="63" t="inlineStr">
        <is>
          <t>N/A</t>
        </is>
      </c>
      <c r="BD322" s="63" t="inlineStr">
        <is>
          <t>N/A</t>
        </is>
      </c>
      <c r="BE322" s="63" t="inlineStr">
        <is>
          <t>N/A</t>
        </is>
      </c>
      <c r="BF322" s="63" t="inlineStr">
        <is>
          <t>N/A</t>
        </is>
      </c>
      <c r="BG322" s="75" t="inlineStr">
        <is>
          <t>CITIC Securities (Hong Kong) Limited; Haitong International Capital Limited; Central, Hong Kong Orient Capital (Hong Kong) Limited</t>
        </is>
      </c>
      <c r="BH322" s="63" t="inlineStr">
        <is>
          <t>Haitong International Capital Limited; CITIC Securities (Hong Kong) Limited; Orient Capital (Hong Kong) Limited</t>
        </is>
      </c>
      <c r="BI322" s="63"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7">
        <f>HYPERLINK("https://www1.hkexnews.hk/listedco/listconews/sehk/2025/0428/2025042800055.pdf","prospectus")</f>
        <v/>
      </c>
      <c r="BL322" s="77">
        <f>HYPERLINK("https://www1.hkexnews.hk/listedco/listconews/sehk/2025/0507/2025050702204.pdf","allotment")</f>
        <v/>
      </c>
      <c r="BM322" s="77">
        <f>HYPERLINK("https://www1.hkexnews.hk/listedco/listconews/sehk/2025/0601/2025060100017.pdf","stabilisation")</f>
        <v/>
      </c>
      <c r="BN322" s="75" t="n"/>
      <c r="BO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7" t="n">
        <v>26.51</v>
      </c>
      <c r="W323" s="63" t="inlineStr">
        <is>
          <t>Relationship* Wuxi Lvlian; Wuxi Hexiang; Anji Liangshan; Action Chain; Chia Tai</t>
        </is>
      </c>
      <c r="X323" s="63" t="inlineStr">
        <is>
          <t>relationship;wuxi;anji;action;chia</t>
        </is>
      </c>
      <c r="Y323" s="67" t="n">
        <v>15.76</v>
      </c>
      <c r="Z323" s="63" t="inlineStr">
        <is>
          <t>lapsed</t>
        </is>
      </c>
      <c r="AA323" s="72" t="n">
        <v>-12.52</v>
      </c>
      <c r="AB323" s="73" t="n">
        <v>0</v>
      </c>
      <c r="AC323" s="73" t="n">
        <v>-12.52</v>
      </c>
      <c r="AD323" s="73" t="n">
        <v>-19.61</v>
      </c>
      <c r="AE323" s="73" t="n">
        <v>-11.27</v>
      </c>
      <c r="AF323" s="73" t="n">
        <v>3.2</v>
      </c>
      <c r="AG323" s="73" t="n">
        <v>-8.1</v>
      </c>
      <c r="AH323" s="73" t="n">
        <v>1.43</v>
      </c>
      <c r="AI323" s="73" t="n">
        <v>17.97</v>
      </c>
      <c r="AJ323" s="73" t="n">
        <v>-20.16</v>
      </c>
      <c r="AK323" s="73" t="n">
        <v>-11.85</v>
      </c>
      <c r="AL323" s="73" t="n">
        <v>-3.31</v>
      </c>
      <c r="AM323" s="73" t="n">
        <v>0.16</v>
      </c>
      <c r="AN323" s="73" t="n">
        <v>0.58</v>
      </c>
      <c r="AO323" s="73" t="n">
        <v>1.27</v>
      </c>
      <c r="AP323" s="63" t="inlineStr">
        <is>
          <t>Hang Seng Commerce &amp; Industry sub-index</t>
        </is>
      </c>
      <c r="AQ323" s="73" t="n">
        <v>-4.73</v>
      </c>
      <c r="AR323" s="64" t="inlineStr">
        <is>
          <t>2026-08-20</t>
        </is>
      </c>
      <c r="AS323" s="65" t="n">
        <v>4222</v>
      </c>
      <c r="AT323" s="68" t="n">
        <v>385.2</v>
      </c>
      <c r="AU323" s="63" t="inlineStr">
        <is>
          <t>Y</t>
        </is>
      </c>
      <c r="AV323" s="74" t="n">
        <v>7.8</v>
      </c>
      <c r="AW323" s="74" t="n"/>
      <c r="AX323" s="74" t="n">
        <v>7.4</v>
      </c>
      <c r="AY323" s="74" t="n">
        <v>0.7</v>
      </c>
      <c r="AZ323" s="75" t="inlineStr">
        <is>
          <t>N</t>
        </is>
      </c>
      <c r="BA323" s="76">
        <f>IF('BBG Verify'!K323="","not filed — run on terminal",'BBG Verify'!K323)</f>
        <v/>
      </c>
      <c r="BB323" s="63" t="inlineStr">
        <is>
          <t>N/A</t>
        </is>
      </c>
      <c r="BC323" s="63" t="inlineStr">
        <is>
          <t>N/A</t>
        </is>
      </c>
      <c r="BD323" s="63" t="inlineStr">
        <is>
          <t>N/A</t>
        </is>
      </c>
      <c r="BE323" s="63" t="inlineStr">
        <is>
          <t>N/A</t>
        </is>
      </c>
      <c r="BF323" s="63" t="inlineStr">
        <is>
          <t>N/A</t>
        </is>
      </c>
      <c r="BG323" s="75" t="inlineStr">
        <is>
          <t>Citigroup Global Markets Asia Limited; Hong Kong SAR CMB International Capital Limited</t>
        </is>
      </c>
      <c r="BH323" s="63" t="inlineStr">
        <is>
          <t>Citigroup Global Markets Asia Limited; CMB International Capital Corporation Limited</t>
        </is>
      </c>
      <c r="BI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7">
        <f>HYPERLINK("https://www1.hkexnews.hk/listedco/listconews/sehk/2025/0508/2025050800013.pdf","prospectus")</f>
        <v/>
      </c>
      <c r="BL323" s="77">
        <f>HYPERLINK("https://www1.hkexnews.hk/listedco/listconews/sehk/2025/0515/2025051501489.pdf","allotment")</f>
        <v/>
      </c>
      <c r="BM323" s="77">
        <f>HYPERLINK("https://www1.hkexnews.hk/listedco/listconews/sehk/2025/0612/2025061201064.pdf","stabilisation")</f>
        <v/>
      </c>
      <c r="BN323" s="75" t="n"/>
      <c r="BO323" s="63" t="inlineStr">
        <is>
          <t>range low: cap-only pricing — the filing publishes a Maximum Offer Price and no indicative floor · A/H: no A-share listing</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7" t="n">
        <v>1.27</v>
      </c>
      <c r="W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3" t="inlineStr">
        <is>
          <t>kuwait;china-international;zenith;abstract;wt;cpe;oaktree;mirae;pacific-asset;lmr;psbc;taikang;hhlr</t>
        </is>
      </c>
      <c r="Y324" s="67" t="n">
        <v>15</v>
      </c>
      <c r="Z324" s="63" t="inlineStr">
        <is>
          <t>full</t>
        </is>
      </c>
      <c r="AA324" s="72" t="n">
        <v>16.43</v>
      </c>
      <c r="AB324" s="73" t="n">
        <v>12.55</v>
      </c>
      <c r="AC324" s="73" t="n">
        <v>3.45</v>
      </c>
      <c r="AD324" s="73" t="n">
        <v>17.49</v>
      </c>
      <c r="AE324" s="73" t="n">
        <v>16.5</v>
      </c>
      <c r="AF324" s="73" t="n">
        <v>57.41</v>
      </c>
      <c r="AG324" s="73" t="n">
        <v>0.91</v>
      </c>
      <c r="AH324" s="73" t="n">
        <v>0.06</v>
      </c>
      <c r="AI324" s="73" t="n">
        <v>35.2</v>
      </c>
      <c r="AJ324" s="73" t="n">
        <v>17.98</v>
      </c>
      <c r="AK324" s="73" t="n">
        <v>16.86</v>
      </c>
      <c r="AL324" s="73" t="n">
        <v>51.09</v>
      </c>
      <c r="AM324" s="73" t="n">
        <v>2.11</v>
      </c>
      <c r="AN324" s="73" t="n">
        <v>-0.36</v>
      </c>
      <c r="AO324" s="73" t="n">
        <v>-2.05</v>
      </c>
      <c r="AP324" s="63" t="inlineStr">
        <is>
          <t>Hang Seng Commerce &amp; Industry sub-index</t>
        </is>
      </c>
      <c r="AQ324" s="73" t="n">
        <v>139.16</v>
      </c>
      <c r="AR324" s="64" t="inlineStr">
        <is>
          <t>2026-08-20</t>
        </is>
      </c>
      <c r="AS324" s="65" t="n">
        <v>398213.8</v>
      </c>
      <c r="AT324" s="68" t="n">
        <v>60824.5</v>
      </c>
      <c r="AU324" s="63" t="inlineStr">
        <is>
          <t>Y</t>
        </is>
      </c>
      <c r="AV324" s="74" t="n">
        <v>19.6</v>
      </c>
      <c r="AW324" s="74" t="n">
        <v>22.9</v>
      </c>
      <c r="AX324" s="74" t="n">
        <v>30.1</v>
      </c>
      <c r="AY324" s="74" t="n">
        <v>3</v>
      </c>
      <c r="AZ324" s="75" t="inlineStr">
        <is>
          <t>Y</t>
        </is>
      </c>
      <c r="BA324" s="63" t="inlineStr">
        <is>
          <t>300750.SZ</t>
        </is>
      </c>
      <c r="BB324" s="73" t="n">
        <v>7.15</v>
      </c>
      <c r="BC324" s="66" t="n">
        <v>281.7992</v>
      </c>
      <c r="BD324" s="80" t="n">
        <v>-0.2914</v>
      </c>
      <c r="BE324" s="78">
        <f>IF('BBG Verify'!Q324="","run on terminal",'BBG Verify'!Q324)</f>
        <v/>
      </c>
      <c r="BF324" s="78">
        <f>IF('BBG Verify'!R324="","run on terminal",'BBG Verify'!R324)</f>
        <v/>
      </c>
      <c r="BG324" s="75" t="inlineStr">
        <is>
          <t>China International Capital Corporation Hong Kong Securities Limited; China Securities (International) Corporate Finance Company Limited; J.P. Morgan Securities (Far East) Limited; Merrill Lynch (Asia Pacific) Limited</t>
        </is>
      </c>
      <c r="BH324" s="63" t="inlineStr">
        <is>
          <t>China International Capital Corporation Hong Kong Securities Limited; J.P. Morgan Securities (Far East) Limited; Merrill Lynch (Asia Pacific) Limited; China Securities (International) Corporate Finance Company Limited</t>
        </is>
      </c>
      <c r="BI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7">
        <f>HYPERLINK("https://www1.hkexnews.hk/listedco/listconews/sehk/2025/0512/2025051200005.pdf","prospectus")</f>
        <v/>
      </c>
      <c r="BL324" s="77">
        <f>HYPERLINK("https://www1.hkexnews.hk/listedco/listconews/sehk/2025/0519/2025051901257.pdf","allotment")</f>
        <v/>
      </c>
      <c r="BM324" s="77">
        <f>HYPERLINK("https://www1.hkexnews.hk/listedco/listconews/sehk/2025/0616/2025061600487.pdf","stabilisation")</f>
        <v/>
      </c>
      <c r="BN324" s="75" t="n"/>
      <c r="BO324" s="63" t="inlineStr">
        <is>
          <t>range low: cap-only pricing — the filing publishes a Maximum Offer Price and no indicative floor · A/H: May 2025, ~US$4.6bn (US$5.3bn w/ shoe) — world's largest listing of 2025; H priced at a slim discount to A and surged on debut</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7" t="n">
        <v>9.890000000000001</v>
      </c>
      <c r="W325" s="63" t="inlineStr">
        <is>
          <t>Fund SPC; EDB Investments Pte Ltd; III, L.P.; Creation Pte. Ltd.; NHH Venture Fund, L.P; 源九號有限合夥基金; SDG Alpha Win PE LPF; Holdings Company Limited; Blue Spark Hub Pte. Ltd; BPC SPV MRX LIMITED; Accurate Gene Limited; Technologies Pte. Ltd.</t>
        </is>
      </c>
      <c r="X325" s="63" t="inlineStr">
        <is>
          <t>fund-spc;edb;iii;creation;nhh;源九號有限合夥基金;sdg;holdings-company;blue;bpc;accurate;technologies</t>
        </is>
      </c>
      <c r="Y325" s="67" t="n"/>
      <c r="Z325" s="63" t="n"/>
      <c r="AA325" s="72" t="n">
        <v>28.76</v>
      </c>
      <c r="AB325" s="73" t="n">
        <v>28.33</v>
      </c>
      <c r="AC325" s="73" t="n">
        <v>0.34</v>
      </c>
      <c r="AD325" s="73" t="n">
        <v>25.32</v>
      </c>
      <c r="AE325" s="73" t="n">
        <v>44.42</v>
      </c>
      <c r="AF325" s="73" t="n">
        <v>87.55</v>
      </c>
      <c r="AG325" s="73" t="n">
        <v>-2.67</v>
      </c>
      <c r="AH325" s="73" t="n">
        <v>12.16</v>
      </c>
      <c r="AI325" s="73" t="n">
        <v>45.66</v>
      </c>
      <c r="AJ325" s="73" t="n">
        <v>22.29</v>
      </c>
      <c r="AK325" s="73" t="n">
        <v>35.69</v>
      </c>
      <c r="AL325" s="73" t="n">
        <v>50.43</v>
      </c>
      <c r="AM325" s="73" t="n">
        <v>3.28</v>
      </c>
      <c r="AN325" s="73" t="n">
        <v>8.73</v>
      </c>
      <c r="AO325" s="73" t="n">
        <v>8.880000000000001</v>
      </c>
      <c r="AP325" s="63" t="inlineStr">
        <is>
          <t>China Biotech ETF (HS biotech proxy)</t>
        </is>
      </c>
      <c r="AQ325" s="73" t="n">
        <v>-46.74</v>
      </c>
      <c r="AR325" s="64" t="inlineStr">
        <is>
          <t>2026-08-19</t>
        </is>
      </c>
      <c r="AS325" s="65" t="n">
        <v>158.2</v>
      </c>
      <c r="AT325" s="68" t="n">
        <v>-720.2</v>
      </c>
      <c r="AU325" s="63" t="inlineStr">
        <is>
          <t>N</t>
        </is>
      </c>
      <c r="AV325" s="63" t="inlineStr">
        <is>
          <t>n/m</t>
        </is>
      </c>
      <c r="AW325" s="74" t="n"/>
      <c r="AX325" s="74" t="n"/>
      <c r="AY325" s="74" t="n">
        <v>40.7</v>
      </c>
      <c r="AZ325" s="75" t="inlineStr">
        <is>
          <t>N</t>
        </is>
      </c>
      <c r="BA325" s="76">
        <f>IF('BBG Verify'!K325="","not filed — run on terminal",'BBG Verify'!K325)</f>
        <v/>
      </c>
      <c r="BB325" s="63" t="inlineStr">
        <is>
          <t>N/A</t>
        </is>
      </c>
      <c r="BC325" s="63" t="inlineStr">
        <is>
          <t>N/A</t>
        </is>
      </c>
      <c r="BD325" s="63" t="inlineStr">
        <is>
          <t>N/A</t>
        </is>
      </c>
      <c r="BE325" s="63" t="inlineStr">
        <is>
          <t>N/A</t>
        </is>
      </c>
      <c r="BF325" s="63" t="inlineStr">
        <is>
          <t>N/A</t>
        </is>
      </c>
      <c r="BG325" s="75" t="inlineStr">
        <is>
          <t>China International Capital Corporation Hong Kong Securities Limited; CCB International Capital Limited</t>
        </is>
      </c>
      <c r="BH325" s="63" t="inlineStr">
        <is>
          <t>China International Capital Corporation Hong Kong Securities Limited; CCB International Capital Limited</t>
        </is>
      </c>
      <c r="BI325" s="63" t="inlineStr">
        <is>
          <t>CMB International Capital Limited; Livermore Holdings Limited; BOCOM International Securities Limited; Platinum Broking Company Limited</t>
        </is>
      </c>
      <c r="BJ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7">
        <f>HYPERLINK("https://www1.hkexnews.hk/listedco/listconews/sehk/2025/0515/2025051500021.pdf","prospectus")</f>
        <v/>
      </c>
      <c r="BL325" s="77">
        <f>HYPERLINK("https://www1.hkexnews.hk/listedco/listconews/sehk/2025/0522/2025052201535.pdf","allotment")</f>
        <v/>
      </c>
      <c r="BM325" s="63" t="n"/>
      <c r="BN325" s="75" t="n"/>
      <c r="BO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c r="L326" s="66" t="n">
        <v>44.05</v>
      </c>
      <c r="M326" s="66" t="n">
        <v>44.05</v>
      </c>
      <c r="N326" s="63" t="inlineStr">
        <is>
          <t>Y</t>
        </is>
      </c>
      <c r="O326" s="67" t="n">
        <v>100</v>
      </c>
      <c r="P326" s="67" t="n"/>
      <c r="Q326" s="68" t="n">
        <v>351900</v>
      </c>
      <c r="R326" s="63" t="inlineStr">
        <is>
          <t>prospectus:stated market capitalisation</t>
        </is>
      </c>
      <c r="S326" s="69" t="n">
        <v>454.85</v>
      </c>
      <c r="T326" s="70" t="n">
        <v>17.09</v>
      </c>
      <c r="U326" s="71" t="n">
        <v>42</v>
      </c>
      <c r="V326" s="67" t="n">
        <v>1.63</v>
      </c>
      <c r="W326" s="63" t="inlineStr">
        <is>
          <t>GIC Private Limited; Invesco Advisers, Inc; HHLR CF, L.P; Strategies (Asia) Pte. Ltd; Oaktree Capital Management, L.P; Cordial Solar; UBS AM Singapore</t>
        </is>
      </c>
      <c r="X326" s="63" t="inlineStr">
        <is>
          <t>gic;invesco;hhlr;strategies;oaktree;cordial;ubs</t>
        </is>
      </c>
      <c r="Y326" s="67" t="n">
        <v>15</v>
      </c>
      <c r="Z326" s="63" t="inlineStr">
        <is>
          <t>full</t>
        </is>
      </c>
      <c r="AA326" s="72" t="n">
        <v>25.2</v>
      </c>
      <c r="AB326" s="73" t="n">
        <v>30.76</v>
      </c>
      <c r="AC326" s="73" t="n">
        <v>-4.25</v>
      </c>
      <c r="AD326" s="73" t="n">
        <v>31.67</v>
      </c>
      <c r="AE326" s="73" t="n">
        <v>26.79</v>
      </c>
      <c r="AF326" s="73" t="n">
        <v>76.5</v>
      </c>
      <c r="AG326" s="73" t="n">
        <v>5.17</v>
      </c>
      <c r="AH326" s="73" t="n">
        <v>1.27</v>
      </c>
      <c r="AI326" s="73" t="n">
        <v>40.97</v>
      </c>
      <c r="AJ326" s="73" t="n">
        <v>28.64</v>
      </c>
      <c r="AK326" s="73" t="n">
        <v>18.06</v>
      </c>
      <c r="AL326" s="73" t="n">
        <v>39.38</v>
      </c>
      <c r="AM326" s="73" t="n">
        <v>-7.61</v>
      </c>
      <c r="AN326" s="73" t="n">
        <v>8.73</v>
      </c>
      <c r="AO326" s="73" t="n">
        <v>8.880000000000001</v>
      </c>
      <c r="AP326" s="63" t="inlineStr">
        <is>
          <t>China Biotech ETF (HS biotech proxy)</t>
        </is>
      </c>
      <c r="AQ326" s="73" t="n">
        <v>12.74</v>
      </c>
      <c r="AR326" s="64" t="inlineStr">
        <is>
          <t>2026-08-20</t>
        </is>
      </c>
      <c r="AS326" s="65" t="n">
        <v>30783.1</v>
      </c>
      <c r="AT326" s="68" t="n">
        <v>6970.7</v>
      </c>
      <c r="AU326" s="63" t="inlineStr">
        <is>
          <t>Y</t>
        </is>
      </c>
      <c r="AV326" s="74" t="n">
        <v>50.5</v>
      </c>
      <c r="AW326" s="74" t="n">
        <v>46.8</v>
      </c>
      <c r="AX326" s="74" t="n">
        <v>37.5</v>
      </c>
      <c r="AY326" s="74" t="n">
        <v>11.4</v>
      </c>
      <c r="AZ326" s="75" t="inlineStr">
        <is>
          <t>Y</t>
        </is>
      </c>
      <c r="BA326" s="63" t="inlineStr">
        <is>
          <t>600276.SS</t>
        </is>
      </c>
      <c r="BB326" s="73" t="n">
        <v>37.18</v>
      </c>
      <c r="BC326" s="66" t="n">
        <v>60.4275</v>
      </c>
      <c r="BD326" s="80" t="n">
        <v>0.174</v>
      </c>
      <c r="BE326" s="78">
        <f>IF('BBG Verify'!Q326="","run on terminal",'BBG Verify'!Q326)</f>
        <v/>
      </c>
      <c r="BF326" s="78">
        <f>IF('BBG Verify'!R326="","run on terminal",'BBG Verify'!R326)</f>
        <v/>
      </c>
      <c r="BG326" s="75" t="inlineStr">
        <is>
          <t>Morgan Stanley Asia Limited; Citigroup Global Markets Asia Limited; Huatai Financial Holdings (Hong Kong) Limited</t>
        </is>
      </c>
      <c r="BH326" s="63" t="inlineStr">
        <is>
          <t>Morgan Stanley Asia Limited; Huatai Financial Holdings (Hong Kong) Limited; Citigroup Global Markets Asia Limited</t>
        </is>
      </c>
      <c r="BI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3" t="inlineStr">
        <is>
          <t>BOCI Asia Limited; Citigroup Global Markets Asia Limited; CLSA Limited; GF Securities (Hong Kong) Brokerage Limited; Huatai Financial Holdings (Hong Kong) Limited; Morgan Stanley Asia Limited; UBS AG Hong Kong Branch</t>
        </is>
      </c>
      <c r="BK326" s="77">
        <f>HYPERLINK("https://www1.hkexnews.hk/listedco/listconews/sehk/2025/0515/2025051500019.pdf","prospectus")</f>
        <v/>
      </c>
      <c r="BL326" s="77">
        <f>HYPERLINK("https://www1.hkexnews.hk/listedco/listconews/sehk/2025/0522/2025052201651.pdf","allotment")</f>
        <v/>
      </c>
      <c r="BM326" s="77">
        <f>HYPERLINK("https://www1.hkexnews.hk/listedco/listconews/sehk/2025/0619/2025061900409.pdf","stabilisation")</f>
        <v/>
      </c>
      <c r="BN326" s="75" t="n"/>
      <c r="BO326" s="63" t="inlineStr">
        <is>
          <t>range low: cap-only pricing — the filing publishes a Maximum Offer Price and no indicative floor · 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7" t="n">
        <v>0</v>
      </c>
      <c r="W327" s="63" t="inlineStr">
        <is>
          <t>Yizekangrui; Unlisted Shares in issue; H Share to be converted from Unlisted Shares; H Shares to be issued under the Global Offering</t>
        </is>
      </c>
      <c r="X327" s="63" t="inlineStr">
        <is>
          <t>yizekangrui;unlisted;share;shares</t>
        </is>
      </c>
      <c r="Y327" s="67" t="n"/>
      <c r="Z327" s="63" t="n"/>
      <c r="AA327" s="72" t="n">
        <v>-25.9</v>
      </c>
      <c r="AB327" s="73" t="n">
        <v>-16.67</v>
      </c>
      <c r="AC327" s="73" t="n">
        <v>-11.08</v>
      </c>
      <c r="AD327" s="73" t="n">
        <v>-37.82</v>
      </c>
      <c r="AE327" s="73" t="n">
        <v>-42.31</v>
      </c>
      <c r="AF327" s="73" t="n">
        <v>117.95</v>
      </c>
      <c r="AG327" s="73" t="n">
        <v>-16.09</v>
      </c>
      <c r="AH327" s="73" t="n">
        <v>-22.15</v>
      </c>
      <c r="AI327" s="73" t="n">
        <v>194.13</v>
      </c>
      <c r="AJ327" s="73" t="n">
        <v>-43.89</v>
      </c>
      <c r="AK327" s="73" t="n">
        <v>-55.86</v>
      </c>
      <c r="AL327" s="73" t="n">
        <v>74.34</v>
      </c>
      <c r="AM327" s="73" t="n">
        <v>-33.19</v>
      </c>
      <c r="AN327" s="73" t="n">
        <v>13.55</v>
      </c>
      <c r="AO327" s="73" t="n">
        <v>11.04</v>
      </c>
      <c r="AP327" s="63" t="inlineStr">
        <is>
          <t>China Biotech ETF (HS biotech proxy)</t>
        </is>
      </c>
      <c r="AQ327" s="73" t="n">
        <v>-61.7</v>
      </c>
      <c r="AR327" s="64" t="inlineStr">
        <is>
          <t>2026-08-20</t>
        </is>
      </c>
      <c r="AS327" s="65" t="n">
        <v>0</v>
      </c>
      <c r="AT327" s="68" t="n">
        <v>-311.7</v>
      </c>
      <c r="AU327" s="63" t="inlineStr">
        <is>
          <t>N</t>
        </is>
      </c>
      <c r="AV327" s="63" t="inlineStr">
        <is>
          <t>n/m</t>
        </is>
      </c>
      <c r="AW327" s="74" t="n"/>
      <c r="AX327" s="74" t="n"/>
      <c r="AY327" s="63" t="inlineStr">
        <is>
          <t>pre-rev</t>
        </is>
      </c>
      <c r="AZ327" s="75" t="inlineStr">
        <is>
          <t>N</t>
        </is>
      </c>
      <c r="BA327" s="76">
        <f>IF('BBG Verify'!K327="","not filed — run on terminal",'BBG Verify'!K327)</f>
        <v/>
      </c>
      <c r="BB327" s="63" t="inlineStr">
        <is>
          <t>N/A</t>
        </is>
      </c>
      <c r="BC327" s="63" t="inlineStr">
        <is>
          <t>N/A</t>
        </is>
      </c>
      <c r="BD327" s="63" t="inlineStr">
        <is>
          <t>N/A</t>
        </is>
      </c>
      <c r="BE327" s="63" t="inlineStr">
        <is>
          <t>N/A</t>
        </is>
      </c>
      <c r="BF327" s="63" t="inlineStr">
        <is>
          <t>N/A</t>
        </is>
      </c>
      <c r="BG327" s="75" t="inlineStr">
        <is>
          <t>China International Capital Corporation Hong Kong Securities Limited</t>
        </is>
      </c>
      <c r="BH327" s="63" t="inlineStr">
        <is>
          <t>China International Capital Corporation Hong Kong Securities Limited</t>
        </is>
      </c>
      <c r="BI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7">
        <f>HYPERLINK("https://www1.hkexnews.hk/listedco/listconews/sehk/2025/0519/2025051900013.pdf","prospectus")</f>
        <v/>
      </c>
      <c r="BL327" s="77">
        <f>HYPERLINK("https://www1.hkexnews.hk/listedco/listconews/sehk/2025/0526/2025052601319.pdf","allotment")</f>
        <v/>
      </c>
      <c r="BM327" s="63" t="n"/>
      <c r="BN327" s="75" t="n"/>
      <c r="BO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7" t="n">
        <v>10.41</v>
      </c>
      <c r="W328" s="63" t="n"/>
      <c r="X328" s="63" t="n"/>
      <c r="Y328" s="67" t="n"/>
      <c r="Z328" s="63" t="n"/>
      <c r="AA328" s="72" t="n">
        <v>39.06</v>
      </c>
      <c r="AB328" s="73" t="n">
        <v>43.23</v>
      </c>
      <c r="AC328" s="73" t="n">
        <v>-2.91</v>
      </c>
      <c r="AD328" s="73" t="n">
        <v>30.21</v>
      </c>
      <c r="AE328" s="73" t="n">
        <v>45.31</v>
      </c>
      <c r="AF328" s="73" t="n">
        <v>138.67</v>
      </c>
      <c r="AG328" s="73" t="n">
        <v>-6.36</v>
      </c>
      <c r="AH328" s="73" t="n">
        <v>4.49</v>
      </c>
      <c r="AI328" s="73" t="n">
        <v>71.63</v>
      </c>
      <c r="AJ328" s="73" t="n">
        <v>29.32</v>
      </c>
      <c r="AK328" s="73" t="n">
        <v>41.25</v>
      </c>
      <c r="AL328" s="73" t="n">
        <v>125.6</v>
      </c>
      <c r="AM328" s="73" t="n">
        <v>1.35</v>
      </c>
      <c r="AN328" s="73" t="n">
        <v>4.06</v>
      </c>
      <c r="AO328" s="73" t="n">
        <v>3.14</v>
      </c>
      <c r="AP328" s="63" t="inlineStr">
        <is>
          <t>HSTECH (Hang Seng TECH ETF)</t>
        </is>
      </c>
      <c r="AQ328" s="73" t="n">
        <v>56.25</v>
      </c>
      <c r="AR328" s="64" t="inlineStr">
        <is>
          <t>2026-08-20</t>
        </is>
      </c>
      <c r="AS328" s="65" t="n">
        <v>5913.5</v>
      </c>
      <c r="AT328" s="68" t="n">
        <v>202.9</v>
      </c>
      <c r="AU328" s="63" t="inlineStr">
        <is>
          <t>Y</t>
        </is>
      </c>
      <c r="AV328" s="74" t="n">
        <v>17.1</v>
      </c>
      <c r="AW328" s="74" t="n">
        <v>18.6</v>
      </c>
      <c r="AX328" s="74" t="n">
        <v>15.1</v>
      </c>
      <c r="AY328" s="74" t="n">
        <v>0.6</v>
      </c>
      <c r="AZ328" s="75" t="inlineStr">
        <is>
          <t>Y</t>
        </is>
      </c>
      <c r="BA328" s="63" t="inlineStr">
        <is>
          <t>002803.SZ</t>
        </is>
      </c>
      <c r="BB328" s="73" t="n">
        <v>105.18</v>
      </c>
      <c r="BC328" s="66" t="n">
        <v>15.7576</v>
      </c>
      <c r="BD328" s="80" t="n">
        <v>0.773</v>
      </c>
      <c r="BE328" s="78">
        <f>IF('BBG Verify'!Q328="","run on terminal",'BBG Verify'!Q328)</f>
        <v/>
      </c>
      <c r="BF328" s="78">
        <f>IF('BBG Verify'!R328="","run on terminal",'BBG Verify'!R328)</f>
        <v/>
      </c>
      <c r="BG328" s="75" t="inlineStr">
        <is>
          <t>Hong Kong SAR CMB International Capital Limited</t>
        </is>
      </c>
      <c r="BH328" s="63" t="inlineStr">
        <is>
          <t>China International Capital Corporation Hong Kong Securities Limited; CMB International Capital Limited</t>
        </is>
      </c>
      <c r="BI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7">
        <f>HYPERLINK("https://www1.hkexnews.hk/listedco/listconews/sehk/2025/0519/2025051900011.pdf","prospectus")</f>
        <v/>
      </c>
      <c r="BL328" s="77">
        <f>HYPERLINK("https://www1.hkexnews.hk/listedco/listconews/sehk/2025/0526/2025052601653.pdf","allotment")</f>
        <v/>
      </c>
      <c r="BM328" s="63" t="n"/>
      <c r="BN328" s="75" t="n"/>
      <c r="BO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7" t="n">
        <v>8.390000000000001</v>
      </c>
      <c r="W329" s="63" t="inlineStr">
        <is>
          <t>HiTai</t>
        </is>
      </c>
      <c r="X329" s="63" t="inlineStr">
        <is>
          <t>hitai</t>
        </is>
      </c>
      <c r="Y329" s="67" t="n">
        <v>10</v>
      </c>
      <c r="Z329" s="63" t="inlineStr">
        <is>
          <t>lapsed</t>
        </is>
      </c>
      <c r="AA329" s="72" t="n">
        <v>-18.19</v>
      </c>
      <c r="AB329" s="73" t="n">
        <v>-7.18</v>
      </c>
      <c r="AC329" s="73" t="n">
        <v>-11.86</v>
      </c>
      <c r="AD329" s="73" t="n">
        <v>-33.04</v>
      </c>
      <c r="AE329" s="73" t="n">
        <v>-39.48</v>
      </c>
      <c r="AF329" s="73" t="n">
        <v>-41.83</v>
      </c>
      <c r="AG329" s="73" t="n">
        <v>-18.15</v>
      </c>
      <c r="AH329" s="73" t="n">
        <v>-26.02</v>
      </c>
      <c r="AI329" s="73" t="n">
        <v>-28.9</v>
      </c>
      <c r="AJ329" s="73" t="n">
        <v>-34.76</v>
      </c>
      <c r="AK329" s="73" t="n">
        <v>-46.16</v>
      </c>
      <c r="AL329" s="73" t="n">
        <v>-50.43</v>
      </c>
      <c r="AM329" s="73" t="n">
        <v>-32.84</v>
      </c>
      <c r="AN329" s="73" t="n">
        <v>6.68</v>
      </c>
      <c r="AO329" s="73" t="n">
        <v>6.82</v>
      </c>
      <c r="AP329" s="63" t="inlineStr">
        <is>
          <t>Hang Seng Finance sub-index</t>
        </is>
      </c>
      <c r="AQ329" s="73" t="n">
        <v>-65.28</v>
      </c>
      <c r="AR329" s="64" t="inlineStr">
        <is>
          <t>2026-08-20</t>
        </is>
      </c>
      <c r="AS329" s="65" t="n">
        <v>1525.8</v>
      </c>
      <c r="AT329" s="68" t="n">
        <v>-99.2</v>
      </c>
      <c r="AU329" s="63" t="inlineStr">
        <is>
          <t>N</t>
        </is>
      </c>
      <c r="AV329" s="63" t="inlineStr">
        <is>
          <t>n/m</t>
        </is>
      </c>
      <c r="AW329" s="74" t="n"/>
      <c r="AX329" s="74" t="n">
        <v>0.5</v>
      </c>
      <c r="AY329" s="74" t="n">
        <v>1.1</v>
      </c>
      <c r="AZ329" s="75" t="inlineStr">
        <is>
          <t>N</t>
        </is>
      </c>
      <c r="BA329" s="76">
        <f>IF('BBG Verify'!K329="","not filed — run on terminal",'BBG Verify'!K329)</f>
        <v/>
      </c>
      <c r="BB329" s="63" t="inlineStr">
        <is>
          <t>N/A</t>
        </is>
      </c>
      <c r="BC329" s="63" t="inlineStr">
        <is>
          <t>N/A</t>
        </is>
      </c>
      <c r="BD329" s="63" t="inlineStr">
        <is>
          <t>N/A</t>
        </is>
      </c>
      <c r="BE329" s="63" t="inlineStr">
        <is>
          <t>N/A</t>
        </is>
      </c>
      <c r="BF329" s="63" t="inlineStr">
        <is>
          <t>N/A</t>
        </is>
      </c>
      <c r="BG329" s="75" t="inlineStr">
        <is>
          <t>Huatai Financial Holdings (Hong Kong) Limited</t>
        </is>
      </c>
      <c r="BH329" s="63" t="inlineStr">
        <is>
          <t>China International Capital Corporation Hong Kong Securities Limited; Huatai Financial Holdings (Hong Kong) Limited</t>
        </is>
      </c>
      <c r="BI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7">
        <f>HYPERLINK("https://www1.hkexnews.hk/listedco/listconews/sehk/2025/0522/2025052200031.pdf","prospectus")</f>
        <v/>
      </c>
      <c r="BL329" s="77">
        <f>HYPERLINK("https://www1.hkexnews.hk/listedco/listconews/sehk/2025/0529/2025052902298.pdf","allotment")</f>
        <v/>
      </c>
      <c r="BM329" s="77">
        <f>HYPERLINK("https://www1.hkexnews.hk/listedco/listconews/sehk/2025/0626/2025062601818.pdf","stabilisation")</f>
        <v/>
      </c>
      <c r="BN329" s="75" t="n"/>
      <c r="BO329" s="63" t="inlineStr">
        <is>
          <t>P/E: n/m — loss-making at IPO (use P/S)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c r="L330" s="66" t="n">
        <v>12</v>
      </c>
      <c r="M330" s="66" t="n">
        <v>10</v>
      </c>
      <c r="N330" s="63" t="inlineStr">
        <is>
          <t>N</t>
        </is>
      </c>
      <c r="O330" s="67" t="n">
        <v>83.3</v>
      </c>
      <c r="P330" s="67" t="n"/>
      <c r="Q330" s="68" t="n">
        <v>947.3</v>
      </c>
      <c r="R330" s="63" t="inlineStr">
        <is>
          <t>derived:price x shares upon listing</t>
        </is>
      </c>
      <c r="S330" s="69" t="n">
        <v>275.96</v>
      </c>
      <c r="T330" s="70" t="n">
        <v>0.96</v>
      </c>
      <c r="U330" s="71" t="n">
        <v>43.64</v>
      </c>
      <c r="V330" s="67" t="n">
        <v>10.95</v>
      </c>
      <c r="W330" s="63" t="inlineStr">
        <is>
          <t>Lin Xiaojian; Sinos Group Limited; Li Shuhan; Main Achieve Holdings Limited; Ng Chi Fat; Xu Kaiming; Xu Kaihe; Lin Huanan; Yang Litie</t>
        </is>
      </c>
      <c r="X330" s="63" t="inlineStr">
        <is>
          <t>lin-xiaojian;sinos;li-shuhan;main;ng;xu-kaiming;xu-kaihe;lin-huanan;yang-litie</t>
        </is>
      </c>
      <c r="Y330" s="67" t="n">
        <v>7.06</v>
      </c>
      <c r="Z330" s="63" t="inlineStr">
        <is>
          <t>lapsed</t>
        </is>
      </c>
      <c r="AA330" s="72" t="n">
        <v>42</v>
      </c>
      <c r="AB330" s="73" t="n">
        <v>66</v>
      </c>
      <c r="AC330" s="73" t="n">
        <v>-14.46</v>
      </c>
      <c r="AD330" s="73" t="n">
        <v>30</v>
      </c>
      <c r="AE330" s="73" t="n">
        <v>3</v>
      </c>
      <c r="AF330" s="73" t="n">
        <v>9.5</v>
      </c>
      <c r="AG330" s="73" t="n">
        <v>-8.449999999999999</v>
      </c>
      <c r="AH330" s="73" t="n">
        <v>-27.46</v>
      </c>
      <c r="AI330" s="73" t="n">
        <v>-22.89</v>
      </c>
      <c r="AJ330" s="73" t="n">
        <v>32.53</v>
      </c>
      <c r="AK330" s="73" t="n">
        <v>6.85</v>
      </c>
      <c r="AL330" s="73" t="n">
        <v>3.68</v>
      </c>
      <c r="AM330" s="73" t="n">
        <v>-24.34</v>
      </c>
      <c r="AN330" s="73" t="n">
        <v>-3.85</v>
      </c>
      <c r="AO330" s="73" t="n">
        <v>-3.12</v>
      </c>
      <c r="AP330" s="63" t="inlineStr">
        <is>
          <t>HSTECH (Hang Seng TECH ETF)</t>
        </is>
      </c>
      <c r="AQ330" s="73" t="n">
        <v>77</v>
      </c>
      <c r="AR330" s="64" t="inlineStr">
        <is>
          <t>2026-08-19</t>
        </is>
      </c>
      <c r="AS330" s="65" t="n">
        <v>385.1</v>
      </c>
      <c r="AT330" s="68" t="n">
        <v>45.5</v>
      </c>
      <c r="AU330" s="63" t="inlineStr">
        <is>
          <t>Y</t>
        </is>
      </c>
      <c r="AV330" s="74" t="n">
        <v>20.8</v>
      </c>
      <c r="AW330" s="74" t="n">
        <v>24.1</v>
      </c>
      <c r="AX330" s="74" t="n">
        <v>28.2</v>
      </c>
      <c r="AY330" s="74" t="n">
        <v>2.5</v>
      </c>
      <c r="AZ330" s="75" t="inlineStr">
        <is>
          <t>N</t>
        </is>
      </c>
      <c r="BA330" s="76">
        <f>IF('BBG Verify'!K330="","not filed — run on terminal",'BBG Verify'!K330)</f>
        <v/>
      </c>
      <c r="BB330" s="63" t="inlineStr">
        <is>
          <t>N/A</t>
        </is>
      </c>
      <c r="BC330" s="63" t="inlineStr">
        <is>
          <t>N/A</t>
        </is>
      </c>
      <c r="BD330" s="63" t="inlineStr">
        <is>
          <t>N/A</t>
        </is>
      </c>
      <c r="BE330" s="63" t="inlineStr">
        <is>
          <t>N/A</t>
        </is>
      </c>
      <c r="BF330" s="63" t="inlineStr">
        <is>
          <t>N/A</t>
        </is>
      </c>
      <c r="BG330" s="75" t="inlineStr">
        <is>
          <t>Yue Xiu Capital Limited</t>
        </is>
      </c>
      <c r="BH330" s="63" t="inlineStr">
        <is>
          <t>Yue Xiu Capital Limited</t>
        </is>
      </c>
      <c r="BI330" s="63" t="inlineStr">
        <is>
          <t>Yue Xiu Securities Company Limited; ABCI CAPITAL LIMITED; ABCI SECURITIES COMPANY LIMITED</t>
        </is>
      </c>
      <c r="BJ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7">
        <f>HYPERLINK("https://www1.hkexnews.hk/listedco/listconews/sehk/2025/0530/2025053000009.pdf","prospectus")</f>
        <v/>
      </c>
      <c r="BL330" s="77">
        <f>HYPERLINK("https://www1.hkexnews.hk/listedco/listconews/sehk/2025/0609/2025060900996.pdf","allotment")</f>
        <v/>
      </c>
      <c r="BM330" s="77">
        <f>HYPERLINK("https://www1.hkexnews.hk/listedco/listconews/sehk/2025/0707/2025070700712.pdf","stabilisation")</f>
        <v/>
      </c>
      <c r="BN330" s="75" t="n"/>
      <c r="BO330" s="63" t="inlineStr">
        <is>
          <t>range low: cap-only pricing — the filing publishes a Maximum Offer Price and no indicative floor · 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c r="L331" s="66" t="n">
        <v>20.9</v>
      </c>
      <c r="M331" s="66" t="n">
        <v>18.9</v>
      </c>
      <c r="N331" s="63" t="inlineStr">
        <is>
          <t>N</t>
        </is>
      </c>
      <c r="O331" s="67" t="n">
        <v>90.40000000000001</v>
      </c>
      <c r="P331" s="67" t="n"/>
      <c r="Q331" s="68" t="n">
        <v>1818.8</v>
      </c>
      <c r="R331" s="63" t="inlineStr">
        <is>
          <t>derived:price x shares upon listing</t>
        </is>
      </c>
      <c r="S331" s="69" t="n">
        <v>149.37</v>
      </c>
      <c r="T331" s="70" t="n">
        <v>0.93</v>
      </c>
      <c r="U331" s="71" t="n">
        <v>29.7</v>
      </c>
      <c r="V331" s="67" t="n">
        <v>7.73</v>
      </c>
      <c r="W331" s="63" t="inlineStr">
        <is>
          <t>Pingtan Xinghang Investment; Ms. Huang; Ms. He; Ms. Chen; He Win Hong Kong Holdings</t>
        </is>
      </c>
      <c r="X331" s="63" t="inlineStr">
        <is>
          <t>pingtan;ms-huang;ms-he;ms-chen;he-win</t>
        </is>
      </c>
      <c r="Y331" s="67" t="n">
        <v>10.2</v>
      </c>
      <c r="Z331" s="63" t="n"/>
      <c r="AA331" s="72" t="n">
        <v>21.43</v>
      </c>
      <c r="AB331" s="73" t="n">
        <v>60.05</v>
      </c>
      <c r="AC331" s="73" t="n">
        <v>-24.13</v>
      </c>
      <c r="AD331" s="73" t="n">
        <v>-16.83</v>
      </c>
      <c r="AE331" s="73" t="n">
        <v>-34.6</v>
      </c>
      <c r="AF331" s="73" t="n">
        <v>-34.92</v>
      </c>
      <c r="AG331" s="73" t="n">
        <v>-31.51</v>
      </c>
      <c r="AH331" s="73" t="n">
        <v>-46.14</v>
      </c>
      <c r="AI331" s="73" t="n">
        <v>-46.41</v>
      </c>
      <c r="AJ331" s="73" t="n">
        <v>-14.92</v>
      </c>
      <c r="AK331" s="73" t="n">
        <v>-30.78</v>
      </c>
      <c r="AL331" s="73" t="n">
        <v>-41.55</v>
      </c>
      <c r="AM331" s="73" t="n">
        <v>-42.72</v>
      </c>
      <c r="AN331" s="73" t="n">
        <v>-3.82</v>
      </c>
      <c r="AO331" s="73" t="n">
        <v>-3.42</v>
      </c>
      <c r="AP331" s="63" t="inlineStr">
        <is>
          <t>Hang Seng Commerce &amp; Industry sub-index</t>
        </is>
      </c>
      <c r="AQ331" s="73" t="n">
        <v>-67.45999999999999</v>
      </c>
      <c r="AR331" s="64" t="inlineStr">
        <is>
          <t>2026-08-20</t>
        </is>
      </c>
      <c r="AS331" s="65" t="n">
        <v>625.8</v>
      </c>
      <c r="AT331" s="68" t="n">
        <v>47.7</v>
      </c>
      <c r="AU331" s="63" t="inlineStr">
        <is>
          <t>Y</t>
        </is>
      </c>
      <c r="AV331" s="74" t="n">
        <v>38.1</v>
      </c>
      <c r="AW331" s="74" t="n">
        <v>41.2</v>
      </c>
      <c r="AX331" s="74" t="n">
        <v>35</v>
      </c>
      <c r="AY331" s="74" t="n">
        <v>2.9</v>
      </c>
      <c r="AZ331" s="75" t="inlineStr">
        <is>
          <t>N</t>
        </is>
      </c>
      <c r="BA331" s="76">
        <f>IF('BBG Verify'!K331="","not filed — run on terminal",'BBG Verify'!K331)</f>
        <v/>
      </c>
      <c r="BB331" s="63" t="inlineStr">
        <is>
          <t>N/A</t>
        </is>
      </c>
      <c r="BC331" s="63" t="inlineStr">
        <is>
          <t>N/A</t>
        </is>
      </c>
      <c r="BD331" s="63" t="inlineStr">
        <is>
          <t>N/A</t>
        </is>
      </c>
      <c r="BE331" s="63" t="inlineStr">
        <is>
          <t>N/A</t>
        </is>
      </c>
      <c r="BF331" s="63" t="inlineStr">
        <is>
          <t>N/A</t>
        </is>
      </c>
      <c r="BG331" s="75" t="inlineStr">
        <is>
          <t>CMBC International Capital Limited</t>
        </is>
      </c>
      <c r="BH331" s="63" t="inlineStr">
        <is>
          <t>CMBC International Capital Limited</t>
        </is>
      </c>
      <c r="BI331" s="63" t="inlineStr">
        <is>
          <t>China Industrial Securities International Capital Limited; Guosen Securities (HK) Capital Company Limited; ABCI Capital Limited</t>
        </is>
      </c>
      <c r="BJ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7">
        <f>HYPERLINK("https://www1.hkexnews.hk/listedco/listconews/sehk/2025/0530/2025053000073.pdf","prospectus")</f>
        <v/>
      </c>
      <c r="BL331" s="77">
        <f>HYPERLINK("https://www1.hkexnews.hk/listedco/listconews/sehk/2025/0609/2025060901156.pdf","allotment")</f>
        <v/>
      </c>
      <c r="BM331" s="63" t="n"/>
      <c r="BN331" s="75" t="n"/>
      <c r="BO331" s="63" t="inlineStr">
        <is>
          <t>greenshoe: end-of-stabilisation notice not located · range low: cap-only pricing — the filing publishes a Maximum Offer Price and no indicative floor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7" t="n">
        <v>16.11</v>
      </c>
      <c r="W332" s="63" t="n"/>
      <c r="X332" s="63" t="n"/>
      <c r="Y332" s="67" t="n"/>
      <c r="Z332" s="63" t="n"/>
      <c r="AA332" s="72" t="n">
        <v>-30.26</v>
      </c>
      <c r="AB332" s="73" t="n">
        <v>-22.05</v>
      </c>
      <c r="AC332" s="73" t="n">
        <v>-10.53</v>
      </c>
      <c r="AD332" s="73" t="n">
        <v>-29.95</v>
      </c>
      <c r="AE332" s="73" t="n">
        <v>-37.85</v>
      </c>
      <c r="AF332" s="73" t="n">
        <v>-49.64</v>
      </c>
      <c r="AG332" s="73" t="n">
        <v>0.44</v>
      </c>
      <c r="AH332" s="73" t="n">
        <v>-10.88</v>
      </c>
      <c r="AI332" s="73" t="n">
        <v>-27.79</v>
      </c>
      <c r="AJ332" s="73" t="n">
        <v>-27.42</v>
      </c>
      <c r="AK332" s="73" t="n">
        <v>-34</v>
      </c>
      <c r="AL332" s="73" t="n">
        <v>-55.46</v>
      </c>
      <c r="AM332" s="73" t="n">
        <v>-7.76</v>
      </c>
      <c r="AN332" s="73" t="n">
        <v>-3.85</v>
      </c>
      <c r="AO332" s="73" t="n">
        <v>-3.12</v>
      </c>
      <c r="AP332" s="63" t="inlineStr">
        <is>
          <t>HSTECH (Hang Seng TECH ETF)</t>
        </is>
      </c>
      <c r="AQ332" s="73" t="n">
        <v>-87.38</v>
      </c>
      <c r="AR332" s="64" t="inlineStr">
        <is>
          <t>2026-08-20</t>
        </is>
      </c>
      <c r="AS332" s="65" t="n">
        <v>226.8</v>
      </c>
      <c r="AT332" s="68" t="n">
        <v>-28.8</v>
      </c>
      <c r="AU332" s="63" t="inlineStr">
        <is>
          <t>N</t>
        </is>
      </c>
      <c r="AV332" s="63" t="inlineStr">
        <is>
          <t>n/m</t>
        </is>
      </c>
      <c r="AW332" s="74" t="n"/>
      <c r="AX332" s="74" t="n"/>
      <c r="AY332" s="74" t="n">
        <v>6.6</v>
      </c>
      <c r="AZ332" s="75" t="inlineStr">
        <is>
          <t>N</t>
        </is>
      </c>
      <c r="BA332" s="76">
        <f>IF('BBG Verify'!K332="","not filed — run on terminal",'BBG Verify'!K332)</f>
        <v/>
      </c>
      <c r="BB332" s="63" t="inlineStr">
        <is>
          <t>N/A</t>
        </is>
      </c>
      <c r="BC332" s="63" t="inlineStr">
        <is>
          <t>N/A</t>
        </is>
      </c>
      <c r="BD332" s="63" t="inlineStr">
        <is>
          <t>N/A</t>
        </is>
      </c>
      <c r="BE332" s="63" t="inlineStr">
        <is>
          <t>N/A</t>
        </is>
      </c>
      <c r="BF332" s="63" t="inlineStr">
        <is>
          <t>N/A</t>
        </is>
      </c>
      <c r="BG332" s="75" t="inlineStr">
        <is>
          <t>China International Capital Corporation Hong Kong Securities Limited</t>
        </is>
      </c>
      <c r="BH332" s="63" t="inlineStr">
        <is>
          <t>China International Capital Corporation Hong Kong Securities Limited</t>
        </is>
      </c>
      <c r="BI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7">
        <f>HYPERLINK("https://www1.hkexnews.hk/listedco/listconews/sehk/2025/0602/2025060200008.pdf","prospectus")</f>
        <v/>
      </c>
      <c r="BL332" s="77">
        <f>HYPERLINK("https://www1.hkexnews.hk/listedco/listconews/sehk/2025/0609/2025060901376.pdf","allotment")</f>
        <v/>
      </c>
      <c r="BM332" s="63" t="n"/>
      <c r="BN332" s="75" t="n"/>
      <c r="BO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7" t="n">
        <v>2.96</v>
      </c>
      <c r="W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3" t="inlineStr">
        <is>
          <t>gic;pinnacle;supercluster;boyu;china-international;gf;citic;value;huatai;shenzhen-victory</t>
        </is>
      </c>
      <c r="Y333" s="67" t="n">
        <v>15</v>
      </c>
      <c r="Z333" s="63" t="inlineStr">
        <is>
          <t>partial</t>
        </is>
      </c>
      <c r="AA333" s="72" t="n">
        <v>0.55</v>
      </c>
      <c r="AB333" s="73" t="n">
        <v>3.31</v>
      </c>
      <c r="AC333" s="73" t="n">
        <v>-2.67</v>
      </c>
      <c r="AD333" s="73" t="n">
        <v>-3.44</v>
      </c>
      <c r="AE333" s="73" t="n">
        <v>-1.65</v>
      </c>
      <c r="AF333" s="73" t="n">
        <v>-6.5</v>
      </c>
      <c r="AG333" s="73" t="n">
        <v>-3.97</v>
      </c>
      <c r="AH333" s="73" t="n">
        <v>-2.19</v>
      </c>
      <c r="AI333" s="73" t="n">
        <v>-7.01</v>
      </c>
      <c r="AJ333" s="73" t="n">
        <v>-4.73</v>
      </c>
      <c r="AK333" s="73" t="n">
        <v>-7.14</v>
      </c>
      <c r="AL333" s="73" t="n">
        <v>-23.57</v>
      </c>
      <c r="AM333" s="73" t="n">
        <v>-10.05</v>
      </c>
      <c r="AN333" s="73" t="n">
        <v>5.49</v>
      </c>
      <c r="AO333" s="73" t="n">
        <v>7.86</v>
      </c>
      <c r="AP333" s="63" t="inlineStr">
        <is>
          <t>Hang Seng Commerce &amp; Industry sub-index</t>
        </is>
      </c>
      <c r="AQ333" s="73" t="n">
        <v>-11.29</v>
      </c>
      <c r="AR333" s="64" t="inlineStr">
        <is>
          <t>2026-08-20</t>
        </is>
      </c>
      <c r="AS333" s="65" t="n">
        <v>29591.1</v>
      </c>
      <c r="AT333" s="68" t="n">
        <v>6991.4</v>
      </c>
      <c r="AU333" s="63" t="inlineStr">
        <is>
          <t>Y</t>
        </is>
      </c>
      <c r="AV333" s="74" t="n">
        <v>26.5</v>
      </c>
      <c r="AW333" s="74" t="n">
        <v>29.3</v>
      </c>
      <c r="AX333" s="74" t="n">
        <v>22.3</v>
      </c>
      <c r="AY333" s="74" t="n">
        <v>6.3</v>
      </c>
      <c r="AZ333" s="75" t="inlineStr">
        <is>
          <t>Y</t>
        </is>
      </c>
      <c r="BA333" s="63" t="inlineStr">
        <is>
          <t>603288.SS</t>
        </is>
      </c>
      <c r="BB333" s="73" t="n">
        <v>21.07</v>
      </c>
      <c r="BC333" s="66" t="n">
        <v>43.9481</v>
      </c>
      <c r="BD333" s="80" t="n">
        <v>0.297</v>
      </c>
      <c r="BE333" s="78">
        <f>IF('BBG Verify'!Q333="","run on terminal",'BBG Verify'!Q333)</f>
        <v/>
      </c>
      <c r="BF333" s="78">
        <f>IF('BBG Verify'!R333="","run on terminal",'BBG Verify'!R333)</f>
        <v/>
      </c>
      <c r="BG333" s="75" t="inlineStr">
        <is>
          <t>China International Capital Corporation Hong Kong Securities Limited; Goldman Sachs (Asia) L.L.C; Morgan Stanley Asia Limited</t>
        </is>
      </c>
      <c r="BH333" s="63" t="inlineStr">
        <is>
          <t>China International Capital Corporation Hong Kong Securities Limited; Morgan Stanley Asia Limited; Goldman Sachs (Asia) L.L.C.</t>
        </is>
      </c>
      <c r="BI333" s="63" t="inlineStr">
        <is>
          <t>ABCI Securities Company Limited</t>
        </is>
      </c>
      <c r="BJ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7">
        <f>HYPERLINK("https://www1.hkexnews.hk/listedco/listconews/sehk/2025/0611/2025061100017.pdf","prospectus")</f>
        <v/>
      </c>
      <c r="BL333" s="77">
        <f>HYPERLINK("https://www1.hkexnews.hk/listedco/listconews/sehk/2025/0618/2025061801931.pdf","allotment")</f>
        <v/>
      </c>
      <c r="BM333" s="77">
        <f>HYPERLINK("https://www1.hkexnews.hk/listedco/listconews/sehk/2025/0717/2025071700201.pdf","stabilisation")</f>
        <v/>
      </c>
      <c r="BN333" s="75" t="n"/>
      <c r="BO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7" t="n">
        <v>7.42</v>
      </c>
      <c r="W334" s="63" t="inlineStr">
        <is>
          <t>Harvest Oriental SP</t>
        </is>
      </c>
      <c r="X334" s="63" t="inlineStr">
        <is>
          <t>harvest</t>
        </is>
      </c>
      <c r="Y334" s="67" t="n"/>
      <c r="Z334" s="63" t="n"/>
      <c r="AA334" s="72" t="n">
        <v>42.18</v>
      </c>
      <c r="AB334" s="73" t="n">
        <v>24.41</v>
      </c>
      <c r="AC334" s="73" t="n">
        <v>14.28</v>
      </c>
      <c r="AD334" s="73" t="n">
        <v>46.21</v>
      </c>
      <c r="AE334" s="73" t="n">
        <v>57.11</v>
      </c>
      <c r="AF334" s="73" t="n">
        <v>91.94</v>
      </c>
      <c r="AG334" s="73" t="n">
        <v>2.83</v>
      </c>
      <c r="AH334" s="73" t="n">
        <v>10.5</v>
      </c>
      <c r="AI334" s="73" t="n">
        <v>35</v>
      </c>
      <c r="AJ334" s="73" t="n">
        <v>43.69</v>
      </c>
      <c r="AK334" s="73" t="n">
        <v>39.85</v>
      </c>
      <c r="AL334" s="73" t="n">
        <v>59.77</v>
      </c>
      <c r="AM334" s="73" t="n">
        <v>-4.99</v>
      </c>
      <c r="AN334" s="73" t="n">
        <v>17.26</v>
      </c>
      <c r="AO334" s="73" t="n">
        <v>15.49</v>
      </c>
      <c r="AP334" s="63" t="inlineStr">
        <is>
          <t>China Biotech ETF (HS biotech proxy)</t>
        </is>
      </c>
      <c r="AQ334" s="73" t="n">
        <v>-29.27</v>
      </c>
      <c r="AR334" s="64" t="inlineStr">
        <is>
          <t>2026-08-21</t>
        </is>
      </c>
      <c r="AS334" s="65" t="n">
        <v>1307.7</v>
      </c>
      <c r="AT334" s="68" t="n">
        <v>-3.9</v>
      </c>
      <c r="AU334" s="63" t="inlineStr">
        <is>
          <t>N</t>
        </is>
      </c>
      <c r="AV334" s="63" t="inlineStr">
        <is>
          <t>n/m</t>
        </is>
      </c>
      <c r="AW334" s="74" t="n"/>
      <c r="AX334" s="74" t="n"/>
      <c r="AY334" s="74" t="n">
        <v>4.3</v>
      </c>
      <c r="AZ334" s="75" t="inlineStr">
        <is>
          <t>N</t>
        </is>
      </c>
      <c r="BA334" s="76">
        <f>IF('BBG Verify'!K334="","not filed — run on terminal",'BBG Verify'!K334)</f>
        <v/>
      </c>
      <c r="BB334" s="63" t="inlineStr">
        <is>
          <t>N/A</t>
        </is>
      </c>
      <c r="BC334" s="63" t="inlineStr">
        <is>
          <t>N/A</t>
        </is>
      </c>
      <c r="BD334" s="63" t="inlineStr">
        <is>
          <t>N/A</t>
        </is>
      </c>
      <c r="BE334" s="63" t="inlineStr">
        <is>
          <t>N/A</t>
        </is>
      </c>
      <c r="BF334" s="63" t="inlineStr">
        <is>
          <t>N/A</t>
        </is>
      </c>
      <c r="BG334" s="7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3" t="inlineStr">
        <is>
          <t>CMB International Capital Limited</t>
        </is>
      </c>
      <c r="BI334" s="63" t="inlineStr">
        <is>
          <t>CMB International Capital Limited; Futu Securities International (Hong Kong) Limited</t>
        </is>
      </c>
      <c r="BJ334" s="63" t="inlineStr">
        <is>
          <t>CMB International Capital Limited; Futu Securities International (Hong Kong) Limited</t>
        </is>
      </c>
      <c r="BK334" s="77">
        <f>HYPERLINK("https://www1.hkexnews.hk/listedco/listconews/sehk/2025/0613/2025061300019.pdf","prospectus")</f>
        <v/>
      </c>
      <c r="BL334" s="77">
        <f>HYPERLINK("https://www1.hkexnews.hk/listedco/listconews/sehk/2025/0620/2025062001890.pdf","allotment")</f>
        <v/>
      </c>
      <c r="BM334" s="63" t="n"/>
      <c r="BN334" s="75" t="n"/>
      <c r="BO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7" t="n">
        <v>5.3</v>
      </c>
      <c r="W335" s="63" t="inlineStr">
        <is>
          <t>Schroders; HK Greenwoods; Green Better; Verition; Capital VIII; Mirae Securities; ICBC Wealth; PSBC Wealth; Taikang Life; Mega Prime; Wind Sabre; Martis Fund, L.P; MSIP; Jane Street</t>
        </is>
      </c>
      <c r="X335" s="63" t="inlineStr">
        <is>
          <t>schroders;greenwoods;green;verition;viii;mirae;icbc;psbc;taikang;mega;wind;martis;morgan;jane</t>
        </is>
      </c>
      <c r="Y335" s="67" t="n">
        <v>15</v>
      </c>
      <c r="Z335" s="63" t="inlineStr">
        <is>
          <t>full</t>
        </is>
      </c>
      <c r="AA335" s="72" t="n">
        <v>-0.13</v>
      </c>
      <c r="AB335" s="73" t="n">
        <v>-7.01</v>
      </c>
      <c r="AC335" s="73" t="n">
        <v>7.4</v>
      </c>
      <c r="AD335" s="73" t="n">
        <v>11.63</v>
      </c>
      <c r="AE335" s="73" t="n">
        <v>26.5</v>
      </c>
      <c r="AF335" s="73" t="n">
        <v>70.34999999999999</v>
      </c>
      <c r="AG335" s="73" t="n">
        <v>11.78</v>
      </c>
      <c r="AH335" s="73" t="n">
        <v>26.66</v>
      </c>
      <c r="AI335" s="73" t="n">
        <v>70.56999999999999</v>
      </c>
      <c r="AJ335" s="73" t="n">
        <v>9.550000000000001</v>
      </c>
      <c r="AK335" s="73" t="n">
        <v>16.87</v>
      </c>
      <c r="AL335" s="73" t="n">
        <v>52.99</v>
      </c>
      <c r="AM335" s="73" t="n">
        <v>17.67</v>
      </c>
      <c r="AN335" s="73" t="n">
        <v>9.630000000000001</v>
      </c>
      <c r="AO335" s="73" t="n">
        <v>8.99</v>
      </c>
      <c r="AP335" s="63" t="inlineStr">
        <is>
          <t>Hang Seng Commerce &amp; Industry sub-index</t>
        </is>
      </c>
      <c r="AQ335" s="73" t="n">
        <v>22.15</v>
      </c>
      <c r="AR335" s="64" t="inlineStr">
        <is>
          <t>2026-08-21</t>
        </is>
      </c>
      <c r="AS335" s="65" t="n">
        <v>30741.9</v>
      </c>
      <c r="AT335" s="68" t="n">
        <v>3422.9</v>
      </c>
      <c r="AU335" s="63" t="inlineStr">
        <is>
          <t>Y</t>
        </is>
      </c>
      <c r="AV335" s="74" t="n">
        <v>27.3</v>
      </c>
      <c r="AW335" s="74" t="n">
        <v>24.5</v>
      </c>
      <c r="AX335" s="74" t="n">
        <v>22.5</v>
      </c>
      <c r="AY335" s="74" t="n">
        <v>3</v>
      </c>
      <c r="AZ335" s="75" t="inlineStr">
        <is>
          <t>Y</t>
        </is>
      </c>
      <c r="BA335" s="63" t="inlineStr">
        <is>
          <t>002050.SZ</t>
        </is>
      </c>
      <c r="BB335" s="73" t="n">
        <v>20.9</v>
      </c>
      <c r="BC335" s="66" t="n">
        <v>27.2396</v>
      </c>
      <c r="BD335" s="80" t="n">
        <v>0.5778</v>
      </c>
      <c r="BE335" s="78">
        <f>IF('BBG Verify'!Q335="","run on terminal",'BBG Verify'!Q335)</f>
        <v/>
      </c>
      <c r="BF335" s="78">
        <f>IF('BBG Verify'!R335="","run on terminal",'BBG Verify'!R335)</f>
        <v/>
      </c>
      <c r="BG335" s="75" t="inlineStr">
        <is>
          <t>China International Capital Corporation Hong Kong Securities Limited; Huatai Financial Holdings (Hong Kong) Limited</t>
        </is>
      </c>
      <c r="BH335" s="63" t="inlineStr">
        <is>
          <t>China International Capital Corporation Hong Kong Securities Limited; Huatai Financial Holdings (Hong Kong) Limited</t>
        </is>
      </c>
      <c r="BI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7">
        <f>HYPERLINK("https://www1.hkexnews.hk/listedco/listconews/sehk/2025/0613/2025061300017.pdf","prospectus")</f>
        <v/>
      </c>
      <c r="BL335" s="77">
        <f>HYPERLINK("https://www1.hkexnews.hk/listedco/listconews/sehk/2025/0620/2025062002236.pdf","allotment")</f>
        <v/>
      </c>
      <c r="BM335" s="77">
        <f>HYPERLINK("https://www1.hkexnews.hk/listedco/listconews/sehk/2025/0718/2025071801258.pdf","stabilisation")</f>
        <v/>
      </c>
      <c r="BN335" s="75" t="n"/>
      <c r="BO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7" t="n">
        <v>1.38</v>
      </c>
      <c r="W336" s="63" t="inlineStr">
        <is>
          <t>Akeso, Inc; BOCOM International Securities Limited; Huatai Capital Investment Limited</t>
        </is>
      </c>
      <c r="X336" s="63" t="inlineStr">
        <is>
          <t>akeso;bank-communications;huatai</t>
        </is>
      </c>
      <c r="Y336" s="67" t="n">
        <v>8.390000000000001</v>
      </c>
      <c r="Z336" s="63" t="n"/>
      <c r="AA336" s="72" t="n">
        <v>78.70999999999999</v>
      </c>
      <c r="AB336" s="73" t="n">
        <v>64.64</v>
      </c>
      <c r="AC336" s="73" t="n">
        <v>8.550000000000001</v>
      </c>
      <c r="AD336" s="73" t="n">
        <v>129.28</v>
      </c>
      <c r="AE336" s="73" t="n">
        <v>138.78</v>
      </c>
      <c r="AF336" s="73" t="n">
        <v>1039.92</v>
      </c>
      <c r="AG336" s="73" t="n">
        <v>28.3</v>
      </c>
      <c r="AH336" s="73" t="n">
        <v>33.61</v>
      </c>
      <c r="AI336" s="73" t="n">
        <v>537.86</v>
      </c>
      <c r="AJ336" s="73" t="n">
        <v>126.76</v>
      </c>
      <c r="AK336" s="73" t="n">
        <v>121.52</v>
      </c>
      <c r="AL336" s="73" t="n">
        <v>1007.75</v>
      </c>
      <c r="AM336" s="73" t="n">
        <v>18.12</v>
      </c>
      <c r="AN336" s="73" t="n">
        <v>17.26</v>
      </c>
      <c r="AO336" s="73" t="n">
        <v>15.49</v>
      </c>
      <c r="AP336" s="63" t="inlineStr">
        <is>
          <t>China Biotech ETF (HS biotech proxy)</t>
        </is>
      </c>
      <c r="AQ336" s="73" t="n">
        <v>-21.6</v>
      </c>
      <c r="AR336" s="64" t="inlineStr">
        <is>
          <t>2026-08-21</t>
        </is>
      </c>
      <c r="AS336" s="65" t="n">
        <v>1.3</v>
      </c>
      <c r="AT336" s="68" t="n">
        <v>-377.7</v>
      </c>
      <c r="AU336" s="63" t="inlineStr">
        <is>
          <t>N</t>
        </is>
      </c>
      <c r="AV336" s="63" t="inlineStr">
        <is>
          <t>n/m</t>
        </is>
      </c>
      <c r="AW336" s="74" t="n"/>
      <c r="AX336" s="74" t="n"/>
      <c r="AY336" s="74" t="n">
        <v>4014.8</v>
      </c>
      <c r="AZ336" s="75" t="inlineStr">
        <is>
          <t>N</t>
        </is>
      </c>
      <c r="BA336" s="76">
        <f>IF('BBG Verify'!K336="","not filed — run on terminal",'BBG Verify'!K336)</f>
        <v/>
      </c>
      <c r="BB336" s="63" t="inlineStr">
        <is>
          <t>N/A</t>
        </is>
      </c>
      <c r="BC336" s="63" t="inlineStr">
        <is>
          <t>N/A</t>
        </is>
      </c>
      <c r="BD336" s="63" t="inlineStr">
        <is>
          <t>N/A</t>
        </is>
      </c>
      <c r="BE336" s="63" t="inlineStr">
        <is>
          <t>N/A</t>
        </is>
      </c>
      <c r="BF336" s="63" t="inlineStr">
        <is>
          <t>N/A</t>
        </is>
      </c>
      <c r="BG336" s="75" t="inlineStr">
        <is>
          <t>(In no particular order) CITIC Securities (Hong Kong) Limited; Huatai Financial Holdings (Hong Kong) Limited</t>
        </is>
      </c>
      <c r="BH336" s="63" t="inlineStr">
        <is>
          <t>Huatai Financial Holdings (Hong Kong) Limited; CITIC Securities (Hong Kong) Limited</t>
        </is>
      </c>
      <c r="BI336" s="63" t="inlineStr">
        <is>
          <t>CLSA Limited; Huatai Financial Holdings (Hong Kong) Limited; BOCI Asia Limited; CMB International Capital Limited; SPDB International Capital Limited; TradeGo Markets Limited</t>
        </is>
      </c>
      <c r="BJ336" s="63" t="inlineStr">
        <is>
          <t>BOCI Asia Limited; BOCOM International Securities Limited; CLSA Limited; CMB International Capital Limited; Huatai Financial Holdings (Hong Kong) Limited; SPDB International Capital Limited; TradeGo Markets Limited</t>
        </is>
      </c>
      <c r="BK336" s="77">
        <f>HYPERLINK("https://www1.hkexnews.hk/listedco/listconews/sehk/2025/0613/2025061300035.pdf","prospectus")</f>
        <v/>
      </c>
      <c r="BL336" s="77">
        <f>HYPERLINK("https://www1.hkexnews.hk/listedco/listconews/sehk/2025/0620/2025062002274.pdf","allotment")</f>
        <v/>
      </c>
      <c r="BM336" s="63" t="n"/>
      <c r="BN336" s="75" t="n"/>
      <c r="BO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7" t="n">
        <v>14</v>
      </c>
      <c r="W337" s="63" t="inlineStr">
        <is>
          <t>Shunjie Investment; Xinghuang Holdings; Yunxing Technology</t>
        </is>
      </c>
      <c r="X337" s="63" t="inlineStr">
        <is>
          <t>shunjie;xinghuang;yunxing</t>
        </is>
      </c>
      <c r="Y337" s="67" t="n">
        <v>19</v>
      </c>
      <c r="Z337" s="63" t="n"/>
      <c r="AA337" s="72" t="n">
        <v>-11.89</v>
      </c>
      <c r="AB337" s="73" t="n">
        <v>-7.34</v>
      </c>
      <c r="AC337" s="73" t="n">
        <v>-4.91</v>
      </c>
      <c r="AD337" s="73" t="n">
        <v>-18.53</v>
      </c>
      <c r="AE337" s="73" t="n">
        <v>-16.08</v>
      </c>
      <c r="AF337" s="73" t="n">
        <v>-31.82</v>
      </c>
      <c r="AG337" s="73" t="n">
        <v>-7.54</v>
      </c>
      <c r="AH337" s="73" t="n">
        <v>-4.76</v>
      </c>
      <c r="AI337" s="73" t="n">
        <v>-22.62</v>
      </c>
      <c r="AJ337" s="73" t="n">
        <v>-17.47</v>
      </c>
      <c r="AK337" s="73" t="n">
        <v>-23.2</v>
      </c>
      <c r="AL337" s="73" t="n">
        <v>-48.07</v>
      </c>
      <c r="AM337" s="73" t="n">
        <v>-10.76</v>
      </c>
      <c r="AN337" s="73" t="n">
        <v>7.12</v>
      </c>
      <c r="AO337" s="73" t="n">
        <v>6</v>
      </c>
      <c r="AP337" s="63" t="inlineStr">
        <is>
          <t>HSTECH (Hang Seng TECH ETF)</t>
        </is>
      </c>
      <c r="AQ337" s="73" t="n">
        <v>-54.9</v>
      </c>
      <c r="AR337" s="64" t="inlineStr">
        <is>
          <t>2026-08-21</t>
        </is>
      </c>
      <c r="AS337" s="65" t="n">
        <v>1651.7</v>
      </c>
      <c r="AT337" s="68" t="n">
        <v>154.5</v>
      </c>
      <c r="AU337" s="63" t="inlineStr">
        <is>
          <t>Y</t>
        </is>
      </c>
      <c r="AV337" s="74" t="n">
        <v>5.1</v>
      </c>
      <c r="AW337" s="74" t="n">
        <v>3.3</v>
      </c>
      <c r="AX337" s="74" t="n">
        <v>5.3</v>
      </c>
      <c r="AY337" s="74" t="n">
        <v>0.5</v>
      </c>
      <c r="AZ337" s="75" t="inlineStr">
        <is>
          <t>N</t>
        </is>
      </c>
      <c r="BA337" s="76">
        <f>IF('BBG Verify'!K337="","not filed — run on terminal",'BBG Verify'!K337)</f>
        <v/>
      </c>
      <c r="BB337" s="63" t="inlineStr">
        <is>
          <t>N/A</t>
        </is>
      </c>
      <c r="BC337" s="63" t="inlineStr">
        <is>
          <t>N/A</t>
        </is>
      </c>
      <c r="BD337" s="63" t="inlineStr">
        <is>
          <t>N/A</t>
        </is>
      </c>
      <c r="BE337" s="63" t="inlineStr">
        <is>
          <t>N/A</t>
        </is>
      </c>
      <c r="BF337" s="63" t="inlineStr">
        <is>
          <t>N/A</t>
        </is>
      </c>
      <c r="BG337" s="75" t="n"/>
      <c r="BH337" s="63" t="inlineStr">
        <is>
          <t>Sinolink Securities (Hong Kong) Company Limited</t>
        </is>
      </c>
      <c r="BI337" s="63" t="inlineStr">
        <is>
          <t>ABCI Securities Company Limited; CCB International Capital Limited; CMBC Securities Company Limited; CMB International Capital Limited; First Fidelity Capital (International) Limited; Sinolink Securities (Hong Kong) Company Limited</t>
        </is>
      </c>
      <c r="BJ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7">
        <f>HYPERLINK("https://www1.hkexnews.hk/listedco/listconews/sehk/2025/0617/2025061700043.pdf","prospectus")</f>
        <v/>
      </c>
      <c r="BL337" s="77">
        <f>HYPERLINK("https://www1.hkexnews.hk/listedco/listconews/sehk/2025/0624/2025062401168.pdf","allotment")</f>
        <v/>
      </c>
      <c r="BM337" s="63" t="n"/>
      <c r="BN337" s="75" t="n"/>
      <c r="BO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7" t="n">
        <v>3.95</v>
      </c>
      <c r="W338" s="63" t="inlineStr">
        <is>
          <t>Mercedes-Benz Mobility Services; Mirae Asset Securities (HK) Limited; Infini Global Master Fund; Gotion High-Tech (HK); EVE Asia; RoboSense Hong Kong</t>
        </is>
      </c>
      <c r="X338" s="63" t="inlineStr">
        <is>
          <t>mercedes;mirae;infini;gotion;eve;robosense</t>
        </is>
      </c>
      <c r="Y338" s="67" t="n">
        <v>15</v>
      </c>
      <c r="Z338" s="63" t="inlineStr">
        <is>
          <t>partial</t>
        </is>
      </c>
      <c r="AA338" s="72" t="n">
        <v>-14.16</v>
      </c>
      <c r="AB338" s="73" t="n">
        <v>-19.41</v>
      </c>
      <c r="AC338" s="73" t="n">
        <v>6.51</v>
      </c>
      <c r="AD338" s="73" t="n">
        <v>-16.19</v>
      </c>
      <c r="AE338" s="73" t="n">
        <v>-3.55</v>
      </c>
      <c r="AF338" s="73" t="n">
        <v>25.18</v>
      </c>
      <c r="AG338" s="73" t="n">
        <v>-2.36</v>
      </c>
      <c r="AH338" s="73" t="n">
        <v>12.36</v>
      </c>
      <c r="AI338" s="73" t="n">
        <v>45.83</v>
      </c>
      <c r="AJ338" s="73" t="n">
        <v>-15.13</v>
      </c>
      <c r="AK338" s="73" t="n">
        <v>-10.67</v>
      </c>
      <c r="AL338" s="73" t="n">
        <v>8.93</v>
      </c>
      <c r="AM338" s="73" t="n">
        <v>6.36</v>
      </c>
      <c r="AN338" s="73" t="n">
        <v>7.12</v>
      </c>
      <c r="AO338" s="73" t="n">
        <v>6</v>
      </c>
      <c r="AP338" s="63" t="inlineStr">
        <is>
          <t>HSTECH (Hang Seng TECH ETF)</t>
        </is>
      </c>
      <c r="AQ338" s="73" t="n">
        <v>-67.45</v>
      </c>
      <c r="AR338" s="64" t="inlineStr">
        <is>
          <t>2026-08-20</t>
        </is>
      </c>
      <c r="AS338" s="65" t="n">
        <v>16123.2</v>
      </c>
      <c r="AT338" s="68" t="n">
        <v>-1371</v>
      </c>
      <c r="AU338" s="63" t="inlineStr">
        <is>
          <t>N</t>
        </is>
      </c>
      <c r="AV338" s="63" t="inlineStr">
        <is>
          <t>n/m</t>
        </is>
      </c>
      <c r="AW338" s="74" t="n"/>
      <c r="AX338" s="74" t="n"/>
      <c r="AY338" s="74" t="n">
        <v>1.4</v>
      </c>
      <c r="AZ338" s="75" t="inlineStr">
        <is>
          <t>N</t>
        </is>
      </c>
      <c r="BA338" s="76">
        <f>IF('BBG Verify'!K338="","not filed — run on terminal",'BBG Verify'!K338)</f>
        <v/>
      </c>
      <c r="BB338" s="63" t="inlineStr">
        <is>
          <t>N/A</t>
        </is>
      </c>
      <c r="BC338" s="63" t="inlineStr">
        <is>
          <t>N/A</t>
        </is>
      </c>
      <c r="BD338" s="63" t="inlineStr">
        <is>
          <t>N/A</t>
        </is>
      </c>
      <c r="BE338" s="63" t="inlineStr">
        <is>
          <t>N/A</t>
        </is>
      </c>
      <c r="BF338" s="63" t="inlineStr">
        <is>
          <t>N/A</t>
        </is>
      </c>
      <c r="BG338" s="75" t="inlineStr">
        <is>
          <t>Huatai Financial Holdings (Hong Kong) Limited; ABCI Capital Limited; GF Capital (Hong Kong) Limited</t>
        </is>
      </c>
      <c r="BH338" s="63" t="inlineStr">
        <is>
          <t>Huatai Financial Holdings (Hong Kong) Limited; GF Capital (Hong Kong) Limited; ABCI Capital Limited</t>
        </is>
      </c>
      <c r="BI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7">
        <f>HYPERLINK("https://www1.hkexnews.hk/listedco/listconews/sehk/2025/0617/2025061700008.pdf","prospectus")</f>
        <v/>
      </c>
      <c r="BL338" s="77">
        <f>HYPERLINK("https://www1.hkexnews.hk/listedco/listconews/sehk/2025/0624/2025062401322.pdf","allotment")</f>
        <v/>
      </c>
      <c r="BM338" s="77">
        <f>HYPERLINK("https://www1.hkexnews.hk/listedco/listconews/sehk/2025/0721/2025072100017.pdf","stabilisation")</f>
        <v/>
      </c>
      <c r="BN338" s="75" t="n"/>
      <c r="BO338" s="63" t="inlineStr">
        <is>
          <t>P/E: n/m — loss-making at IPO (use P/S)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v>44.4</v>
      </c>
      <c r="V339" s="67" t="n">
        <v>6.92</v>
      </c>
      <c r="W339" s="63" t="inlineStr">
        <is>
          <t>CICC Financial Trading Limited; Jump Trading Pacific Pte. Ltd; Seraphim Advantage Inc; GF International Investment Management Limited; GF Global Capital Limited; CITIC Securities International Capital Management Limited; Trading Pacific Pte. Ltd</t>
        </is>
      </c>
      <c r="X339" s="63" t="inlineStr">
        <is>
          <t>china-international;jump;seraphim;gf;citic;trading</t>
        </is>
      </c>
      <c r="Y339" s="67" t="n">
        <v>15</v>
      </c>
      <c r="Z339" s="63" t="n"/>
      <c r="AA339" s="72" t="n">
        <v>25</v>
      </c>
      <c r="AB339" s="73" t="n">
        <v>11.25</v>
      </c>
      <c r="AC339" s="73" t="n">
        <v>12.36</v>
      </c>
      <c r="AD339" s="73" t="n">
        <v>55.42</v>
      </c>
      <c r="AE339" s="73" t="n">
        <v>61.46</v>
      </c>
      <c r="AF339" s="73" t="n">
        <v>81.25</v>
      </c>
      <c r="AG339" s="73" t="n">
        <v>24.34</v>
      </c>
      <c r="AH339" s="73" t="n">
        <v>29.17</v>
      </c>
      <c r="AI339" s="73" t="n">
        <v>45</v>
      </c>
      <c r="AJ339" s="73" t="n">
        <v>57.84</v>
      </c>
      <c r="AK339" s="73" t="n">
        <v>56.14</v>
      </c>
      <c r="AL339" s="73" t="n">
        <v>67.05</v>
      </c>
      <c r="AM339" s="73" t="n">
        <v>23.09</v>
      </c>
      <c r="AN339" s="73" t="n">
        <v>5.32</v>
      </c>
      <c r="AO339" s="73" t="n">
        <v>6.08</v>
      </c>
      <c r="AP339" s="63" t="inlineStr">
        <is>
          <t>Hang Seng Commerce &amp; Industry sub-index</t>
        </is>
      </c>
      <c r="AQ339" s="73" t="n">
        <v>-42.29</v>
      </c>
      <c r="AR339" s="64" t="inlineStr">
        <is>
          <t>2026-08-20</t>
        </is>
      </c>
      <c r="AS339" s="65" t="n"/>
      <c r="AT339" s="68" t="n"/>
      <c r="AU339" s="63" t="inlineStr">
        <is>
          <t>Y</t>
        </is>
      </c>
      <c r="AV339" s="74" t="n">
        <v>14.5</v>
      </c>
      <c r="AW339" s="74" t="n">
        <v>14.5</v>
      </c>
      <c r="AX339" s="74" t="n">
        <v>6.3</v>
      </c>
      <c r="AY339" s="74" t="n"/>
      <c r="AZ339" s="75" t="inlineStr">
        <is>
          <t>N</t>
        </is>
      </c>
      <c r="BA339" s="76">
        <f>IF('BBG Verify'!K339="","not filed — run on terminal",'BBG Verify'!K339)</f>
        <v/>
      </c>
      <c r="BB339" s="63" t="inlineStr">
        <is>
          <t>N/A</t>
        </is>
      </c>
      <c r="BC339" s="63" t="inlineStr">
        <is>
          <t>N/A</t>
        </is>
      </c>
      <c r="BD339" s="63" t="inlineStr">
        <is>
          <t>N/A</t>
        </is>
      </c>
      <c r="BE339" s="63" t="inlineStr">
        <is>
          <t>N/A</t>
        </is>
      </c>
      <c r="BF339" s="63" t="inlineStr">
        <is>
          <t>N/A</t>
        </is>
      </c>
      <c r="BG339" s="75" t="inlineStr">
        <is>
          <t>China International Capital Corporation Hong Kong Securities Limited; China Securities (International) Corporate Finance Company Limited</t>
        </is>
      </c>
      <c r="BH339" s="63" t="inlineStr">
        <is>
          <t>China International Capital Corporation Hong Kong Securities Limited; China Securities (International) Corporate Finance Company Limited</t>
        </is>
      </c>
      <c r="BI339" s="63"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7">
        <f>HYPERLINK("https://www1.hkexnews.hk/listedco/listconews/sehk/2025/0618/2025061800023.pdf","prospectus")</f>
        <v/>
      </c>
      <c r="BL339" s="77">
        <f>HYPERLINK("https://www1.hkexnews.hk/listedco/listconews/sehk/2025/0625/2025062502268.pdf","allotment")</f>
        <v/>
      </c>
      <c r="BM339" s="63" t="n"/>
      <c r="BN339" s="75" t="n"/>
      <c r="BO339" s="63"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7" t="n">
        <v>16.05</v>
      </c>
      <c r="W340" s="63" t="inlineStr">
        <is>
          <t>JKKB Limited; Carl Wu / 吳啟楠</t>
        </is>
      </c>
      <c r="X340" s="63" t="inlineStr">
        <is>
          <t>jkkb;carl</t>
        </is>
      </c>
      <c r="Y340" s="67" t="n">
        <v>15</v>
      </c>
      <c r="Z340" s="63" t="inlineStr">
        <is>
          <t>partial</t>
        </is>
      </c>
      <c r="AA340" s="72" t="n">
        <v>33.74</v>
      </c>
      <c r="AB340" s="73" t="n">
        <v>28.42</v>
      </c>
      <c r="AC340" s="73" t="n">
        <v>4.14</v>
      </c>
      <c r="AD340" s="73" t="n">
        <v>0.46</v>
      </c>
      <c r="AE340" s="73" t="n">
        <v>16.41</v>
      </c>
      <c r="AF340" s="73" t="n">
        <v>-6.53</v>
      </c>
      <c r="AG340" s="73" t="n">
        <v>-24.88</v>
      </c>
      <c r="AH340" s="73" t="n">
        <v>-12.96</v>
      </c>
      <c r="AI340" s="73" t="n">
        <v>-30.11</v>
      </c>
      <c r="AJ340" s="73" t="n">
        <v>-3.25</v>
      </c>
      <c r="AK340" s="73" t="n">
        <v>-2.52</v>
      </c>
      <c r="AL340" s="73" t="n">
        <v>-34</v>
      </c>
      <c r="AM340" s="73" t="n">
        <v>-34.63</v>
      </c>
      <c r="AN340" s="73" t="n">
        <v>18.93</v>
      </c>
      <c r="AO340" s="73" t="n">
        <v>21.67</v>
      </c>
      <c r="AP340" s="63" t="inlineStr">
        <is>
          <t>China Biotech ETF (HS biotech proxy)</t>
        </is>
      </c>
      <c r="AQ340" s="73" t="n">
        <v>-52.2</v>
      </c>
      <c r="AR340" s="64" t="inlineStr">
        <is>
          <t>2026-08-20</t>
        </is>
      </c>
      <c r="AS340" s="65" t="n">
        <v>878.5</v>
      </c>
      <c r="AT340" s="68" t="n">
        <v>-597.6</v>
      </c>
      <c r="AU340" s="63" t="inlineStr">
        <is>
          <t>N</t>
        </is>
      </c>
      <c r="AV340" s="63" t="inlineStr">
        <is>
          <t>n/m</t>
        </is>
      </c>
      <c r="AW340" s="74" t="n"/>
      <c r="AX340" s="74" t="n">
        <v>2.2</v>
      </c>
      <c r="AY340" s="74" t="n">
        <v>4.6</v>
      </c>
      <c r="AZ340" s="75" t="inlineStr">
        <is>
          <t>N</t>
        </is>
      </c>
      <c r="BA340" s="76">
        <f>IF('BBG Verify'!K340="","not filed — run on terminal",'BBG Verify'!K340)</f>
        <v/>
      </c>
      <c r="BB340" s="63" t="inlineStr">
        <is>
          <t>N/A</t>
        </is>
      </c>
      <c r="BC340" s="63" t="inlineStr">
        <is>
          <t>N/A</t>
        </is>
      </c>
      <c r="BD340" s="63" t="inlineStr">
        <is>
          <t>N/A</t>
        </is>
      </c>
      <c r="BE340" s="63" t="inlineStr">
        <is>
          <t>N/A</t>
        </is>
      </c>
      <c r="BF340" s="63" t="inlineStr">
        <is>
          <t>N/A</t>
        </is>
      </c>
      <c r="BG340" s="75" t="inlineStr">
        <is>
          <t>UBS Securities Hong Kong Limited; CITIC Securities (Hong Kong) Limited</t>
        </is>
      </c>
      <c r="BH340" s="63" t="inlineStr">
        <is>
          <t>UBS Securities Hong Kong Limited; CITIC Securities (Hong Kong) Limited</t>
        </is>
      </c>
      <c r="BI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7">
        <f>HYPERLINK("https://www1.hkexnews.hk/listedco/listconews/sehk/2025/0618/2025061800127.pdf","prospectus")</f>
        <v/>
      </c>
      <c r="BL340" s="77">
        <f>HYPERLINK("https://www1.hkexnews.hk/listedco/listconews/sehk/2025/0625/2025062502266.pdf","allotment")</f>
        <v/>
      </c>
      <c r="BM340" s="77">
        <f>HYPERLINK("https://www1.hkexnews.hk/listedco/listconews/sehk/2025/0723/2025072301180.pdf","stabilisation")</f>
        <v/>
      </c>
      <c r="BN340" s="75" t="n"/>
      <c r="BO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3.38</v>
      </c>
      <c r="M341" s="66" t="n">
        <v>2.88</v>
      </c>
      <c r="N341" s="63" t="inlineStr">
        <is>
          <t>N</t>
        </is>
      </c>
      <c r="O341" s="67" t="n">
        <v>85.2</v>
      </c>
      <c r="P341" s="67" t="n"/>
      <c r="Q341" s="68" t="n">
        <v>3840.2</v>
      </c>
      <c r="R341" s="63" t="inlineStr">
        <is>
          <t>derived:price x shares upon listing</t>
        </is>
      </c>
      <c r="S341" s="69" t="n">
        <v>35.84</v>
      </c>
      <c r="T341" s="70" t="n">
        <v>3.5</v>
      </c>
      <c r="U341" s="71" t="n">
        <v>0</v>
      </c>
      <c r="V341" s="67" t="n">
        <v>25</v>
      </c>
      <c r="W341" s="63" t="n"/>
      <c r="X341" s="63" t="n"/>
      <c r="Y341" s="67" t="n">
        <v>15</v>
      </c>
      <c r="Z341" s="63" t="n"/>
      <c r="AA341" s="72" t="n">
        <v>-16.67</v>
      </c>
      <c r="AB341" s="73" t="n">
        <v>-10.42</v>
      </c>
      <c r="AC341" s="73" t="n">
        <v>-6.98</v>
      </c>
      <c r="AD341" s="73" t="n">
        <v>-23.61</v>
      </c>
      <c r="AE341" s="73" t="n">
        <v>-28.47</v>
      </c>
      <c r="AF341" s="73" t="n">
        <v>-27.08</v>
      </c>
      <c r="AG341" s="73" t="n">
        <v>-8.33</v>
      </c>
      <c r="AH341" s="73" t="n">
        <v>-14.16</v>
      </c>
      <c r="AI341" s="73" t="n">
        <v>-12.49</v>
      </c>
      <c r="AJ341" s="73" t="n">
        <v>-21.19</v>
      </c>
      <c r="AK341" s="73" t="n">
        <v>-33.79</v>
      </c>
      <c r="AL341" s="73" t="n">
        <v>-41.28</v>
      </c>
      <c r="AM341" s="73" t="n">
        <v>-20.24</v>
      </c>
      <c r="AN341" s="73" t="n">
        <v>5.32</v>
      </c>
      <c r="AO341" s="73" t="n">
        <v>6.08</v>
      </c>
      <c r="AP341" s="63" t="inlineStr">
        <is>
          <t>Hang Seng Commerce &amp; Industry sub-index</t>
        </is>
      </c>
      <c r="AQ341" s="73" t="n">
        <v>-29.51</v>
      </c>
      <c r="AR341" s="64" t="inlineStr">
        <is>
          <t>2026-08-21</t>
        </is>
      </c>
      <c r="AS341" s="65" t="n">
        <v>2291.7</v>
      </c>
      <c r="AT341" s="68" t="n">
        <v>249.7</v>
      </c>
      <c r="AU341" s="63" t="inlineStr">
        <is>
          <t>Y</t>
        </is>
      </c>
      <c r="AV341" s="74" t="n">
        <v>15.4</v>
      </c>
      <c r="AW341" s="74" t="n"/>
      <c r="AX341" s="74" t="n">
        <v>9.1</v>
      </c>
      <c r="AY341" s="74" t="n">
        <v>1.7</v>
      </c>
      <c r="AZ341" s="75" t="inlineStr">
        <is>
          <t>N</t>
        </is>
      </c>
      <c r="BA341" s="76">
        <f>IF('BBG Verify'!K341="","not filed — run on terminal",'BBG Verify'!K341)</f>
        <v/>
      </c>
      <c r="BB341" s="63" t="inlineStr">
        <is>
          <t>N/A</t>
        </is>
      </c>
      <c r="BC341" s="63" t="inlineStr">
        <is>
          <t>N/A</t>
        </is>
      </c>
      <c r="BD341" s="63" t="inlineStr">
        <is>
          <t>N/A</t>
        </is>
      </c>
      <c r="BE341" s="63" t="inlineStr">
        <is>
          <t>N/A</t>
        </is>
      </c>
      <c r="BF341" s="63" t="inlineStr">
        <is>
          <t>N/A</t>
        </is>
      </c>
      <c r="BG341" s="75" t="inlineStr">
        <is>
          <t>BNP Paribas Securities (Asia) Limited; CITIC Securities (Hong Kong) Limited</t>
        </is>
      </c>
      <c r="BH341" s="63" t="inlineStr">
        <is>
          <t>CITIC Securities (Hong Kong) Limited; BNP Paribas Securities (Asia) Limited</t>
        </is>
      </c>
      <c r="BI341" s="63" t="inlineStr">
        <is>
          <t>First Shanghai Securities Limited; Futu Securities International (Hong Kong) Limited; SBI China Capital Financial Services Ltd</t>
        </is>
      </c>
      <c r="BJ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7">
        <f>HYPERLINK("https://www1.hkexnews.hk/listedco/listconews/sehk/2025/0618/2025061800005.pdf","prospectus")</f>
        <v/>
      </c>
      <c r="BL341" s="77">
        <f>HYPERLINK("https://www1.hkexnews.hk/listedco/listconews/sehk/2025/0626/2025062600005.pdf","allotment")</f>
        <v/>
      </c>
      <c r="BM341" s="63" t="n"/>
      <c r="BN341" s="75" t="n"/>
      <c r="BO341" s="63"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7" t="n">
        <v>1.55</v>
      </c>
      <c r="W342" s="63" t="inlineStr">
        <is>
          <t>Nebula</t>
        </is>
      </c>
      <c r="X342" s="63" t="inlineStr">
        <is>
          <t>nebula</t>
        </is>
      </c>
      <c r="Y342" s="67" t="n">
        <v>10.17</v>
      </c>
      <c r="Z342" s="63" t="inlineStr">
        <is>
          <t>full</t>
        </is>
      </c>
      <c r="AA342" s="72" t="n">
        <v>44.59</v>
      </c>
      <c r="AB342" s="73" t="n">
        <v>0</v>
      </c>
      <c r="AC342" s="73" t="n">
        <v>44.59</v>
      </c>
      <c r="AD342" s="73" t="n">
        <v>105.37</v>
      </c>
      <c r="AE342" s="73" t="n">
        <v>184.88</v>
      </c>
      <c r="AF342" s="73" t="n">
        <v>137.17</v>
      </c>
      <c r="AG342" s="73" t="n">
        <v>42.04</v>
      </c>
      <c r="AH342" s="73" t="n">
        <v>97.03</v>
      </c>
      <c r="AI342" s="73" t="n">
        <v>64.03</v>
      </c>
      <c r="AJ342" s="73" t="n">
        <v>105.56</v>
      </c>
      <c r="AK342" s="73" t="n">
        <v>182.02</v>
      </c>
      <c r="AL342" s="73" t="n">
        <v>121.63</v>
      </c>
      <c r="AM342" s="73" t="n">
        <v>93.48</v>
      </c>
      <c r="AN342" s="73" t="n">
        <v>2.86</v>
      </c>
      <c r="AO342" s="73" t="n">
        <v>3.55</v>
      </c>
      <c r="AP342" s="63" t="inlineStr">
        <is>
          <t>HSTECH (Hang Seng TECH ETF)</t>
        </is>
      </c>
      <c r="AQ342" s="73" t="n">
        <v>-64.02</v>
      </c>
      <c r="AR342" s="64" t="inlineStr">
        <is>
          <t>2026-08-21</t>
        </is>
      </c>
      <c r="AS342" s="65" t="n">
        <v>1032.9</v>
      </c>
      <c r="AT342" s="68" t="n">
        <v>-499.6</v>
      </c>
      <c r="AU342" s="63" t="inlineStr">
        <is>
          <t>N</t>
        </is>
      </c>
      <c r="AV342" s="63" t="inlineStr">
        <is>
          <t>n/m</t>
        </is>
      </c>
      <c r="AW342" s="74" t="n"/>
      <c r="AX342" s="74" t="n"/>
      <c r="AY342" s="74" t="n">
        <v>14.1</v>
      </c>
      <c r="AZ342" s="75" t="inlineStr">
        <is>
          <t>N</t>
        </is>
      </c>
      <c r="BA342" s="76">
        <f>IF('BBG Verify'!K342="","not filed — run on terminal",'BBG Verify'!K342)</f>
        <v/>
      </c>
      <c r="BB342" s="63" t="inlineStr">
        <is>
          <t>N/A</t>
        </is>
      </c>
      <c r="BC342" s="63" t="inlineStr">
        <is>
          <t>N/A</t>
        </is>
      </c>
      <c r="BD342" s="63" t="inlineStr">
        <is>
          <t>N/A</t>
        </is>
      </c>
      <c r="BE342" s="63" t="inlineStr">
        <is>
          <t>N/A</t>
        </is>
      </c>
      <c r="BF342" s="63" t="inlineStr">
        <is>
          <t>N/A</t>
        </is>
      </c>
      <c r="BG342" s="75" t="inlineStr">
        <is>
          <t>China International Capital Corporation Hong Kong Securities Limited; Haitong International Capital Limited</t>
        </is>
      </c>
      <c r="BH342" s="63" t="inlineStr">
        <is>
          <t>China International Capital Corporation Hong Kong Securities Limited; Haitong International Capital Limited</t>
        </is>
      </c>
      <c r="BI342" s="63" t="inlineStr">
        <is>
          <t>China International Capital Corporation Hong Kong Securities Limited; Haitong International Securities Company Limited; ABCI Capital Limited; Orient Securities (Hong Kong) Limited; CMBC Securities Company Limited; Tiger Brokers (HK) Global Limited</t>
        </is>
      </c>
      <c r="BJ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7">
        <f>HYPERLINK("https://www1.hkexnews.hk/listedco/listconews/sehk/2025/0620/2025062000023.pdf","prospectus")</f>
        <v/>
      </c>
      <c r="BL342" s="77">
        <f>HYPERLINK("https://www1.hkexnews.hk/listedco/listconews/sehk/2025/0627/2025062702974.pdf","allotment")</f>
        <v/>
      </c>
      <c r="BM342" s="77">
        <f>HYPERLINK("https://www1.hkexnews.hk/listedco/listconews/sehk/2025/0725/2025072501515.pdf","stabilisation")</f>
        <v/>
      </c>
      <c r="BN342" s="75" t="n"/>
      <c r="BO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7" t="n">
        <v>10.04</v>
      </c>
      <c r="W343" s="63" t="inlineStr">
        <is>
          <t>Dragon Merit Holdings Limited; Welight Capital L.P</t>
        </is>
      </c>
      <c r="X343" s="63" t="inlineStr">
        <is>
          <t>dragon;welight</t>
        </is>
      </c>
      <c r="Y343" s="67" t="n"/>
      <c r="Z343" s="63" t="n"/>
      <c r="AA343" s="72" t="n">
        <v>0.65</v>
      </c>
      <c r="AB343" s="73" t="n">
        <v>-0.98</v>
      </c>
      <c r="AC343" s="73" t="n">
        <v>1.65</v>
      </c>
      <c r="AD343" s="73" t="n">
        <v>1.63</v>
      </c>
      <c r="AE343" s="73" t="n">
        <v>15.52</v>
      </c>
      <c r="AF343" s="73" t="n">
        <v>0</v>
      </c>
      <c r="AG343" s="73" t="n">
        <v>0.97</v>
      </c>
      <c r="AH343" s="73" t="n">
        <v>14.77</v>
      </c>
      <c r="AI343" s="73" t="n">
        <v>-0.65</v>
      </c>
      <c r="AJ343" s="73" t="n">
        <v>-2.27</v>
      </c>
      <c r="AK343" s="73" t="n">
        <v>-9.640000000000001</v>
      </c>
      <c r="AL343" s="73" t="n">
        <v>-28.79</v>
      </c>
      <c r="AM343" s="73" t="n">
        <v>-9.359999999999999</v>
      </c>
      <c r="AN343" s="73" t="n">
        <v>25.16</v>
      </c>
      <c r="AO343" s="73" t="n">
        <v>24.13</v>
      </c>
      <c r="AP343" s="63" t="inlineStr">
        <is>
          <t>China Biotech ETF (HS biotech proxy)</t>
        </is>
      </c>
      <c r="AQ343" s="73" t="n">
        <v>-23.73</v>
      </c>
      <c r="AR343" s="64" t="inlineStr">
        <is>
          <t>2026-08-21</t>
        </is>
      </c>
      <c r="AS343" s="65" t="n">
        <v>486.4</v>
      </c>
      <c r="AT343" s="68" t="n">
        <v>65.09999999999999</v>
      </c>
      <c r="AU343" s="63" t="inlineStr">
        <is>
          <t>Y</t>
        </is>
      </c>
      <c r="AV343" s="74" t="n">
        <v>66.7</v>
      </c>
      <c r="AW343" s="74" t="n">
        <v>59.8</v>
      </c>
      <c r="AX343" s="74" t="n">
        <v>11.6</v>
      </c>
      <c r="AY343" s="74" t="n">
        <v>8.9</v>
      </c>
      <c r="AZ343" s="75" t="inlineStr">
        <is>
          <t>N</t>
        </is>
      </c>
      <c r="BA343" s="76">
        <f>IF('BBG Verify'!K343="","not filed — run on terminal",'BBG Verify'!K343)</f>
        <v/>
      </c>
      <c r="BB343" s="63" t="inlineStr">
        <is>
          <t>N/A</t>
        </is>
      </c>
      <c r="BC343" s="63" t="inlineStr">
        <is>
          <t>N/A</t>
        </is>
      </c>
      <c r="BD343" s="63" t="inlineStr">
        <is>
          <t>N/A</t>
        </is>
      </c>
      <c r="BE343" s="63" t="inlineStr">
        <is>
          <t>N/A</t>
        </is>
      </c>
      <c r="BF343" s="63" t="inlineStr">
        <is>
          <t>N/A</t>
        </is>
      </c>
      <c r="BG343" s="75" t="inlineStr">
        <is>
          <t>Morgan Stanley Asia Limited; CITIC Securities (Hong Kong) Limited</t>
        </is>
      </c>
      <c r="BH343" s="63" t="inlineStr">
        <is>
          <t>Morgan Stanley Asia Limited; CITIC Securities (Hong Kong) Limited</t>
        </is>
      </c>
      <c r="BI343" s="63" t="inlineStr">
        <is>
          <t>Aristo Securities Limited; China Everbright Securities (HK) Limited; CLSA Limited; Morgan Stanley Asia Limited; Prime Securities Limited; Soochow Securities International Brokerage Limited</t>
        </is>
      </c>
      <c r="BJ343" s="63" t="inlineStr">
        <is>
          <t>Aristo Securities Limited; China Everbright Securities (HK) Limited; CLSA Limited; Morgan Stanley Asia Limited; Prime Securities Limited; Soochow Securities International Brokerage Limited</t>
        </is>
      </c>
      <c r="BK343" s="77">
        <f>HYPERLINK("https://www1.hkexnews.hk/listedco/listconews/sehk/2025/0620/2025062000021.pdf","prospectus")</f>
        <v/>
      </c>
      <c r="BL343" s="77">
        <f>HYPERLINK("https://www1.hkexnews.hk/listedco/listconews/sehk/2025/0627/2025062703092.pdf","allotment")</f>
        <v/>
      </c>
      <c r="BM343" s="63" t="n"/>
      <c r="BN343" s="75" t="n"/>
      <c r="BO343" s="63" t="inlineStr">
        <is>
          <t>greenshoe: no over-allotment option in the offer structure · A/H: no A-share listing · greenshoe size: no over-allotment option in the offer structure</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7" t="n">
        <v>3.39</v>
      </c>
      <c r="W344" s="63" t="inlineStr">
        <is>
          <t>Harvest Oriental SP; UBS AM Singapore; Black Dragon CP Fund SPC; China Southern AM; Mega Prime; ICBC Wealth; Jain Global Master Fund Ltd; Jane Street</t>
        </is>
      </c>
      <c r="X344" s="63" t="inlineStr">
        <is>
          <t>harvest;ubs;black;southern-am;mega;icbc;jain;jane</t>
        </is>
      </c>
      <c r="Y344" s="67" t="n">
        <v>15</v>
      </c>
      <c r="Z344" s="63" t="inlineStr">
        <is>
          <t>full</t>
        </is>
      </c>
      <c r="AA344" s="72" t="n">
        <v>42.09</v>
      </c>
      <c r="AB344" s="73" t="n">
        <v>57.91</v>
      </c>
      <c r="AC344" s="73" t="n">
        <v>-10.02</v>
      </c>
      <c r="AD344" s="73" t="n">
        <v>45.68</v>
      </c>
      <c r="AE344" s="73" t="n">
        <v>33.63</v>
      </c>
      <c r="AF344" s="73" t="n">
        <v>9.5</v>
      </c>
      <c r="AG344" s="73" t="n">
        <v>2.53</v>
      </c>
      <c r="AH344" s="73" t="n">
        <v>-5.95</v>
      </c>
      <c r="AI344" s="73" t="n">
        <v>-22.94</v>
      </c>
      <c r="AJ344" s="73" t="n">
        <v>46.45</v>
      </c>
      <c r="AK344" s="73" t="n">
        <v>29.27</v>
      </c>
      <c r="AL344" s="73" t="n">
        <v>-3.08</v>
      </c>
      <c r="AM344" s="73" t="n">
        <v>-11.09</v>
      </c>
      <c r="AN344" s="73" t="n">
        <v>4.36</v>
      </c>
      <c r="AO344" s="73" t="n">
        <v>5.14</v>
      </c>
      <c r="AP344" s="63" t="inlineStr">
        <is>
          <t>Hang Seng Commerce &amp; Industry sub-index</t>
        </is>
      </c>
      <c r="AQ344" s="73" t="n">
        <v>-81.94</v>
      </c>
      <c r="AR344" s="64" t="inlineStr">
        <is>
          <t>2026-08-21</t>
        </is>
      </c>
      <c r="AS344" s="65" t="n">
        <v>1229.7</v>
      </c>
      <c r="AT344" s="68" t="n">
        <v>259.9</v>
      </c>
      <c r="AU344" s="63" t="inlineStr">
        <is>
          <t>Y</t>
        </is>
      </c>
      <c r="AV344" s="74" t="n">
        <v>28.5</v>
      </c>
      <c r="AW344" s="74" t="n">
        <v>33</v>
      </c>
      <c r="AX344" s="74" t="n">
        <v>7.2</v>
      </c>
      <c r="AY344" s="74" t="n">
        <v>6</v>
      </c>
      <c r="AZ344" s="75" t="inlineStr">
        <is>
          <t>N</t>
        </is>
      </c>
      <c r="BA344" s="76">
        <f>IF('BBG Verify'!K344="","not filed — run on terminal",'BBG Verify'!K344)</f>
        <v/>
      </c>
      <c r="BB344" s="63" t="inlineStr">
        <is>
          <t>N/A</t>
        </is>
      </c>
      <c r="BC344" s="63" t="inlineStr">
        <is>
          <t>N/A</t>
        </is>
      </c>
      <c r="BD344" s="63" t="inlineStr">
        <is>
          <t>N/A</t>
        </is>
      </c>
      <c r="BE344" s="63" t="inlineStr">
        <is>
          <t>N/A</t>
        </is>
      </c>
      <c r="BF344" s="63" t="inlineStr">
        <is>
          <t>N/A</t>
        </is>
      </c>
      <c r="BG344" s="75" t="inlineStr">
        <is>
          <t>CITIC Securities (Hong Kong) Limited; CLSA Limited</t>
        </is>
      </c>
      <c r="BH344" s="63" t="inlineStr">
        <is>
          <t>CITIC Securities (Hong Kong) Limited</t>
        </is>
      </c>
      <c r="BI344" s="63" t="inlineStr">
        <is>
          <t>BOCI Asia Limited; CLSA Limited</t>
        </is>
      </c>
      <c r="BJ344" s="63" t="inlineStr">
        <is>
          <t>BOCI Asia Limited; CLSA Limited</t>
        </is>
      </c>
      <c r="BK344" s="77">
        <f>HYPERLINK("https://www1.hkexnews.hk/listedco/listconews/sehk/2025/0620/2025062000033.pdf","prospectus")</f>
        <v/>
      </c>
      <c r="BL344" s="77">
        <f>HYPERLINK("https://www1.hkexnews.hk/listedco/listconews/sehk/2025/0627/2025062703890.pdf","allotment")</f>
        <v/>
      </c>
      <c r="BM344" s="77">
        <f>HYPERLINK("https://www1.hkexnews.hk/listedco/listconews/sehk/2025/0725/2025072501707.pdf","stabilisation")</f>
        <v/>
      </c>
      <c r="BN344" s="75" t="n"/>
      <c r="BO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7" t="n">
        <v>5.11</v>
      </c>
      <c r="W345" s="63" t="inlineStr">
        <is>
          <t>Offering WSH; Reynold Lemkins US2.80 million</t>
        </is>
      </c>
      <c r="X345" s="63" t="inlineStr">
        <is>
          <t>offering;reynold</t>
        </is>
      </c>
      <c r="Y345" s="67" t="n"/>
      <c r="Z345" s="63" t="n"/>
      <c r="AA345" s="72" t="n">
        <v>-38.61</v>
      </c>
      <c r="AB345" s="73" t="n">
        <v>-5.94</v>
      </c>
      <c r="AC345" s="73" t="n">
        <v>-34.73</v>
      </c>
      <c r="AD345" s="73" t="n">
        <v>-42.57</v>
      </c>
      <c r="AE345" s="73" t="n">
        <v>-49.5</v>
      </c>
      <c r="AF345" s="73" t="n">
        <v>-55.35</v>
      </c>
      <c r="AG345" s="73" t="n">
        <v>-6.45</v>
      </c>
      <c r="AH345" s="73" t="n">
        <v>-17.74</v>
      </c>
      <c r="AI345" s="73" t="n">
        <v>-27.27</v>
      </c>
      <c r="AJ345" s="73" t="n">
        <v>-45.93</v>
      </c>
      <c r="AK345" s="73" t="n">
        <v>-68.91</v>
      </c>
      <c r="AL345" s="73" t="n">
        <v>-86.84999999999999</v>
      </c>
      <c r="AM345" s="73" t="n">
        <v>-33.83</v>
      </c>
      <c r="AN345" s="73" t="n">
        <v>19.41</v>
      </c>
      <c r="AO345" s="73" t="n">
        <v>16.09</v>
      </c>
      <c r="AP345" s="63" t="inlineStr">
        <is>
          <t>China Biotech ETF (HS biotech proxy)</t>
        </is>
      </c>
      <c r="AQ345" s="73" t="n">
        <v>-88.47</v>
      </c>
      <c r="AR345" s="64" t="inlineStr">
        <is>
          <t>2026-08-20</t>
        </is>
      </c>
      <c r="AS345" s="65" t="n">
        <v>78</v>
      </c>
      <c r="AT345" s="68" t="n">
        <v>-773.2</v>
      </c>
      <c r="AU345" s="63" t="inlineStr">
        <is>
          <t>N</t>
        </is>
      </c>
      <c r="AV345" s="63" t="inlineStr">
        <is>
          <t>n/m</t>
        </is>
      </c>
      <c r="AW345" s="74" t="n"/>
      <c r="AX345" s="74" t="n"/>
      <c r="AY345" s="74" t="n">
        <v>108.6</v>
      </c>
      <c r="AZ345" s="75" t="inlineStr">
        <is>
          <t>N</t>
        </is>
      </c>
      <c r="BA345" s="76">
        <f>IF('BBG Verify'!K345="","not filed — run on terminal",'BBG Verify'!K345)</f>
        <v/>
      </c>
      <c r="BB345" s="63" t="inlineStr">
        <is>
          <t>N/A</t>
        </is>
      </c>
      <c r="BC345" s="63" t="inlineStr">
        <is>
          <t>N/A</t>
        </is>
      </c>
      <c r="BD345" s="63" t="inlineStr">
        <is>
          <t>N/A</t>
        </is>
      </c>
      <c r="BE345" s="63" t="inlineStr">
        <is>
          <t>N/A</t>
        </is>
      </c>
      <c r="BF345" s="63" t="inlineStr">
        <is>
          <t>N/A</t>
        </is>
      </c>
      <c r="BG345" s="75" t="inlineStr">
        <is>
          <t>CCB International Capital Limited; Central, Hong Kong Huatai Financial Holdings (Hong Kong) Limited</t>
        </is>
      </c>
      <c r="BH345" s="63" t="inlineStr">
        <is>
          <t>CCB International Capital Limited; Huatai Financial Holdings (Hong Kong) Limited</t>
        </is>
      </c>
      <c r="BI345" s="63"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7">
        <f>HYPERLINK("https://www1.hkexnews.hk/listedco/listconews/sehk/2025/0624/2025062400005.pdf","prospectus")</f>
        <v/>
      </c>
      <c r="BL345" s="77">
        <f>HYPERLINK("https://www1.hkexnews.hk/listedco/listconews/sehk/2025/0702/2025070203783.pdf","allotment")</f>
        <v/>
      </c>
      <c r="BM345" s="63" t="n"/>
      <c r="BN345" s="75" t="n"/>
      <c r="BO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27945.4</v>
      </c>
      <c r="R346" s="63" t="inlineStr">
        <is>
          <t>prospectus:stated market capitalisation</t>
        </is>
      </c>
      <c r="S346" s="69" t="n">
        <v>44.2</v>
      </c>
      <c r="T346" s="70" t="n">
        <v>5.85</v>
      </c>
      <c r="U346" s="71" t="n">
        <v>26.76</v>
      </c>
      <c r="V346" s="67" t="n">
        <v>6.29</v>
      </c>
      <c r="W346" s="63" t="inlineStr">
        <is>
          <t>HK Greenwoods; Hosen Capital; FCP Domains; NonaV erse</t>
        </is>
      </c>
      <c r="X346" s="63" t="inlineStr">
        <is>
          <t>greenwoods;hosen;fcp;nonav</t>
        </is>
      </c>
      <c r="Y346" s="67" t="n">
        <v>15</v>
      </c>
      <c r="Z346" s="63" t="inlineStr">
        <is>
          <t>lapsed</t>
        </is>
      </c>
      <c r="AA346" s="72" t="n">
        <v>-5</v>
      </c>
      <c r="AB346" s="73" t="n">
        <v>0</v>
      </c>
      <c r="AC346" s="73" t="n">
        <v>-5</v>
      </c>
      <c r="AD346" s="73" t="n">
        <v>0.08</v>
      </c>
      <c r="AE346" s="73" t="n">
        <v>0</v>
      </c>
      <c r="AF346" s="73" t="n">
        <v>-2.58</v>
      </c>
      <c r="AG346" s="73" t="n">
        <v>5.35</v>
      </c>
      <c r="AH346" s="73" t="n">
        <v>5.26</v>
      </c>
      <c r="AI346" s="73" t="n">
        <v>2.55</v>
      </c>
      <c r="AJ346" s="73" t="n">
        <v>0.3</v>
      </c>
      <c r="AK346" s="73" t="n">
        <v>-4.12</v>
      </c>
      <c r="AL346" s="73" t="n">
        <v>-23.07</v>
      </c>
      <c r="AM346" s="73" t="n">
        <v>0.45</v>
      </c>
      <c r="AN346" s="73" t="n">
        <v>4.12</v>
      </c>
      <c r="AO346" s="73" t="n">
        <v>4.81</v>
      </c>
      <c r="AP346" s="63" t="inlineStr">
        <is>
          <t>Hang Seng Commerce &amp; Industry sub-index</t>
        </is>
      </c>
      <c r="AQ346" s="73" t="n">
        <v>9.92</v>
      </c>
      <c r="AR346" s="64" t="inlineStr">
        <is>
          <t>2026-08-20</t>
        </is>
      </c>
      <c r="AS346" s="65" t="n">
        <v>16532.5</v>
      </c>
      <c r="AT346" s="68" t="n">
        <v>1665</v>
      </c>
      <c r="AU346" s="63" t="inlineStr">
        <is>
          <t>Y</t>
        </is>
      </c>
      <c r="AV346" s="74" t="n">
        <v>16.8</v>
      </c>
      <c r="AW346" s="74" t="n">
        <v>10.2</v>
      </c>
      <c r="AX346" s="74" t="n">
        <v>11.9</v>
      </c>
      <c r="AY346" s="74" t="n">
        <v>1.7</v>
      </c>
      <c r="AZ346" s="75" t="inlineStr">
        <is>
          <t>Y</t>
        </is>
      </c>
      <c r="BA346" s="63" t="inlineStr">
        <is>
          <t>603345.SS</t>
        </is>
      </c>
      <c r="BB346" s="73" t="n">
        <v>41.8</v>
      </c>
      <c r="BC346" s="66" t="n">
        <v>85.0814</v>
      </c>
      <c r="BD346" s="80" t="n">
        <v>0.4158</v>
      </c>
      <c r="BE346" s="78">
        <f>IF('BBG Verify'!Q346="","run on terminal",'BBG Verify'!Q346)</f>
        <v/>
      </c>
      <c r="BF346" s="78">
        <f>IF('BBG Verify'!R346="","run on terminal",'BBG Verify'!R346)</f>
        <v/>
      </c>
      <c r="BG346" s="75" t="inlineStr">
        <is>
          <t>Goldman Sachs (Asia) L.L.C; China International Capital Corporation Hong Kong Securities Limited</t>
        </is>
      </c>
      <c r="BH346" s="63" t="inlineStr">
        <is>
          <t>China International Capital Corporation Hong Kong Securities Limited; Goldman Sachs (Asia) L.L.C.</t>
        </is>
      </c>
      <c r="BI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7">
        <f>HYPERLINK("https://www1.hkexnews.hk/listedco/listconews/sehk/2025/0625/2025062500043.pdf","prospectus")</f>
        <v/>
      </c>
      <c r="BL346" s="77">
        <f>HYPERLINK("https://www1.hkexnews.hk/listedco/listconews/sehk/2025/0703/2025070302241.pdf","allotment")</f>
        <v/>
      </c>
      <c r="BM346" s="77">
        <f>HYPERLINK("https://www1.hkexnews.hk/listedco/listconews/sehk/2025/0730/2025073001416.pdf","stabilisation")</f>
        <v/>
      </c>
      <c r="BN346" s="75" t="n"/>
      <c r="BO346" s="63" t="inlineStr">
        <is>
          <t>range low: cap-only pricing — the filing publishes a Maximum Offer Price and no indicative floor · A/H: Jul 2025 H listing (frozen foods)</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7" t="n">
        <v>3.5</v>
      </c>
      <c r="W347" s="63" t="n"/>
      <c r="X347" s="63" t="n"/>
      <c r="Y347" s="67" t="n"/>
      <c r="Z347" s="63" t="n"/>
      <c r="AA347" s="72" t="n">
        <v>0.76</v>
      </c>
      <c r="AB347" s="73" t="n">
        <v>0</v>
      </c>
      <c r="AC347" s="73" t="n">
        <v>0.76</v>
      </c>
      <c r="AD347" s="73" t="n">
        <v>11.44</v>
      </c>
      <c r="AE347" s="73" t="n">
        <v>13.03</v>
      </c>
      <c r="AF347" s="73" t="n">
        <v>35.83</v>
      </c>
      <c r="AG347" s="73" t="n">
        <v>10.6</v>
      </c>
      <c r="AH347" s="73" t="n">
        <v>12.18</v>
      </c>
      <c r="AI347" s="73" t="n">
        <v>34.81</v>
      </c>
      <c r="AJ347" s="73" t="n">
        <v>11.34</v>
      </c>
      <c r="AK347" s="73" t="n">
        <v>8.66</v>
      </c>
      <c r="AL347" s="73" t="n">
        <v>8.33</v>
      </c>
      <c r="AM347" s="73" t="n">
        <v>7.51</v>
      </c>
      <c r="AN347" s="73" t="n">
        <v>4.37</v>
      </c>
      <c r="AO347" s="73" t="n">
        <v>4.67</v>
      </c>
      <c r="AP347" s="63" t="inlineStr">
        <is>
          <t>HSTECH (Hang Seng TECH ETF)</t>
        </is>
      </c>
      <c r="AQ347" s="73" t="n">
        <v>-5.15</v>
      </c>
      <c r="AR347" s="64" t="inlineStr">
        <is>
          <t>2026-08-20</t>
        </is>
      </c>
      <c r="AS347" s="65" t="n">
        <v>8091.2</v>
      </c>
      <c r="AT347" s="68" t="n">
        <v>1743.1</v>
      </c>
      <c r="AU347" s="63" t="inlineStr">
        <is>
          <t>Y</t>
        </is>
      </c>
      <c r="AV347" s="74" t="n">
        <v>37.3</v>
      </c>
      <c r="AW347" s="74" t="n"/>
      <c r="AX347" s="74" t="n"/>
      <c r="AY347" s="74" t="n">
        <v>8</v>
      </c>
      <c r="AZ347" s="75" t="inlineStr">
        <is>
          <t>N</t>
        </is>
      </c>
      <c r="BA347" s="76">
        <f>IF('BBG Verify'!K347="","not filed — run on terminal",'BBG Verify'!K347)</f>
        <v/>
      </c>
      <c r="BB347" s="63" t="inlineStr">
        <is>
          <t>N/A</t>
        </is>
      </c>
      <c r="BC347" s="63" t="inlineStr">
        <is>
          <t>N/A</t>
        </is>
      </c>
      <c r="BD347" s="63" t="inlineStr">
        <is>
          <t>N/A</t>
        </is>
      </c>
      <c r="BE347" s="63" t="inlineStr">
        <is>
          <t>N/A</t>
        </is>
      </c>
      <c r="BF347" s="63" t="inlineStr">
        <is>
          <t>N/A</t>
        </is>
      </c>
      <c r="BG347" s="75" t="inlineStr">
        <is>
          <t>Morgan Stanley; Goldman Sachs</t>
        </is>
      </c>
      <c r="BH347" s="63" t="inlineStr">
        <is>
          <t>Goldman Sachs (Asia) L.L.C.; Huatai Financial Holdings (Hong Kong) Limited; Morgan Stanley Asia Limited</t>
        </is>
      </c>
      <c r="BI347" s="63" t="inlineStr">
        <is>
          <t>Futu Securities International (Hong Kong) Limited; Goldman Sachs (Asia) L.L.C.; Huatai Financial Holdings (Hong Kong) Limited; Morgan Stanley Asia Limited; Tiger Brokers (HK) Global Limited</t>
        </is>
      </c>
      <c r="BJ347" s="63" t="inlineStr">
        <is>
          <t>Futu Securities International (Hong Kong) Limited; Goldman Sachs (Asia) L.L.C.; Huatai Financial Holdings (Hong Kong) Limited; Morgan Stanley Asia Limited; Tiger Brokers (HK) Global Limited</t>
        </is>
      </c>
      <c r="BK347" s="77">
        <f>HYPERLINK("https://www1.hkexnews.hk/listedco/listconews/sehk/2025/0625/2025062500135.pdf","prospectus")</f>
        <v/>
      </c>
      <c r="BL347" s="77">
        <f>HYPERLINK("https://www1.hkexnews.hk/listedco/listconews/sehk/2025/0703/2025070302291.pdf","allotment")</f>
        <v/>
      </c>
      <c r="BM347" s="63" t="n"/>
      <c r="BN347" s="75" t="n"/>
      <c r="BO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48208.3</v>
      </c>
      <c r="R348" s="63" t="inlineStr">
        <is>
          <t>derived:deal size / offer % of enlarged capital</t>
        </is>
      </c>
      <c r="S348" s="69" t="n">
        <v>37.13</v>
      </c>
      <c r="T348" s="70" t="n">
        <v>2.32</v>
      </c>
      <c r="U348" s="71" t="n">
        <v>56.2</v>
      </c>
      <c r="V348" s="67" t="n">
        <v>3.15</v>
      </c>
      <c r="W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3" t="inlineStr">
        <is>
          <t>rsc;united;crimson;future;global-company;apollo;scb;canada;dga;orix;huatai</t>
        </is>
      </c>
      <c r="Y348" s="67" t="n">
        <v>15</v>
      </c>
      <c r="Z348" s="63" t="n"/>
      <c r="AA348" s="72" t="n">
        <v>1.05</v>
      </c>
      <c r="AB348" s="73" t="n">
        <v>0</v>
      </c>
      <c r="AC348" s="73" t="n">
        <v>1.05</v>
      </c>
      <c r="AD348" s="73" t="n">
        <v>0.66</v>
      </c>
      <c r="AE348" s="73" t="n">
        <v>0.26</v>
      </c>
      <c r="AF348" s="73" t="n">
        <v>21.05</v>
      </c>
      <c r="AG348" s="73" t="n">
        <v>-0.39</v>
      </c>
      <c r="AH348" s="73" t="n">
        <v>-0.78</v>
      </c>
      <c r="AI348" s="73" t="n">
        <v>19.79</v>
      </c>
      <c r="AJ348" s="73" t="n">
        <v>-1.24</v>
      </c>
      <c r="AK348" s="73" t="n">
        <v>-2.16</v>
      </c>
      <c r="AL348" s="73" t="n">
        <v>17.63</v>
      </c>
      <c r="AM348" s="73" t="n">
        <v>-3.35</v>
      </c>
      <c r="AN348" s="73" t="n">
        <v>2.42</v>
      </c>
      <c r="AO348" s="73" t="n">
        <v>2.57</v>
      </c>
      <c r="AP348" s="63" t="inlineStr">
        <is>
          <t>Hang Seng Finance sub-index</t>
        </is>
      </c>
      <c r="AQ348" s="73" t="n">
        <v>-26.32</v>
      </c>
      <c r="AR348" s="64" t="inlineStr">
        <is>
          <t>2026-08-21</t>
        </is>
      </c>
      <c r="AS348" s="65" t="n">
        <v>21247.2</v>
      </c>
      <c r="AT348" s="68" t="n">
        <v>187.2</v>
      </c>
      <c r="AU348" s="63" t="inlineStr">
        <is>
          <t>Y</t>
        </is>
      </c>
      <c r="AV348" s="74" t="n">
        <v>257.5</v>
      </c>
      <c r="AW348" s="74" t="n"/>
      <c r="AX348" s="74" t="n">
        <v>38.4</v>
      </c>
      <c r="AY348" s="74" t="n">
        <v>2.3</v>
      </c>
      <c r="AZ348" s="75" t="inlineStr">
        <is>
          <t>N</t>
        </is>
      </c>
      <c r="BA348" s="76">
        <f>IF('BBG Verify'!K348="","not filed — run on terminal",'BBG Verify'!K348)</f>
        <v/>
      </c>
      <c r="BB348" s="63" t="inlineStr">
        <is>
          <t>N/A</t>
        </is>
      </c>
      <c r="BC348" s="63" t="inlineStr">
        <is>
          <t>N/A</t>
        </is>
      </c>
      <c r="BD348" s="63" t="inlineStr">
        <is>
          <t>N/A</t>
        </is>
      </c>
      <c r="BE348" s="63" t="inlineStr">
        <is>
          <t>N/A</t>
        </is>
      </c>
      <c r="BF348" s="63" t="inlineStr">
        <is>
          <t>N/A</t>
        </is>
      </c>
      <c r="BG348" s="75" t="inlineStr">
        <is>
          <t>Morgan Stanley Asia Limited; Goldman Sachs (Asia) L.L.C</t>
        </is>
      </c>
      <c r="BH348" s="63" t="inlineStr">
        <is>
          <t>Morgan Stanley Asia Limited; Goldman Sachs (Asia) L.L.C.</t>
        </is>
      </c>
      <c r="BI348" s="63" t="inlineStr">
        <is>
          <t>Morgan Stanley Asia Limited; Goldman Sachs (Asia) L.L.C; CMB International Capital Limited; The Hongkong and Shanghai Banking Corporation Limited; and Syndicate Capital Market Intermediaries Morgan Stanley Asia Limited</t>
        </is>
      </c>
      <c r="BJ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7">
        <f>HYPERLINK("https://www1.hkexnews.hk/listedco/listconews/sehk/2025/0626/2025062600017.pdf","prospectus")</f>
        <v/>
      </c>
      <c r="BL348" s="77">
        <f>HYPERLINK("https://www1.hkexnews.hk/listedco/listconews/sehk/2025/0704/2025070402160.pdf","allotment")</f>
        <v/>
      </c>
      <c r="BM348" s="63" t="n"/>
      <c r="BN348" s="75" t="n"/>
      <c r="BO348" s="63" t="inlineStr">
        <is>
          <t>greenshoe: end-of-stabilisation notice not located · range low: cap-only pricing — the filing publishes a Maximum Offer Price and no indicative floor · A/H: no A-share listing</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7" t="n">
        <v>22</v>
      </c>
      <c r="W349" s="63" t="n"/>
      <c r="X349" s="63" t="n"/>
      <c r="Y349" s="67" t="n">
        <v>11.65</v>
      </c>
      <c r="Z349" s="63" t="inlineStr">
        <is>
          <t>lapsed (no over-allocation)</t>
        </is>
      </c>
      <c r="AA349" s="72" t="n">
        <v>3.5</v>
      </c>
      <c r="AB349" s="73" t="n">
        <v>20</v>
      </c>
      <c r="AC349" s="73" t="n">
        <v>-13.75</v>
      </c>
      <c r="AD349" s="73" t="n">
        <v>-10.5</v>
      </c>
      <c r="AE349" s="73" t="n">
        <v>-28.5</v>
      </c>
      <c r="AF349" s="73" t="n">
        <v>-35.95</v>
      </c>
      <c r="AG349" s="73" t="n">
        <v>-13.53</v>
      </c>
      <c r="AH349" s="73" t="n">
        <v>-30.92</v>
      </c>
      <c r="AI349" s="73" t="n">
        <v>-38.12</v>
      </c>
      <c r="AJ349" s="73" t="n">
        <v>-17.67</v>
      </c>
      <c r="AK349" s="73" t="n">
        <v>-43.78</v>
      </c>
      <c r="AL349" s="73" t="n">
        <v>-67.8</v>
      </c>
      <c r="AM349" s="73" t="n">
        <v>-44.22</v>
      </c>
      <c r="AN349" s="73" t="n">
        <v>15.28</v>
      </c>
      <c r="AO349" s="73" t="n">
        <v>13.3</v>
      </c>
      <c r="AP349" s="63" t="inlineStr">
        <is>
          <t>China Biotech ETF (HS biotech proxy)</t>
        </is>
      </c>
      <c r="AQ349" s="73" t="n">
        <v>24.5</v>
      </c>
      <c r="AR349" s="64" t="inlineStr">
        <is>
          <t>2026-08-20</t>
        </is>
      </c>
      <c r="AS349" s="65" t="n">
        <v>447.8</v>
      </c>
      <c r="AT349" s="68" t="n">
        <v>68.8</v>
      </c>
      <c r="AU349" s="63" t="inlineStr">
        <is>
          <t>Y</t>
        </is>
      </c>
      <c r="AV349" s="74" t="n">
        <v>14.4</v>
      </c>
      <c r="AW349" s="74" t="n">
        <v>20.1</v>
      </c>
      <c r="AX349" s="74" t="n">
        <v>26.1</v>
      </c>
      <c r="AY349" s="74" t="n">
        <v>2.2</v>
      </c>
      <c r="AZ349" s="75" t="inlineStr">
        <is>
          <t>N</t>
        </is>
      </c>
      <c r="BA349" s="76">
        <f>IF('BBG Verify'!K349="","not filed — run on terminal",'BBG Verify'!K349)</f>
        <v/>
      </c>
      <c r="BB349" s="63" t="inlineStr">
        <is>
          <t>N/A</t>
        </is>
      </c>
      <c r="BC349" s="63" t="inlineStr">
        <is>
          <t>N/A</t>
        </is>
      </c>
      <c r="BD349" s="63" t="inlineStr">
        <is>
          <t>N/A</t>
        </is>
      </c>
      <c r="BE349" s="63" t="inlineStr">
        <is>
          <t>N/A</t>
        </is>
      </c>
      <c r="BF349" s="63" t="inlineStr">
        <is>
          <t>N/A</t>
        </is>
      </c>
      <c r="BG349" s="75" t="inlineStr">
        <is>
          <t>Haitong International Capital Limited</t>
        </is>
      </c>
      <c r="BH349" s="63" t="inlineStr">
        <is>
          <t>Haitong International Holdings Limited</t>
        </is>
      </c>
      <c r="BI349" s="63" t="inlineStr">
        <is>
          <t>Haitong International Securities Company Limited</t>
        </is>
      </c>
      <c r="BJ349" s="63" t="inlineStr">
        <is>
          <t>Haitong International Securities Company Limited; Livermore Holdings Limited</t>
        </is>
      </c>
      <c r="BK349" s="77">
        <f>HYPERLINK("https://www1.hkexnews.hk/listedco/listconews/sehk/2025/0630/2025063000019.pdf","prospectus")</f>
        <v/>
      </c>
      <c r="BL349" s="77">
        <f>HYPERLINK("https://www1.hkexnews.hk/listedco/listconews/sehk/2025/0708/2025070801104.pdf","allotment")</f>
        <v/>
      </c>
      <c r="BM349" s="77">
        <f>HYPERLINK("https://www1.hkexnews.hk/listedco/listconews/sehk/2025/0804/2025080401259.pdf","stabilisation")</f>
        <v/>
      </c>
      <c r="BN349" s="75" t="n"/>
      <c r="BO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7" t="n">
        <v>9.15</v>
      </c>
      <c r="W350" s="63" t="inlineStr">
        <is>
          <t>Accelerator VI Ltd; Primus Cabibbo Limited</t>
        </is>
      </c>
      <c r="X350" s="63" t="inlineStr">
        <is>
          <t>accelerator;primus</t>
        </is>
      </c>
      <c r="Y350" s="67" t="n">
        <v>15</v>
      </c>
      <c r="Z350" s="63" t="inlineStr">
        <is>
          <t>partial</t>
        </is>
      </c>
      <c r="AA350" s="72" t="n">
        <v>5.36</v>
      </c>
      <c r="AB350" s="73" t="n">
        <v>0.6</v>
      </c>
      <c r="AC350" s="73" t="n">
        <v>4.73</v>
      </c>
      <c r="AD350" s="73" t="n">
        <v>12.62</v>
      </c>
      <c r="AE350" s="73" t="n">
        <v>9.880000000000001</v>
      </c>
      <c r="AF350" s="73" t="n">
        <v>92.5</v>
      </c>
      <c r="AG350" s="73" t="n">
        <v>6.89</v>
      </c>
      <c r="AH350" s="73" t="n">
        <v>4.29</v>
      </c>
      <c r="AI350" s="73" t="n">
        <v>82.70999999999999</v>
      </c>
      <c r="AJ350" s="73" t="n">
        <v>10.81</v>
      </c>
      <c r="AK350" s="73" t="n">
        <v>5.87</v>
      </c>
      <c r="AL350" s="73" t="n">
        <v>70.44</v>
      </c>
      <c r="AM350" s="73" t="n">
        <v>-1.43</v>
      </c>
      <c r="AN350" s="73" t="n">
        <v>4.01</v>
      </c>
      <c r="AO350" s="73" t="n">
        <v>5.72</v>
      </c>
      <c r="AP350" s="63" t="inlineStr">
        <is>
          <t>HSTECH (Hang Seng TECH ETF)</t>
        </is>
      </c>
      <c r="AQ350" s="73" t="n">
        <v>-40.3</v>
      </c>
      <c r="AR350" s="64" t="inlineStr">
        <is>
          <t>2026-08-20</t>
        </is>
      </c>
      <c r="AS350" s="65" t="n">
        <v>2649.9</v>
      </c>
      <c r="AT350" s="68" t="n">
        <v>-1239.4</v>
      </c>
      <c r="AU350" s="63" t="inlineStr">
        <is>
          <t>N</t>
        </is>
      </c>
      <c r="AV350" s="63" t="inlineStr">
        <is>
          <t>n/m</t>
        </is>
      </c>
      <c r="AW350" s="74" t="n"/>
      <c r="AX350" s="74" t="n"/>
      <c r="AY350" s="74" t="n">
        <v>8.199999999999999</v>
      </c>
      <c r="AZ350" s="75" t="inlineStr">
        <is>
          <t>N</t>
        </is>
      </c>
      <c r="BA350" s="76">
        <f>IF('BBG Verify'!K350="","not filed — run on terminal",'BBG Verify'!K350)</f>
        <v/>
      </c>
      <c r="BB350" s="63" t="inlineStr">
        <is>
          <t>N/A</t>
        </is>
      </c>
      <c r="BC350" s="63" t="inlineStr">
        <is>
          <t>N/A</t>
        </is>
      </c>
      <c r="BD350" s="63" t="inlineStr">
        <is>
          <t>N/A</t>
        </is>
      </c>
      <c r="BE350" s="63" t="inlineStr">
        <is>
          <t>N/A</t>
        </is>
      </c>
      <c r="BF350" s="63" t="inlineStr">
        <is>
          <t>N/A</t>
        </is>
      </c>
      <c r="BG350" s="75" t="inlineStr">
        <is>
          <t>Morgan Stanley Asia Limited; China International Capital Corporation Hong Kong Securities Limited</t>
        </is>
      </c>
      <c r="BH350" s="63" t="inlineStr">
        <is>
          <t>China International Capital Corporation Hong Kong Securities Limited; Morgan Stanley Asia Limited</t>
        </is>
      </c>
      <c r="BI350" s="63" t="inlineStr">
        <is>
          <t>China International Capital Corporation Hong Kong Securities Limited; CMB International Capital Limited; Deutsche Bank AG, Hong Kong Branch; DBS Asia Capital Limited; Daiwa Capital Markets Hong Kong Limited; GF Securities (Hong Kong) Brokerage Limited</t>
        </is>
      </c>
      <c r="BJ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7">
        <f>HYPERLINK("https://www1.hkexnews.hk/listedco/listconews/sehk/2025/0630/2025063000025.pdf","prospectus")</f>
        <v/>
      </c>
      <c r="BL350" s="77">
        <f>HYPERLINK("https://www1.hkexnews.hk/listedco/listconews/sehk/2025/0708/2025070801126.pdf","allotment")</f>
        <v/>
      </c>
      <c r="BM350" s="77">
        <f>HYPERLINK("https://www1.hkexnews.hk/listedco/listconews/sehk/2025/0804/2025080400319.pdf","stabilisation")</f>
        <v/>
      </c>
      <c r="BN350" s="75" t="n"/>
      <c r="BO350" s="63" t="inlineStr">
        <is>
          <t>P/E: n/m — loss-making at IPO (use P/S)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c r="L351" s="66" t="n">
        <v>15.15</v>
      </c>
      <c r="M351" s="66" t="n">
        <v>13.55</v>
      </c>
      <c r="N351" s="63" t="inlineStr">
        <is>
          <t>N</t>
        </is>
      </c>
      <c r="O351" s="67" t="n">
        <v>89.40000000000001</v>
      </c>
      <c r="P351" s="67" t="n"/>
      <c r="Q351" s="68" t="n">
        <v>1649.8</v>
      </c>
      <c r="R351" s="63" t="inlineStr">
        <is>
          <t>derived:price x shares upon listing</t>
        </is>
      </c>
      <c r="S351" s="69" t="n">
        <v>12.79</v>
      </c>
      <c r="T351" s="70" t="n">
        <v>1.01</v>
      </c>
      <c r="U351" s="71" t="n">
        <v>31.54</v>
      </c>
      <c r="V351" s="67" t="n">
        <v>17.12</v>
      </c>
      <c r="W351" s="63" t="inlineStr">
        <is>
          <t>Tongzhou International</t>
        </is>
      </c>
      <c r="X351" s="63" t="inlineStr">
        <is>
          <t>tongzhou</t>
        </is>
      </c>
      <c r="Y351" s="67" t="n">
        <v>7.88</v>
      </c>
      <c r="Z351" s="63" t="inlineStr">
        <is>
          <t>lapsed (no over-allocation)</t>
        </is>
      </c>
      <c r="AA351" s="72" t="n">
        <v>0.22</v>
      </c>
      <c r="AB351" s="73" t="n">
        <v>7.16</v>
      </c>
      <c r="AC351" s="73" t="n">
        <v>-6.48</v>
      </c>
      <c r="AD351" s="73" t="n">
        <v>-0.37</v>
      </c>
      <c r="AE351" s="73" t="n">
        <v>-0.37</v>
      </c>
      <c r="AF351" s="73" t="n">
        <v>47.6</v>
      </c>
      <c r="AG351" s="73" t="n">
        <v>-0.59</v>
      </c>
      <c r="AH351" s="73" t="n">
        <v>-0.59</v>
      </c>
      <c r="AI351" s="73" t="n">
        <v>47.28</v>
      </c>
      <c r="AJ351" s="73" t="n">
        <v>-2.18</v>
      </c>
      <c r="AK351" s="73" t="n">
        <v>-4.38</v>
      </c>
      <c r="AL351" s="73" t="n">
        <v>25.54</v>
      </c>
      <c r="AM351" s="73" t="n">
        <v>-6.31</v>
      </c>
      <c r="AN351" s="73" t="n">
        <v>4.01</v>
      </c>
      <c r="AO351" s="73" t="n">
        <v>5.72</v>
      </c>
      <c r="AP351" s="63" t="inlineStr">
        <is>
          <t>HSTECH (Hang Seng TECH ETF)</t>
        </is>
      </c>
      <c r="AQ351" s="73" t="n">
        <v>209.82</v>
      </c>
      <c r="AR351" s="64" t="inlineStr">
        <is>
          <t>2026-08-20</t>
        </is>
      </c>
      <c r="AS351" s="65" t="n">
        <v>1009.4</v>
      </c>
      <c r="AT351" s="68" t="n">
        <v>55.7</v>
      </c>
      <c r="AU351" s="63" t="inlineStr">
        <is>
          <t>Y</t>
        </is>
      </c>
      <c r="AV351" s="74" t="n">
        <v>29.6</v>
      </c>
      <c r="AW351" s="74" t="n">
        <v>21.1</v>
      </c>
      <c r="AX351" s="74" t="n">
        <v>50.8</v>
      </c>
      <c r="AY351" s="74" t="n">
        <v>1.6</v>
      </c>
      <c r="AZ351" s="75" t="inlineStr">
        <is>
          <t>N</t>
        </is>
      </c>
      <c r="BA351" s="76">
        <f>IF('BBG Verify'!K351="","not filed — run on terminal",'BBG Verify'!K351)</f>
        <v/>
      </c>
      <c r="BB351" s="63" t="inlineStr">
        <is>
          <t>N/A</t>
        </is>
      </c>
      <c r="BC351" s="63" t="inlineStr">
        <is>
          <t>N/A</t>
        </is>
      </c>
      <c r="BD351" s="63" t="inlineStr">
        <is>
          <t>N/A</t>
        </is>
      </c>
      <c r="BE351" s="63" t="inlineStr">
        <is>
          <t>N/A</t>
        </is>
      </c>
      <c r="BF351" s="63" t="inlineStr">
        <is>
          <t>N/A</t>
        </is>
      </c>
      <c r="BG351" s="75" t="n"/>
      <c r="BH351" s="63" t="inlineStr">
        <is>
          <t>DBS Asia Capital Limited</t>
        </is>
      </c>
      <c r="BI351" s="63"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7">
        <f>HYPERLINK("https://www1.hkexnews.hk/listedco/listconews/sehk/2025/0630/2025063000023.pdf","prospectus")</f>
        <v/>
      </c>
      <c r="BL351" s="77">
        <f>HYPERLINK("https://www1.hkexnews.hk/listedco/listconews/sehk/2025/0708/2025070801152.pdf","allotment")</f>
        <v/>
      </c>
      <c r="BM351" s="77">
        <f>HYPERLINK("https://www1.hkexnews.hk/listedco/listconews/sehk/2025/0804/2025080400029.pdf","stabilisation")</f>
        <v/>
      </c>
      <c r="BN351" s="75" t="n"/>
      <c r="BO351" s="63" t="inlineStr">
        <is>
          <t>range low: cap-only pricing — the filing publishes a Maximum Offer Price and no indicative floor · 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7" t="n">
        <v>10.59</v>
      </c>
      <c r="W352" s="63" t="inlineStr">
        <is>
          <t>Pinpoint; Wind Sabre; Mega Prime; Fourier Capital; Torus; Intac</t>
        </is>
      </c>
      <c r="X352" s="63" t="inlineStr">
        <is>
          <t>pinpoint;wind;mega;fourier;torus;intac</t>
        </is>
      </c>
      <c r="Y352" s="67" t="n">
        <v>15</v>
      </c>
      <c r="Z352" s="63" t="inlineStr">
        <is>
          <t>full</t>
        </is>
      </c>
      <c r="AA352" s="72" t="n">
        <v>16.02</v>
      </c>
      <c r="AB352" s="73" t="n">
        <v>8.550000000000001</v>
      </c>
      <c r="AC352" s="73" t="n">
        <v>6.88</v>
      </c>
      <c r="AD352" s="73" t="n">
        <v>25.81</v>
      </c>
      <c r="AE352" s="73" t="n">
        <v>30.87</v>
      </c>
      <c r="AF352" s="73" t="n">
        <v>65.06</v>
      </c>
      <c r="AG352" s="73" t="n">
        <v>8.44</v>
      </c>
      <c r="AH352" s="73" t="n">
        <v>12.8</v>
      </c>
      <c r="AI352" s="73" t="n">
        <v>42.27</v>
      </c>
      <c r="AJ352" s="73" t="n">
        <v>24</v>
      </c>
      <c r="AK352" s="73" t="n">
        <v>26.86</v>
      </c>
      <c r="AL352" s="73" t="n">
        <v>43</v>
      </c>
      <c r="AM352" s="73" t="n">
        <v>7.08</v>
      </c>
      <c r="AN352" s="73" t="n">
        <v>4.01</v>
      </c>
      <c r="AO352" s="73" t="n">
        <v>5.72</v>
      </c>
      <c r="AP352" s="63" t="inlineStr">
        <is>
          <t>HSTECH (Hang Seng TECH ETF)</t>
        </is>
      </c>
      <c r="AQ352" s="73" t="n">
        <v>-9.710000000000001</v>
      </c>
      <c r="AR352" s="64" t="inlineStr">
        <is>
          <t>2026-08-20</t>
        </is>
      </c>
      <c r="AS352" s="65" t="n">
        <v>660.4</v>
      </c>
      <c r="AT352" s="68" t="n">
        <v>156.2</v>
      </c>
      <c r="AU352" s="63" t="inlineStr">
        <is>
          <t>Y</t>
        </is>
      </c>
      <c r="AV352" s="74" t="n">
        <v>83.7</v>
      </c>
      <c r="AW352" s="74" t="n">
        <v>53.1</v>
      </c>
      <c r="AX352" s="74" t="n">
        <v>48.1</v>
      </c>
      <c r="AY352" s="74" t="n">
        <v>19.8</v>
      </c>
      <c r="AZ352" s="75" t="inlineStr">
        <is>
          <t>Y</t>
        </is>
      </c>
      <c r="BA352" s="63" t="inlineStr">
        <is>
          <t>688279.SS</t>
        </is>
      </c>
      <c r="BB352" s="73" t="n">
        <v>66.31999999999999</v>
      </c>
      <c r="BC352" s="66" t="n">
        <v>200.418</v>
      </c>
      <c r="BD352" s="80" t="n">
        <v>0.7721</v>
      </c>
      <c r="BE352" s="78">
        <f>IF('BBG Verify'!Q352="","run on terminal",'BBG Verify'!Q352)</f>
        <v/>
      </c>
      <c r="BF352" s="78">
        <f>IF('BBG Verify'!R352="","run on terminal",'BBG Verify'!R352)</f>
        <v/>
      </c>
      <c r="BG352" s="75" t="inlineStr">
        <is>
          <t>China International Capital Corporation Hong Kong Securities Limited</t>
        </is>
      </c>
      <c r="BH352" s="63" t="inlineStr">
        <is>
          <t>China International Capital Corporation Hong Kong Securities Limited</t>
        </is>
      </c>
      <c r="BI352" s="63" t="inlineStr">
        <is>
          <t>China International Capital Corporation Hong Kong Securities Limited; BOCI Asia Limited; GF Securities (Hong Kong) Brokerage Limited</t>
        </is>
      </c>
      <c r="BJ352" s="63" t="inlineStr">
        <is>
          <t>BOCI Asia Limited; China International Capital Corporation Hong Kong Securities Limited; GF Securities (Hong Kong) Brokerage Limited</t>
        </is>
      </c>
      <c r="BK352" s="77">
        <f>HYPERLINK("https://www1.hkexnews.hk/listedco/listconews/sehk/2025/0630/2025063000015.pdf","prospectus")</f>
        <v/>
      </c>
      <c r="BL352" s="77">
        <f>HYPERLINK("https://www1.hkexnews.hk/listedco/listconews/sehk/2025/0708/2025070801154.pdf","allotment")</f>
        <v/>
      </c>
      <c r="BM352" s="77">
        <f>HYPERLINK("https://www1.hkexnews.hk/listedco/listconews/sehk/2025/0803/2025080300007.pdf","stabilisation")</f>
        <v/>
      </c>
      <c r="BN352" s="75" t="n"/>
      <c r="BO352" s="63" t="inlineStr">
        <is>
          <t>range low: cap-only pricing — the filing publishes a Maximum Offer Price and no indicative floor · A/H: Jul 2025 H listing (BLDC motor-driver chips)</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7" t="n">
        <v>3.36</v>
      </c>
      <c r="W353" s="63" t="inlineStr">
        <is>
          <t>Green Better; Olympic Country; UBS AM Singapore; Poly Platinum; Infini; Verition</t>
        </is>
      </c>
      <c r="X353" s="63" t="inlineStr">
        <is>
          <t>green;olympic;ubs;poly;infini;verition</t>
        </is>
      </c>
      <c r="Y353" s="67" t="n">
        <v>15</v>
      </c>
      <c r="Z353" s="63" t="inlineStr">
        <is>
          <t>full</t>
        </is>
      </c>
      <c r="AA353" s="72" t="n">
        <v>9.130000000000001</v>
      </c>
      <c r="AB353" s="73" t="n">
        <v>3.85</v>
      </c>
      <c r="AC353" s="73" t="n">
        <v>5.08</v>
      </c>
      <c r="AD353" s="73" t="n">
        <v>6.38</v>
      </c>
      <c r="AE353" s="73" t="n">
        <v>16.06</v>
      </c>
      <c r="AF353" s="73" t="n">
        <v>76.79000000000001</v>
      </c>
      <c r="AG353" s="73" t="n">
        <v>-2.52</v>
      </c>
      <c r="AH353" s="73" t="n">
        <v>6.35</v>
      </c>
      <c r="AI353" s="73" t="n">
        <v>62</v>
      </c>
      <c r="AJ353" s="73" t="n">
        <v>4.57</v>
      </c>
      <c r="AK353" s="73" t="n">
        <v>12.05</v>
      </c>
      <c r="AL353" s="73" t="n">
        <v>54.73</v>
      </c>
      <c r="AM353" s="73" t="n">
        <v>0.63</v>
      </c>
      <c r="AN353" s="73" t="n">
        <v>4.01</v>
      </c>
      <c r="AO353" s="73" t="n">
        <v>5.72</v>
      </c>
      <c r="AP353" s="63" t="inlineStr">
        <is>
          <t>HSTECH (Hang Seng TECH ETF)</t>
        </is>
      </c>
      <c r="AQ353" s="73" t="n">
        <v>23.76</v>
      </c>
      <c r="AR353" s="64" t="inlineStr">
        <is>
          <t>2026-08-20</t>
        </is>
      </c>
      <c r="AS353" s="65" t="n"/>
      <c r="AT353" s="68" t="n">
        <v>4044.5</v>
      </c>
      <c r="AU353" s="63" t="inlineStr">
        <is>
          <t>Y</t>
        </is>
      </c>
      <c r="AV353" s="74" t="n">
        <v>23.8</v>
      </c>
      <c r="AW353" s="74" t="n">
        <v>22.9</v>
      </c>
      <c r="AX353" s="74" t="n">
        <v>30.1</v>
      </c>
      <c r="AY353" s="74" t="n"/>
      <c r="AZ353" s="75" t="inlineStr">
        <is>
          <t>Y</t>
        </is>
      </c>
      <c r="BA353" s="63" t="inlineStr">
        <is>
          <t>300433.SZ</t>
        </is>
      </c>
      <c r="BB353" s="73" t="n">
        <v>40.38</v>
      </c>
      <c r="BC353" s="66" t="n">
        <v>25.5213</v>
      </c>
      <c r="BD353" s="80" t="n">
        <v>0.8308</v>
      </c>
      <c r="BE353" s="78">
        <f>IF('BBG Verify'!Q353="","run on terminal",'BBG Verify'!Q353)</f>
        <v/>
      </c>
      <c r="BF353" s="78">
        <f>IF('BBG Verify'!R353="","run on terminal",'BBG Verify'!R353)</f>
        <v/>
      </c>
      <c r="BG353" s="75" t="inlineStr">
        <is>
          <t>CITIC Securities (Hong Kong) Limited</t>
        </is>
      </c>
      <c r="BH353" s="63" t="inlineStr">
        <is>
          <t>CITIC Securities (Hong Kong) Limited</t>
        </is>
      </c>
      <c r="BI353" s="63" t="inlineStr">
        <is>
          <t>CLSA Limited; Merrill Lynch (Asia Pacific) Limited; ABCI Capital Limited; BOCI Asia Limited; Futu Securities International (Hong Kong) Limited; AVICT Global Asset Management Limited</t>
        </is>
      </c>
      <c r="BJ353" s="63" t="inlineStr">
        <is>
          <t>ABCI Securities Company Limited; AVICT Global Asset Management Limited; BOCI Asia Limited; CLSA Limited; Futu Securities International (Hong Kong) Limited; Merrill Lynch (Asia Pacific) Limited</t>
        </is>
      </c>
      <c r="BK353" s="77">
        <f>HYPERLINK("https://www1.hkexnews.hk/listedco/listconews/sehk/2025/0630/2025063000031.pdf","prospectus")</f>
        <v/>
      </c>
      <c r="BL353" s="77">
        <f>HYPERLINK("https://www1.hkexnews.hk/listedco/listconews/sehk/2025/0708/2025070801180.pdf","allotment")</f>
        <v/>
      </c>
      <c r="BM353" s="77">
        <f>HYPERLINK("https://www1.hkexnews.hk/listedco/listconews/sehk/2025/0803/2025080300029.pdf","stabilisation")</f>
        <v/>
      </c>
      <c r="BN353" s="75" t="n"/>
      <c r="BO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7" t="n">
        <v>19.35</v>
      </c>
      <c r="W354" s="63" t="inlineStr">
        <is>
          <t>Loyal Valley Fund III; Vision Fund</t>
        </is>
      </c>
      <c r="X354" s="63" t="inlineStr">
        <is>
          <t>loyal;vision</t>
        </is>
      </c>
      <c r="Y354" s="67" t="n">
        <v>15</v>
      </c>
      <c r="Z354" s="63" t="inlineStr">
        <is>
          <t>full</t>
        </is>
      </c>
      <c r="AA354" s="72" t="n">
        <v>91.70999999999999</v>
      </c>
      <c r="AB354" s="73" t="n">
        <v>106.86</v>
      </c>
      <c r="AC354" s="73" t="n">
        <v>-7.32</v>
      </c>
      <c r="AD354" s="73" t="n">
        <v>100</v>
      </c>
      <c r="AE354" s="73" t="n">
        <v>94.29000000000001</v>
      </c>
      <c r="AF354" s="73" t="n">
        <v>69.14</v>
      </c>
      <c r="AG354" s="73" t="n">
        <v>4.32</v>
      </c>
      <c r="AH354" s="73" t="n">
        <v>1.35</v>
      </c>
      <c r="AI354" s="73" t="n">
        <v>-11.77</v>
      </c>
      <c r="AJ354" s="73" t="n">
        <v>96.86</v>
      </c>
      <c r="AK354" s="73" t="n">
        <v>84.23999999999999</v>
      </c>
      <c r="AL354" s="73" t="n">
        <v>66.01000000000001</v>
      </c>
      <c r="AM354" s="73" t="n">
        <v>-8.779999999999999</v>
      </c>
      <c r="AN354" s="73" t="n">
        <v>10.05</v>
      </c>
      <c r="AO354" s="73" t="n">
        <v>10.13</v>
      </c>
      <c r="AP354" s="63" t="inlineStr">
        <is>
          <t>China Biotech ETF (HS biotech proxy)</t>
        </is>
      </c>
      <c r="AQ354" s="73" t="n">
        <v>117.43</v>
      </c>
      <c r="AR354" s="64" t="inlineStr">
        <is>
          <t>2026-08-20</t>
        </is>
      </c>
      <c r="AS354" s="65" t="n">
        <v>9.800000000000001</v>
      </c>
      <c r="AT354" s="68" t="n">
        <v>-95.2</v>
      </c>
      <c r="AU354" s="63" t="inlineStr">
        <is>
          <t>N</t>
        </is>
      </c>
      <c r="AV354" s="63" t="inlineStr">
        <is>
          <t>n/m</t>
        </is>
      </c>
      <c r="AW354" s="74" t="n"/>
      <c r="AX354" s="74" t="n"/>
      <c r="AY354" s="74" t="n">
        <v>608</v>
      </c>
      <c r="AZ354" s="75" t="inlineStr">
        <is>
          <t>N</t>
        </is>
      </c>
      <c r="BA354" s="76">
        <f>IF('BBG Verify'!K354="","not filed — run on terminal",'BBG Verify'!K354)</f>
        <v/>
      </c>
      <c r="BB354" s="63" t="inlineStr">
        <is>
          <t>N/A</t>
        </is>
      </c>
      <c r="BC354" s="63" t="inlineStr">
        <is>
          <t>N/A</t>
        </is>
      </c>
      <c r="BD354" s="63" t="inlineStr">
        <is>
          <t>N/A</t>
        </is>
      </c>
      <c r="BE354" s="63" t="inlineStr">
        <is>
          <t>N/A</t>
        </is>
      </c>
      <c r="BF354" s="63" t="inlineStr">
        <is>
          <t>N/A</t>
        </is>
      </c>
      <c r="BG354" s="75" t="inlineStr">
        <is>
          <t>Morgan StanleyAsia Limited; CITIC Securities (Hong Kong) Limited; CLSA Limited</t>
        </is>
      </c>
      <c r="BH354" s="63" t="inlineStr">
        <is>
          <t>Morgan Stanley Asia Limited; CITIC Securities (Hong Kong) Limited</t>
        </is>
      </c>
      <c r="BI354" s="63" t="inlineStr">
        <is>
          <t>CCB International Capital Limited; CLSA Limited; CMB International Capital Limited; Futu Securities International (Hong Kong) Limited; Morgan Stanley Asia Limited</t>
        </is>
      </c>
      <c r="BJ354" s="63" t="inlineStr">
        <is>
          <t>CCB International Capital Limited; CLSA Limited; CMB International Capital Limited; Futu Securities International (Hong Kong) Limited; Morgan Stanley Asia Limited</t>
        </is>
      </c>
      <c r="BK354" s="77">
        <f>HYPERLINK("https://www1.hkexnews.hk/listedco/listconews/sehk/2025/0717/2025071700005.pdf","prospectus")</f>
        <v/>
      </c>
      <c r="BL354" s="77">
        <f>HYPERLINK("https://www1.hkexnews.hk/listedco/listconews/sehk/2025/0724/2025072401812.pdf","allotment")</f>
        <v/>
      </c>
      <c r="BM354" s="77">
        <f>HYPERLINK("https://www1.hkexnews.hk/listedco/listconews/sehk/2025/0821/2025082100862.pdf","stabilisation")</f>
        <v/>
      </c>
      <c r="BN354" s="75" t="n"/>
      <c r="BO354" s="63" t="inlineStr">
        <is>
          <t>P/E: n/m — loss-making at IPO (use P/S)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c r="L355" s="66" t="n">
        <v>15.5</v>
      </c>
      <c r="M355" s="66" t="n">
        <v>12.9</v>
      </c>
      <c r="N355" s="63" t="inlineStr">
        <is>
          <t>N</t>
        </is>
      </c>
      <c r="O355" s="67" t="n">
        <v>83.2</v>
      </c>
      <c r="P355" s="67" t="n"/>
      <c r="Q355" s="68" t="n">
        <v>5075.4</v>
      </c>
      <c r="R355" s="63" t="inlineStr">
        <is>
          <t>derived:price x shares upon listing</t>
        </is>
      </c>
      <c r="S355" s="69" t="n">
        <v>4007.64</v>
      </c>
      <c r="T355" s="70" t="n">
        <v>0.99</v>
      </c>
      <c r="U355" s="71" t="n">
        <v>33.3</v>
      </c>
      <c r="V355" s="67" t="n">
        <v>5.67</v>
      </c>
      <c r="W355" s="63" t="n"/>
      <c r="X355" s="63" t="n"/>
      <c r="Y355" s="67" t="n"/>
      <c r="Z355" s="63" t="n"/>
      <c r="AA355" s="72" t="n">
        <v>157.98</v>
      </c>
      <c r="AB355" s="73" t="n">
        <v>155.81</v>
      </c>
      <c r="AC355" s="73" t="n">
        <v>0.85</v>
      </c>
      <c r="AD355" s="73" t="n">
        <v>314.73</v>
      </c>
      <c r="AE355" s="73" t="n">
        <v>261.09</v>
      </c>
      <c r="AF355" s="73" t="n">
        <v>212.71</v>
      </c>
      <c r="AG355" s="73" t="n">
        <v>60.76</v>
      </c>
      <c r="AH355" s="73" t="n">
        <v>39.97</v>
      </c>
      <c r="AI355" s="73" t="n">
        <v>21.21</v>
      </c>
      <c r="AJ355" s="73" t="n">
        <v>307.69</v>
      </c>
      <c r="AK355" s="73" t="n">
        <v>248.23</v>
      </c>
      <c r="AL355" s="73" t="n">
        <v>212.81</v>
      </c>
      <c r="AM355" s="73" t="n">
        <v>27.97</v>
      </c>
      <c r="AN355" s="73" t="n">
        <v>12.86</v>
      </c>
      <c r="AO355" s="73" t="n">
        <v>12</v>
      </c>
      <c r="AP355" s="63" t="inlineStr">
        <is>
          <t>China Biotech ETF (HS biotech proxy)</t>
        </is>
      </c>
      <c r="AQ355" s="73" t="n">
        <v>127.29</v>
      </c>
      <c r="AR355" s="64" t="inlineStr">
        <is>
          <t>2026-08-21</t>
        </is>
      </c>
      <c r="AS355" s="65" t="n">
        <v>0.3</v>
      </c>
      <c r="AT355" s="68" t="n">
        <v>0</v>
      </c>
      <c r="AU355" s="63" t="inlineStr">
        <is>
          <t>N</t>
        </is>
      </c>
      <c r="AV355" s="63" t="inlineStr">
        <is>
          <t>n/m</t>
        </is>
      </c>
      <c r="AW355" s="74" t="n"/>
      <c r="AX355" s="74" t="n"/>
      <c r="AY355" s="74" t="n">
        <v>16918</v>
      </c>
      <c r="AZ355" s="75" t="inlineStr">
        <is>
          <t>N</t>
        </is>
      </c>
      <c r="BA355" s="76">
        <f>IF('BBG Verify'!K355="","not filed — run on terminal",'BBG Verify'!K355)</f>
        <v/>
      </c>
      <c r="BB355" s="63" t="inlineStr">
        <is>
          <t>N/A</t>
        </is>
      </c>
      <c r="BC355" s="63" t="inlineStr">
        <is>
          <t>N/A</t>
        </is>
      </c>
      <c r="BD355" s="63" t="inlineStr">
        <is>
          <t>N/A</t>
        </is>
      </c>
      <c r="BE355" s="63" t="inlineStr">
        <is>
          <t>N/A</t>
        </is>
      </c>
      <c r="BF355" s="63" t="inlineStr">
        <is>
          <t>N/A</t>
        </is>
      </c>
      <c r="BG355" s="75" t="inlineStr">
        <is>
          <t>CITIC Securities (Hong Kong) Limited; CMB International Capital Limited</t>
        </is>
      </c>
      <c r="BH355" s="63" t="inlineStr">
        <is>
          <t>CITIC Securities (Hong Kong) Limited; CMB International Capital Limited</t>
        </is>
      </c>
      <c r="BI355" s="63" t="inlineStr">
        <is>
          <t>CLSA Limited; CMB International Capital Limited; Livermore Holdings Limited; Funde Securities Limited; Aristo Securities Limited; BOCI Asia Limited; ICBC International Securities Limited</t>
        </is>
      </c>
      <c r="BJ355" s="63" t="inlineStr">
        <is>
          <t>Aristo Securities Limited; BOCI Asia Limited; CLSA Limited; CMB International Capital Limited; Funde Securities Limited; ICBC International Securities Limited; Livermore Holdings Limited</t>
        </is>
      </c>
      <c r="BK355" s="77">
        <f>HYPERLINK("https://www1.hkexnews.hk/listedco/listconews/sehk/2025/0731/2025073100087.pdf","prospectus")</f>
        <v/>
      </c>
      <c r="BL355" s="77">
        <f>HYPERLINK("https://www1.hkexnews.hk/listedco/listconews/sehk/2025/0808/2025080801368.pdf","allotment")</f>
        <v/>
      </c>
      <c r="BM355" s="63" t="n"/>
      <c r="BN355" s="75" t="n"/>
      <c r="BO355" s="63"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7" t="n">
        <v>7.08</v>
      </c>
      <c r="W356" s="63" t="inlineStr">
        <is>
          <t>LI Huifeng ( ኇᅆჾ); June Star Global Limited; SPC-XtalPi AI Fund SP; Marketingforce Management Ltd; DENG Haifeng; Palace Investments Pte. Ltd; BioTrack AA Limited; BioTrack BZ Limited</t>
        </is>
      </c>
      <c r="X356" s="63" t="inlineStr">
        <is>
          <t>li-huifeng;june;xtalpi;marketingforce;deng-haifeng;palace;biotrack</t>
        </is>
      </c>
      <c r="Y356" s="67" t="n">
        <v>11.19</v>
      </c>
      <c r="Z356" s="63" t="n"/>
      <c r="AA356" s="72" t="n">
        <v>206.48</v>
      </c>
      <c r="AB356" s="73" t="n">
        <v>285.44</v>
      </c>
      <c r="AC356" s="73" t="n">
        <v>-20.49</v>
      </c>
      <c r="AD356" s="73" t="n">
        <v>183.73</v>
      </c>
      <c r="AE356" s="73" t="n">
        <v>137.37</v>
      </c>
      <c r="AF356" s="73" t="n">
        <v>84.58</v>
      </c>
      <c r="AG356" s="73" t="n">
        <v>-7.42</v>
      </c>
      <c r="AH356" s="73" t="n">
        <v>-22.55</v>
      </c>
      <c r="AI356" s="73" t="n">
        <v>-39.77</v>
      </c>
      <c r="AJ356" s="73" t="n">
        <v>180.94</v>
      </c>
      <c r="AK356" s="73" t="n">
        <v>131.52</v>
      </c>
      <c r="AL356" s="73" t="n">
        <v>86.28</v>
      </c>
      <c r="AM356" s="73" t="n">
        <v>-26.92</v>
      </c>
      <c r="AN356" s="73" t="n">
        <v>5.85</v>
      </c>
      <c r="AO356" s="73" t="n">
        <v>4.37</v>
      </c>
      <c r="AP356" s="63" t="inlineStr">
        <is>
          <t>China Biotech ETF (HS biotech proxy)</t>
        </is>
      </c>
      <c r="AQ356" s="73" t="n">
        <v>-77.45999999999999</v>
      </c>
      <c r="AR356" s="64" t="inlineStr">
        <is>
          <t>2026-08-20</t>
        </is>
      </c>
      <c r="AS356" s="65" t="n">
        <v>42</v>
      </c>
      <c r="AT356" s="68" t="n">
        <v>-68.09999999999999</v>
      </c>
      <c r="AU356" s="63" t="inlineStr">
        <is>
          <t>N</t>
        </is>
      </c>
      <c r="AV356" s="63" t="inlineStr">
        <is>
          <t>n/m</t>
        </is>
      </c>
      <c r="AW356" s="74" t="n"/>
      <c r="AX356" s="74" t="n"/>
      <c r="AY356" s="74" t="n">
        <v>203.2</v>
      </c>
      <c r="AZ356" s="75" t="inlineStr">
        <is>
          <t>N</t>
        </is>
      </c>
      <c r="BA356" s="76">
        <f>IF('BBG Verify'!K356="","not filed — run on terminal",'BBG Verify'!K356)</f>
        <v/>
      </c>
      <c r="BB356" s="63" t="inlineStr">
        <is>
          <t>N/A</t>
        </is>
      </c>
      <c r="BC356" s="63" t="inlineStr">
        <is>
          <t>N/A</t>
        </is>
      </c>
      <c r="BD356" s="63" t="inlineStr">
        <is>
          <t>N/A</t>
        </is>
      </c>
      <c r="BE356" s="63" t="inlineStr">
        <is>
          <t>N/A</t>
        </is>
      </c>
      <c r="BF356" s="63" t="inlineStr">
        <is>
          <t>N/A</t>
        </is>
      </c>
      <c r="BG356" s="75" t="inlineStr">
        <is>
          <t>CITIC Securities (Hong Kong) Limited; China International Capital Corporation Hong Kong Securities Limited</t>
        </is>
      </c>
      <c r="BH356" s="63" t="inlineStr">
        <is>
          <t>China International Capital Corporation Hong Kong Securities Limited; CITIC Securities (Hong Kong) Limited</t>
        </is>
      </c>
      <c r="BI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7">
        <f>HYPERLINK("https://www1.hkexnews.hk/listedco/listconews/sehk/2025/0807/2025080700013.pdf","prospectus")</f>
        <v/>
      </c>
      <c r="BL356" s="77">
        <f>HYPERLINK("https://www1.hkexnews.hk/listedco/listconews/sehk/2025/0814/2025081401622.pdf","allotment")</f>
        <v/>
      </c>
      <c r="BM356" s="63" t="n"/>
      <c r="BN356" s="75" t="n"/>
      <c r="BO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7" t="n">
        <v>7.21</v>
      </c>
      <c r="W357" s="63" t="inlineStr">
        <is>
          <t>H&amp;T Intelligent Control International Co., Limited; Mr. Lan Kun ( ᚆտ)</t>
        </is>
      </c>
      <c r="X357" s="63" t="inlineStr">
        <is>
          <t>intelligent;mr-lan</t>
        </is>
      </c>
      <c r="Y357" s="67" t="n">
        <v>15</v>
      </c>
      <c r="Z357" s="63" t="inlineStr">
        <is>
          <t>full</t>
        </is>
      </c>
      <c r="AA357" s="72" t="n">
        <v>6.4</v>
      </c>
      <c r="AB357" s="73" t="n">
        <v>6.54</v>
      </c>
      <c r="AC357" s="73" t="n">
        <v>-0.13</v>
      </c>
      <c r="AD357" s="73" t="n">
        <v>2.34</v>
      </c>
      <c r="AE357" s="73" t="n">
        <v>42.29</v>
      </c>
      <c r="AF357" s="73" t="n">
        <v>23.25</v>
      </c>
      <c r="AG357" s="73" t="n">
        <v>-3.82</v>
      </c>
      <c r="AH357" s="73" t="n">
        <v>33.73</v>
      </c>
      <c r="AI357" s="73" t="n">
        <v>15.84</v>
      </c>
      <c r="AJ357" s="73" t="n">
        <v>-0.41</v>
      </c>
      <c r="AK357" s="73" t="n">
        <v>29.25</v>
      </c>
      <c r="AL357" s="73" t="n">
        <v>22.79</v>
      </c>
      <c r="AM357" s="73" t="n">
        <v>20.59</v>
      </c>
      <c r="AN357" s="73" t="n">
        <v>13.04</v>
      </c>
      <c r="AO357" s="73" t="n">
        <v>13.14</v>
      </c>
      <c r="AP357" s="63" t="inlineStr">
        <is>
          <t>HSTECH (Hang Seng TECH ETF)</t>
        </is>
      </c>
      <c r="AQ357" s="73" t="n">
        <v>65.06999999999999</v>
      </c>
      <c r="AR357" s="64" t="inlineStr">
        <is>
          <t>2026-08-20</t>
        </is>
      </c>
      <c r="AS357" s="65" t="n">
        <v>1945</v>
      </c>
      <c r="AT357" s="68" t="n">
        <v>196.9</v>
      </c>
      <c r="AU357" s="63" t="inlineStr">
        <is>
          <t>Y</t>
        </is>
      </c>
      <c r="AV357" s="74" t="n">
        <v>91.8</v>
      </c>
      <c r="AW357" s="74" t="n">
        <v>203.2</v>
      </c>
      <c r="AX357" s="74" t="n"/>
      <c r="AY357" s="74" t="n">
        <v>9.300000000000001</v>
      </c>
      <c r="AZ357" s="75" t="inlineStr">
        <is>
          <t>Y</t>
        </is>
      </c>
      <c r="BA357" s="63" t="inlineStr">
        <is>
          <t>688234.SS</t>
        </is>
      </c>
      <c r="BB357" s="73" t="n">
        <v>70.04000000000001</v>
      </c>
      <c r="BC357" s="66" t="n">
        <v>72.779</v>
      </c>
      <c r="BD357" s="80" t="n">
        <v>0.9161</v>
      </c>
      <c r="BE357" s="78">
        <f>IF('BBG Verify'!Q357="","run on terminal",'BBG Verify'!Q357)</f>
        <v/>
      </c>
      <c r="BF357" s="78">
        <f>IF('BBG Verify'!R357="","run on terminal",'BBG Verify'!R357)</f>
        <v/>
      </c>
      <c r="BG357" s="75" t="inlineStr">
        <is>
          <t>China International Capital Corporation Hong Kong Securities Limited; CITIC Securities (Hong Kong) Limited; Sponsor-OC China International Capital Corporation Hong Kong Securities Limited; CLSA Limited</t>
        </is>
      </c>
      <c r="BH357" s="63" t="inlineStr">
        <is>
          <t>China International Capital Corporation Hong Kong Securities Limited; CITIC Securities (Hong Kong) Limited</t>
        </is>
      </c>
      <c r="BI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7">
        <f>HYPERLINK("https://www1.hkexnews.hk/listedco/listconews/sehk/2025/0811/2025081100005.pdf","prospectus")</f>
        <v/>
      </c>
      <c r="BL357" s="77">
        <f>HYPERLINK("https://www1.hkexnews.hk/listedco/listconews/sehk/2025/0819/2025081901728.pdf","allotment")</f>
        <v/>
      </c>
      <c r="BM357" s="77">
        <f>HYPERLINK("https://www1.hkexnews.hk/listedco/listconews/sehk/2025/0914/2025091400109.pdf","stabilisation")</f>
        <v/>
      </c>
      <c r="BN357" s="75" t="n"/>
      <c r="BO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7" t="n">
        <v>10.05</v>
      </c>
      <c r="W358" s="63" t="inlineStr">
        <is>
          <t>CCB International Capital Limited; Huatai Capital Investment Limited; Connected Client CSOP Asset Management Limited</t>
        </is>
      </c>
      <c r="X358" s="63" t="inlineStr">
        <is>
          <t>ccb;huatai;connected</t>
        </is>
      </c>
      <c r="Y358" s="67" t="n">
        <v>15</v>
      </c>
      <c r="Z358" s="63" t="inlineStr">
        <is>
          <t>full</t>
        </is>
      </c>
      <c r="AA358" s="72" t="n">
        <v>31.29</v>
      </c>
      <c r="AB358" s="73" t="n">
        <v>55.07</v>
      </c>
      <c r="AC358" s="73" t="n">
        <v>-15.34</v>
      </c>
      <c r="AD358" s="73" t="n">
        <v>20.06</v>
      </c>
      <c r="AE358" s="73" t="n">
        <v>24.4</v>
      </c>
      <c r="AF358" s="73" t="n">
        <v>20.06</v>
      </c>
      <c r="AG358" s="73" t="n">
        <v>-8.550000000000001</v>
      </c>
      <c r="AH358" s="73" t="n">
        <v>-5.25</v>
      </c>
      <c r="AI358" s="73" t="n">
        <v>-8.550000000000001</v>
      </c>
      <c r="AJ358" s="73" t="n">
        <v>20.83</v>
      </c>
      <c r="AK358" s="73" t="n">
        <v>18.63</v>
      </c>
      <c r="AL358" s="73" t="n">
        <v>22.09</v>
      </c>
      <c r="AM358" s="73" t="n">
        <v>-11.98</v>
      </c>
      <c r="AN358" s="73" t="n">
        <v>5.77</v>
      </c>
      <c r="AO358" s="73" t="n">
        <v>6.73</v>
      </c>
      <c r="AP358" s="63" t="inlineStr">
        <is>
          <t>Hang Seng Commerce &amp; Industry sub-index</t>
        </is>
      </c>
      <c r="AQ358" s="73" t="n">
        <v>-44.87</v>
      </c>
      <c r="AR358" s="64" t="inlineStr">
        <is>
          <t>2026-08-20</t>
        </is>
      </c>
      <c r="AS358" s="65" t="n">
        <v>4948.4</v>
      </c>
      <c r="AT358" s="68" t="n">
        <v>388.7</v>
      </c>
      <c r="AU358" s="63" t="inlineStr">
        <is>
          <t>Y</t>
        </is>
      </c>
      <c r="AV358" s="74" t="n">
        <v>15.6</v>
      </c>
      <c r="AW358" s="74" t="n"/>
      <c r="AX358" s="74" t="n">
        <v>10.2</v>
      </c>
      <c r="AY358" s="74" t="n">
        <v>1.2</v>
      </c>
      <c r="AZ358" s="75" t="inlineStr">
        <is>
          <t>N</t>
        </is>
      </c>
      <c r="BA358" s="76">
        <f>IF('BBG Verify'!K358="","not filed — run on terminal",'BBG Verify'!K358)</f>
        <v/>
      </c>
      <c r="BB358" s="63" t="inlineStr">
        <is>
          <t>N/A</t>
        </is>
      </c>
      <c r="BC358" s="63" t="inlineStr">
        <is>
          <t>N/A</t>
        </is>
      </c>
      <c r="BD358" s="63" t="inlineStr">
        <is>
          <t>N/A</t>
        </is>
      </c>
      <c r="BE358" s="63" t="inlineStr">
        <is>
          <t>N/A</t>
        </is>
      </c>
      <c r="BF358" s="63" t="inlineStr">
        <is>
          <t>N/A</t>
        </is>
      </c>
      <c r="BG358" s="75" t="inlineStr">
        <is>
          <t>China International Capital Corporation Hong Kong Securities Limited; Central, Hong Kong Huatai Financial Holdings (Hong Kong) Limited; CCB International Capital Limited</t>
        </is>
      </c>
      <c r="BH358" s="63" t="inlineStr">
        <is>
          <t>China International Capital Corporation Hong Kong Securities Limited; CCB International Capital Limited; Huatai Financial Holdings (Hong Kong) Limited</t>
        </is>
      </c>
      <c r="BI358" s="63"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7">
        <f>HYPERLINK("https://www1.hkexnews.hk/listedco/listconews/sehk/2025/0818/2025081800011.pdf","prospectus")</f>
        <v/>
      </c>
      <c r="BL358" s="77">
        <f>HYPERLINK("https://www1.hkexnews.hk/listedco/listconews/sehk/2025/0825/2025082502151.pdf","allotment")</f>
        <v/>
      </c>
      <c r="BM358" s="77">
        <f>HYPERLINK("https://www1.hkexnews.hk/listedco/listconews/sehk/2025/0921/2025092100013.pdf","stabilisation")</f>
        <v/>
      </c>
      <c r="BN358" s="75" t="n"/>
      <c r="BO358" s="63" t="inlineStr">
        <is>
          <t>range low: cap-only pricing — the filing publishes a Maximum Offer Price and no indicative floor · A/H: no A-share listing</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7" t="n">
        <v>17.07</v>
      </c>
      <c r="W359" s="63" t="inlineStr">
        <is>
          <t>GF Fund Management Co., Ltd; Fullgoal Asset Management (HK) Limited; Fullgoal Fund Management Co., Ltd; CICC Financial Trading Limited</t>
        </is>
      </c>
      <c r="X359" s="63" t="inlineStr">
        <is>
          <t>gf;fullgoal;china-international</t>
        </is>
      </c>
      <c r="Y359" s="67" t="n">
        <v>15</v>
      </c>
      <c r="Z359" s="63" t="inlineStr">
        <is>
          <t>full</t>
        </is>
      </c>
      <c r="AA359" s="72" t="n">
        <v>177.84</v>
      </c>
      <c r="AB359" s="73" t="n">
        <v>108.79</v>
      </c>
      <c r="AC359" s="73" t="n">
        <v>33.07</v>
      </c>
      <c r="AD359" s="73" t="n">
        <v>193.59</v>
      </c>
      <c r="AE359" s="73" t="n">
        <v>146.34</v>
      </c>
      <c r="AF359" s="73" t="n">
        <v>225.09</v>
      </c>
      <c r="AG359" s="73" t="n">
        <v>5.67</v>
      </c>
      <c r="AH359" s="73" t="n">
        <v>-11.34</v>
      </c>
      <c r="AI359" s="73" t="n">
        <v>17.01</v>
      </c>
      <c r="AJ359" s="73" t="n">
        <v>194.12</v>
      </c>
      <c r="AK359" s="73" t="n">
        <v>140.11</v>
      </c>
      <c r="AL359" s="73" t="n">
        <v>225.18</v>
      </c>
      <c r="AM359" s="73" t="n">
        <v>-19.23</v>
      </c>
      <c r="AN359" s="73" t="n">
        <v>6.23</v>
      </c>
      <c r="AO359" s="73" t="n">
        <v>7.89</v>
      </c>
      <c r="AP359" s="63" t="inlineStr">
        <is>
          <t>Hang Seng Commerce &amp; Industry sub-index</t>
        </is>
      </c>
      <c r="AQ359" s="73" t="n">
        <v>474.18</v>
      </c>
      <c r="AR359" s="64" t="inlineStr">
        <is>
          <t>2026-08-20</t>
        </is>
      </c>
      <c r="AS359" s="65" t="n">
        <v>126.3</v>
      </c>
      <c r="AT359" s="68" t="n">
        <v>-176.5</v>
      </c>
      <c r="AU359" s="63" t="inlineStr">
        <is>
          <t>N</t>
        </is>
      </c>
      <c r="AV359" s="63" t="inlineStr">
        <is>
          <t>n/m</t>
        </is>
      </c>
      <c r="AW359" s="74" t="n"/>
      <c r="AX359" s="74" t="n">
        <v>76.59999999999999</v>
      </c>
      <c r="AY359" s="74" t="n">
        <v>38</v>
      </c>
      <c r="AZ359" s="75" t="inlineStr">
        <is>
          <t>N</t>
        </is>
      </c>
      <c r="BA359" s="76">
        <f>IF('BBG Verify'!K359="","not filed — run on terminal",'BBG Verify'!K359)</f>
        <v/>
      </c>
      <c r="BB359" s="63" t="inlineStr">
        <is>
          <t>N/A</t>
        </is>
      </c>
      <c r="BC359" s="63" t="inlineStr">
        <is>
          <t>N/A</t>
        </is>
      </c>
      <c r="BD359" s="63" t="inlineStr">
        <is>
          <t>N/A</t>
        </is>
      </c>
      <c r="BE359" s="63" t="inlineStr">
        <is>
          <t>N/A</t>
        </is>
      </c>
      <c r="BF359" s="63" t="inlineStr">
        <is>
          <t>N/A</t>
        </is>
      </c>
      <c r="BG359" s="75" t="inlineStr">
        <is>
          <t>China International Capital Corporation Hong Kong Securities Limited</t>
        </is>
      </c>
      <c r="BH359" s="63" t="inlineStr">
        <is>
          <t>China International Capital Corporation Hong Kong Securities Limited</t>
        </is>
      </c>
      <c r="BI359" s="63"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7">
        <f>HYPERLINK("https://www1.hkexnews.hk/listedco/listconews/sehk/2025/0820/2025082000021.pdf","prospectus")</f>
        <v/>
      </c>
      <c r="BL359" s="77">
        <f>HYPERLINK("https://www1.hkexnews.hk/listedco/listconews/sehk/2025/0827/2025082702293.pdf","allotment")</f>
        <v/>
      </c>
      <c r="BM359" s="77">
        <f>HYPERLINK("https://www1.hkexnews.hk/listedco/listconews/sehk/2025/0924/2025092401050.pdf","stabilisation")</f>
        <v/>
      </c>
      <c r="BN359" s="75" t="n"/>
      <c r="BO359" s="63" t="inlineStr">
        <is>
          <t>P/E: n/m — loss-making at IPO (use P/S)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v>16</v>
      </c>
      <c r="L360" s="66" t="n">
        <v>17.42</v>
      </c>
      <c r="M360" s="66" t="n">
        <v>17.42</v>
      </c>
      <c r="N360" s="63" t="inlineStr">
        <is>
          <t>Y</t>
        </is>
      </c>
      <c r="O360" s="67" t="n">
        <v>100</v>
      </c>
      <c r="P360" s="67" t="n">
        <v>100</v>
      </c>
      <c r="Q360" s="68" t="n">
        <v>27667.3</v>
      </c>
      <c r="R360" s="63" t="inlineStr">
        <is>
          <t>derived:deal size / offer % of enlarged capital</t>
        </is>
      </c>
      <c r="S360" s="69" t="n">
        <v>557.2</v>
      </c>
      <c r="T360" s="70" t="n">
        <v>8.300000000000001</v>
      </c>
      <c r="U360" s="71" t="n">
        <v>33.9</v>
      </c>
      <c r="V360" s="67" t="n">
        <v>9.92</v>
      </c>
      <c r="W360" s="63" t="inlineStr">
        <is>
          <t>China Post Insurance; PSBC WM</t>
        </is>
      </c>
      <c r="X360" s="63" t="inlineStr">
        <is>
          <t>post;psbc</t>
        </is>
      </c>
      <c r="Y360" s="67" t="n">
        <v>15</v>
      </c>
      <c r="Z360" s="63" t="inlineStr">
        <is>
          <t>lapsed</t>
        </is>
      </c>
      <c r="AA360" s="72" t="n">
        <v>-5.4</v>
      </c>
      <c r="AB360" s="73" t="n">
        <v>-7.58</v>
      </c>
      <c r="AC360" s="73" t="n">
        <v>2.36</v>
      </c>
      <c r="AD360" s="73" t="n">
        <v>-7.58</v>
      </c>
      <c r="AE360" s="73" t="n">
        <v>-20.49</v>
      </c>
      <c r="AF360" s="73" t="n">
        <v>-9.300000000000001</v>
      </c>
      <c r="AG360" s="73" t="n">
        <v>-2.3</v>
      </c>
      <c r="AH360" s="73" t="n">
        <v>-15.95</v>
      </c>
      <c r="AI360" s="73" t="n">
        <v>-4.12</v>
      </c>
      <c r="AJ360" s="73" t="n">
        <v>-8.109999999999999</v>
      </c>
      <c r="AK360" s="73" t="n">
        <v>-35.88</v>
      </c>
      <c r="AL360" s="73" t="n">
        <v>-4.64</v>
      </c>
      <c r="AM360" s="73" t="n">
        <v>-32.47</v>
      </c>
      <c r="AN360" s="73" t="n">
        <v>15.39</v>
      </c>
      <c r="AO360" s="73" t="n">
        <v>16.52</v>
      </c>
      <c r="AP360" s="63" t="inlineStr">
        <is>
          <t>HSTECH (Hang Seng TECH ETF)</t>
        </is>
      </c>
      <c r="AQ360" s="73" t="n">
        <v>-41.91</v>
      </c>
      <c r="AR360" s="64" t="inlineStr">
        <is>
          <t>2026-08-20</t>
        </is>
      </c>
      <c r="AS360" s="65" t="n">
        <v>32735.3</v>
      </c>
      <c r="AT360" s="68" t="n">
        <v>3201.2</v>
      </c>
      <c r="AU360" s="63" t="inlineStr">
        <is>
          <t>Y</t>
        </is>
      </c>
      <c r="AV360" s="74" t="n">
        <v>8.6</v>
      </c>
      <c r="AW360" s="74" t="n">
        <v>6.8</v>
      </c>
      <c r="AX360" s="74" t="n">
        <v>5.6</v>
      </c>
      <c r="AY360" s="74" t="n">
        <v>0.8</v>
      </c>
      <c r="AZ360" s="75" t="inlineStr">
        <is>
          <t>N</t>
        </is>
      </c>
      <c r="BA360" s="76">
        <f>IF('BBG Verify'!K360="","not filed — run on terminal",'BBG Verify'!K360)</f>
        <v/>
      </c>
      <c r="BB360" s="63" t="inlineStr">
        <is>
          <t>N/A</t>
        </is>
      </c>
      <c r="BC360" s="63" t="inlineStr">
        <is>
          <t>N/A</t>
        </is>
      </c>
      <c r="BD360" s="63" t="inlineStr">
        <is>
          <t>N/A</t>
        </is>
      </c>
      <c r="BE360" s="63" t="inlineStr">
        <is>
          <t>N/A</t>
        </is>
      </c>
      <c r="BF360" s="63" t="inlineStr">
        <is>
          <t>N/A</t>
        </is>
      </c>
      <c r="BG360" s="75" t="inlineStr">
        <is>
          <t>CICC</t>
        </is>
      </c>
      <c r="BH360" s="63" t="inlineStr">
        <is>
          <t>China International Capital Corporation Hong Kong Securities Limited</t>
        </is>
      </c>
      <c r="BI360" s="63" t="inlineStr">
        <is>
          <t>China International Capital Corporation Hong Kong Securities Limited; Orient Securities (Hong Kong) Limited; ABCI Capital Limited; ICBC International Securities Limited; Futu Securities International (Hong Kong) Limited</t>
        </is>
      </c>
      <c r="BJ360" s="63" t="inlineStr">
        <is>
          <t>ABCI Securities Company Limited; China International Capital Corporation Hong Kong Securities Limited; Futu Securities International (Hong Kong) Limited; ICBC International Securities Limited; Orient Securities (Hong Kong) Limited</t>
        </is>
      </c>
      <c r="BK360" s="77">
        <f>HYPERLINK("https://www1.hkexnews.hk/listedco/listconews/sehk/2025/0825/2025082500020.htm","prospectus")</f>
        <v/>
      </c>
      <c r="BL360" s="77">
        <f>HYPERLINK("https://www1.hkexnews.hk/listedco/listconews/sehk/2025/0901/2025090103683.pdf","allotment")</f>
        <v/>
      </c>
      <c r="BM360" s="77">
        <f>HYPERLINK("https://www1.hkexnews.hk/listedco/listconews/sehk/2025/0928/2025092800005.pdf","stabilisation")</f>
        <v/>
      </c>
      <c r="BN360" s="75" t="n"/>
      <c r="BO360" s="63" t="inlineStr">
        <is>
          <t>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7" t="n">
        <v>18.65</v>
      </c>
      <c r="W361" s="63" t="inlineStr">
        <is>
          <t>Asia Pacific Limited; Allianz Global Investors Asia Pacific Limited; GBAD Fund Management; Dahon Tech Enterprise LP</t>
        </is>
      </c>
      <c r="X361" s="63" t="inlineStr">
        <is>
          <t>asia-pacific;allianz;gbad;dahon</t>
        </is>
      </c>
      <c r="Y361" s="67" t="n">
        <v>14.9</v>
      </c>
      <c r="Z361" s="63" t="inlineStr">
        <is>
          <t>partial</t>
        </is>
      </c>
      <c r="AA361" s="72" t="n">
        <v>14.95</v>
      </c>
      <c r="AB361" s="73" t="n">
        <v>36.36</v>
      </c>
      <c r="AC361" s="73" t="n">
        <v>-15.7</v>
      </c>
      <c r="AD361" s="73" t="n">
        <v>30</v>
      </c>
      <c r="AE361" s="73" t="n">
        <v>0.89</v>
      </c>
      <c r="AF361" s="73" t="n">
        <v>-17.45</v>
      </c>
      <c r="AG361" s="73" t="n">
        <v>13.09</v>
      </c>
      <c r="AH361" s="73" t="n">
        <v>-12.23</v>
      </c>
      <c r="AI361" s="73" t="n">
        <v>-28.19</v>
      </c>
      <c r="AJ361" s="73" t="n">
        <v>24.33</v>
      </c>
      <c r="AK361" s="73" t="n">
        <v>-8.15</v>
      </c>
      <c r="AL361" s="73" t="n">
        <v>-14.17</v>
      </c>
      <c r="AM361" s="73" t="n">
        <v>-19.84</v>
      </c>
      <c r="AN361" s="73" t="n">
        <v>9.039999999999999</v>
      </c>
      <c r="AO361" s="73" t="n">
        <v>7.61</v>
      </c>
      <c r="AP361" s="63" t="inlineStr">
        <is>
          <t>HSTECH (Hang Seng TECH ETF)</t>
        </is>
      </c>
      <c r="AQ361" s="73" t="n">
        <v>-40.65</v>
      </c>
      <c r="AR361" s="64" t="inlineStr">
        <is>
          <t>2026-08-20</t>
        </is>
      </c>
      <c r="AS361" s="65" t="n">
        <v>495.8</v>
      </c>
      <c r="AT361" s="68" t="n">
        <v>57.5</v>
      </c>
      <c r="AU361" s="63" t="inlineStr">
        <is>
          <t>Y</t>
        </is>
      </c>
      <c r="AV361" s="74" t="n">
        <v>27.3</v>
      </c>
      <c r="AW361" s="74" t="n"/>
      <c r="AX361" s="74" t="n"/>
      <c r="AY361" s="74" t="n">
        <v>3.2</v>
      </c>
      <c r="AZ361" s="75" t="inlineStr">
        <is>
          <t>N</t>
        </is>
      </c>
      <c r="BA361" s="76">
        <f>IF('BBG Verify'!K361="","not filed — run on terminal",'BBG Verify'!K361)</f>
        <v/>
      </c>
      <c r="BB361" s="63" t="inlineStr">
        <is>
          <t>N/A</t>
        </is>
      </c>
      <c r="BC361" s="63" t="inlineStr">
        <is>
          <t>N/A</t>
        </is>
      </c>
      <c r="BD361" s="63" t="inlineStr">
        <is>
          <t>N/A</t>
        </is>
      </c>
      <c r="BE361" s="63" t="inlineStr">
        <is>
          <t>N/A</t>
        </is>
      </c>
      <c r="BF361" s="63" t="inlineStr">
        <is>
          <t>N/A</t>
        </is>
      </c>
      <c r="BG361" s="75" t="inlineStr">
        <is>
          <t>China Securities (International) Corporate Finance Company Limited</t>
        </is>
      </c>
      <c r="BH361" s="63" t="inlineStr">
        <is>
          <t>China Securities (International) Corporate Finance Company Limited</t>
        </is>
      </c>
      <c r="BI361" s="63" t="inlineStr">
        <is>
          <t>China Securities (International) Corporate Finance Company Limited; ABCI Capital Limited; BOCI Asia Limited; CCB International Capital Limited; CMB International Capital Limited; Futu Securities International (Hong Kong) Limited</t>
        </is>
      </c>
      <c r="BJ361" s="63" t="inlineStr">
        <is>
          <t>ABCI Securities Company Limited; BOCI Asia Limited; CCB International Capital Limited; CMB International Capital Corporation Limited; China Securities (International) Corporate Finance Company Limited; Futu Securities International (Hong Kong) Limited</t>
        </is>
      </c>
      <c r="BK361" s="77">
        <f>HYPERLINK("https://www1.hkexnews.hk/listedco/listconews/sehk/2025/0901/2025090100007.pdf","prospectus")</f>
        <v/>
      </c>
      <c r="BL361" s="77">
        <f>HYPERLINK("https://www1.hkexnews.hk/listedco/listconews/sehk/2025/0908/2025090801334.pdf","allotment")</f>
        <v/>
      </c>
      <c r="BM361" s="77">
        <f>HYPERLINK("https://www1.hkexnews.hk/listedco/listconews/sehk/2025/1005/2025100500245.pdf","stabilisation")</f>
        <v/>
      </c>
      <c r="BN361" s="75" t="n"/>
      <c r="BO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7" t="n">
        <v>1.63</v>
      </c>
      <c r="W362" s="63" t="inlineStr">
        <is>
          <t>HHLRA; Taikang Life; Hongda Group; Trading Limited; WT Asset Management Limited; Grab Inc; Commando Global Fund</t>
        </is>
      </c>
      <c r="X362" s="63" t="inlineStr">
        <is>
          <t>hhlra;taikang;hongda;trading;wt;grab;commando</t>
        </is>
      </c>
      <c r="Y362" s="67" t="n">
        <v>15</v>
      </c>
      <c r="Z362" s="63" t="inlineStr">
        <is>
          <t>full</t>
        </is>
      </c>
      <c r="AA362" s="72" t="n">
        <v>9.960000000000001</v>
      </c>
      <c r="AB362" s="73" t="n">
        <v>7.71</v>
      </c>
      <c r="AC362" s="73" t="n">
        <v>2.09</v>
      </c>
      <c r="AD362" s="73" t="n">
        <v>8.08</v>
      </c>
      <c r="AE362" s="73" t="n">
        <v>-20.49</v>
      </c>
      <c r="AF362" s="73" t="n">
        <v>-20.39</v>
      </c>
      <c r="AG362" s="73" t="n">
        <v>-1.71</v>
      </c>
      <c r="AH362" s="73" t="n">
        <v>-27.69</v>
      </c>
      <c r="AI362" s="73" t="n">
        <v>-27.6</v>
      </c>
      <c r="AJ362" s="73" t="n">
        <v>6.14</v>
      </c>
      <c r="AK362" s="73" t="n">
        <v>-15.52</v>
      </c>
      <c r="AL362" s="73" t="n">
        <v>-10.61</v>
      </c>
      <c r="AM362" s="73" t="n">
        <v>-22.24</v>
      </c>
      <c r="AN362" s="73" t="n">
        <v>-4.97</v>
      </c>
      <c r="AO362" s="73" t="n">
        <v>-5.45</v>
      </c>
      <c r="AP362" s="63" t="inlineStr">
        <is>
          <t>HSTECH (Hang Seng TECH ETF)</t>
        </is>
      </c>
      <c r="AQ362" s="73" t="n">
        <v>-32.33</v>
      </c>
      <c r="AR362" s="64" t="inlineStr">
        <is>
          <t>2026-08-24</t>
        </is>
      </c>
      <c r="AS362" s="65" t="n">
        <v>2284.9</v>
      </c>
      <c r="AT362" s="68" t="n">
        <v>-112.6</v>
      </c>
      <c r="AU362" s="63" t="inlineStr">
        <is>
          <t>N</t>
        </is>
      </c>
      <c r="AV362" s="63" t="inlineStr">
        <is>
          <t>n/m</t>
        </is>
      </c>
      <c r="AW362" s="74" t="n">
        <v>293.1</v>
      </c>
      <c r="AX362" s="74" t="n">
        <v>39.2</v>
      </c>
      <c r="AY362" s="74" t="n">
        <v>107.1</v>
      </c>
      <c r="AZ362" s="75" t="inlineStr">
        <is>
          <t>N</t>
        </is>
      </c>
      <c r="BA362" s="76">
        <f>IF('BBG Verify'!K362="","not filed — run on terminal",'BBG Verify'!K362)</f>
        <v/>
      </c>
      <c r="BB362" s="63" t="inlineStr">
        <is>
          <t>N/A</t>
        </is>
      </c>
      <c r="BC362" s="63" t="inlineStr">
        <is>
          <t>N/A</t>
        </is>
      </c>
      <c r="BD362" s="63" t="inlineStr">
        <is>
          <t>N/A</t>
        </is>
      </c>
      <c r="BE362" s="63" t="inlineStr">
        <is>
          <t>N/A</t>
        </is>
      </c>
      <c r="BF362" s="63" t="inlineStr">
        <is>
          <t>N/A</t>
        </is>
      </c>
      <c r="BG362" s="7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3" t="inlineStr">
        <is>
          <t>China International Capital Corporation Hong Kong Securities Limited; Guotai Junan Capital Limited; CMB International Capital Limited</t>
        </is>
      </c>
      <c r="BI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7">
        <f>HYPERLINK("https://www1.hkexnews.hk/listedco/listconews/sehk/2025/0908/2025090800017.pdf","prospectus")</f>
        <v/>
      </c>
      <c r="BL362" s="77">
        <f>HYPERLINK("https://www1.hkexnews.hk/listedco/listconews/sehk/2025/0915/2025091501458.pdf","allotment")</f>
        <v/>
      </c>
      <c r="BM362" s="77">
        <f>HYPERLINK("https://www1.hkexnews.hk/listedco/listconews/sehk/2025/1012/2025101200001.pdf","stabilisation")</f>
        <v/>
      </c>
      <c r="BN362" s="75" t="n"/>
      <c r="BO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7" t="n">
        <v>10</v>
      </c>
      <c r="W363" s="63" t="n"/>
      <c r="X363" s="63" t="n"/>
      <c r="Y363" s="67" t="n">
        <v>11.33</v>
      </c>
      <c r="Z363" s="63" t="n"/>
      <c r="AA363" s="72" t="n">
        <v>137.34</v>
      </c>
      <c r="AB363" s="73" t="n">
        <v>152.14</v>
      </c>
      <c r="AC363" s="73" t="n">
        <v>-5.87</v>
      </c>
      <c r="AD363" s="73" t="n">
        <v>139.7</v>
      </c>
      <c r="AE363" s="73" t="n">
        <v>236.92</v>
      </c>
      <c r="AF363" s="73" t="n">
        <v>337.76</v>
      </c>
      <c r="AG363" s="73" t="n">
        <v>0.99</v>
      </c>
      <c r="AH363" s="73" t="n">
        <v>41.96</v>
      </c>
      <c r="AI363" s="73" t="n">
        <v>84.44</v>
      </c>
      <c r="AJ363" s="73" t="n">
        <v>140.29</v>
      </c>
      <c r="AK363" s="73" t="n">
        <v>243.75</v>
      </c>
      <c r="AL363" s="73" t="n">
        <v>351.57</v>
      </c>
      <c r="AM363" s="73" t="n">
        <v>48.93</v>
      </c>
      <c r="AN363" s="73" t="n">
        <v>-6.83</v>
      </c>
      <c r="AO363" s="73" t="n">
        <v>-6.97</v>
      </c>
      <c r="AP363" s="63" t="inlineStr">
        <is>
          <t>China Biotech ETF (HS biotech proxy)</t>
        </is>
      </c>
      <c r="AQ363" s="73" t="n">
        <v>-17.24</v>
      </c>
      <c r="AR363" s="64" t="inlineStr">
        <is>
          <t>2026-08-20</t>
        </is>
      </c>
      <c r="AS363" s="65" t="n">
        <v>682.8</v>
      </c>
      <c r="AT363" s="68" t="n">
        <v>-119.1</v>
      </c>
      <c r="AU363" s="63" t="inlineStr">
        <is>
          <t>N</t>
        </is>
      </c>
      <c r="AV363" s="63" t="inlineStr">
        <is>
          <t>n/m</t>
        </is>
      </c>
      <c r="AW363" s="74" t="n"/>
      <c r="AX363" s="74" t="n"/>
      <c r="AY363" s="74" t="n">
        <v>5.9</v>
      </c>
      <c r="AZ363" s="75" t="inlineStr">
        <is>
          <t>N</t>
        </is>
      </c>
      <c r="BA363" s="76">
        <f>IF('BBG Verify'!K363="","not filed — run on terminal",'BBG Verify'!K363)</f>
        <v/>
      </c>
      <c r="BB363" s="63" t="inlineStr">
        <is>
          <t>N/A</t>
        </is>
      </c>
      <c r="BC363" s="63" t="inlineStr">
        <is>
          <t>N/A</t>
        </is>
      </c>
      <c r="BD363" s="63" t="inlineStr">
        <is>
          <t>N/A</t>
        </is>
      </c>
      <c r="BE363" s="63" t="inlineStr">
        <is>
          <t>N/A</t>
        </is>
      </c>
      <c r="BF363" s="63" t="inlineStr">
        <is>
          <t>N/A</t>
        </is>
      </c>
      <c r="BG363" s="75" t="inlineStr">
        <is>
          <t>Shenwan Hongyuan Capital (H.K.) Limited; Zero2IPO Capital Limited</t>
        </is>
      </c>
      <c r="BH363" s="63" t="inlineStr">
        <is>
          <t>Zero2IPO Capital Limited; Shenwan Hongyuan Capital (H.K.) Limited</t>
        </is>
      </c>
      <c r="BI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3" t="inlineStr">
        <is>
          <t>ABCI Securities Company Limited; BOCI Asia Limited; Eddid Securities and Futures Limited; Innovation Securities Co., Limited; Livermore Holdings Limited; South China Securities Limited; Shenwan Hongyuan Securities (H.K.) Limited; Sun Securities Limited</t>
        </is>
      </c>
      <c r="BK363" s="77">
        <f>HYPERLINK("https://www1.hkexnews.hk/listedco/listconews/sehk/2025/0909/2025090900019.pdf","prospectus")</f>
        <v/>
      </c>
      <c r="BL363" s="77">
        <f>HYPERLINK("https://www1.hkexnews.hk/listedco/listconews/sehk/2025/0916/2025091601472.pdf","allotment")</f>
        <v/>
      </c>
      <c r="BM363" s="63" t="n"/>
      <c r="BN363" s="75" t="n"/>
      <c r="BO36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7" t="n">
        <v>14.77</v>
      </c>
      <c r="W364" s="63" t="inlineStr">
        <is>
          <t>RTW Master Fund, Ltd; The Biotech Growth Trust PLC; LBC HK Opportunity Fund Limited; Lake Bleu Innovation Fund; GF International; Value Partners Limited; E Fund Hong Kong</t>
        </is>
      </c>
      <c r="X364" s="63" t="inlineStr">
        <is>
          <t>rtw;biotech;lbc;lake;gf;value;fund-hong</t>
        </is>
      </c>
      <c r="Y364" s="67" t="n">
        <v>15</v>
      </c>
      <c r="Z364" s="63" t="inlineStr">
        <is>
          <t>full</t>
        </is>
      </c>
      <c r="AA364" s="72" t="n">
        <v>106.47</v>
      </c>
      <c r="AB364" s="73" t="n">
        <v>115.79</v>
      </c>
      <c r="AC364" s="73" t="n">
        <v>-4.32</v>
      </c>
      <c r="AD364" s="73" t="n">
        <v>87.34999999999999</v>
      </c>
      <c r="AE364" s="73" t="n">
        <v>30.06</v>
      </c>
      <c r="AF364" s="73" t="n">
        <v>25.75</v>
      </c>
      <c r="AG364" s="73" t="n">
        <v>-9.26</v>
      </c>
      <c r="AH364" s="73" t="n">
        <v>-37.01</v>
      </c>
      <c r="AI364" s="73" t="n">
        <v>-39.1</v>
      </c>
      <c r="AJ364" s="73" t="n">
        <v>89.94</v>
      </c>
      <c r="AK364" s="73" t="n">
        <v>37.77</v>
      </c>
      <c r="AL364" s="73" t="n">
        <v>39.29</v>
      </c>
      <c r="AM364" s="73" t="n">
        <v>-30.89</v>
      </c>
      <c r="AN364" s="73" t="n">
        <v>-7.71</v>
      </c>
      <c r="AO364" s="73" t="n">
        <v>-6.12</v>
      </c>
      <c r="AP364" s="63" t="inlineStr">
        <is>
          <t>China Biotech ETF (HS biotech proxy)</t>
        </is>
      </c>
      <c r="AQ364" s="73" t="n">
        <v>60.57</v>
      </c>
      <c r="AR364" s="64" t="inlineStr">
        <is>
          <t>2026-08-20</t>
        </is>
      </c>
      <c r="AS364" s="65" t="n">
        <v>115.2</v>
      </c>
      <c r="AT364" s="68" t="n">
        <v>-745.4</v>
      </c>
      <c r="AU364" s="63" t="inlineStr">
        <is>
          <t>N</t>
        </is>
      </c>
      <c r="AV364" s="63" t="inlineStr">
        <is>
          <t>n/m</t>
        </is>
      </c>
      <c r="AW364" s="74" t="n"/>
      <c r="AX364" s="74" t="n"/>
      <c r="AY364" s="74" t="n">
        <v>61.1</v>
      </c>
      <c r="AZ364" s="75" t="inlineStr">
        <is>
          <t>N</t>
        </is>
      </c>
      <c r="BA364" s="76">
        <f>IF('BBG Verify'!K364="","not filed — run on terminal",'BBG Verify'!K364)</f>
        <v/>
      </c>
      <c r="BB364" s="63" t="inlineStr">
        <is>
          <t>N/A</t>
        </is>
      </c>
      <c r="BC364" s="63" t="inlineStr">
        <is>
          <t>N/A</t>
        </is>
      </c>
      <c r="BD364" s="63" t="inlineStr">
        <is>
          <t>N/A</t>
        </is>
      </c>
      <c r="BE364" s="63" t="inlineStr">
        <is>
          <t>N/A</t>
        </is>
      </c>
      <c r="BF364" s="63" t="inlineStr">
        <is>
          <t>N/A</t>
        </is>
      </c>
      <c r="BG364" s="75" t="inlineStr">
        <is>
          <t>CITIC Securities (Hong Kong) Limited; CLSA Limited</t>
        </is>
      </c>
      <c r="BH364" s="63" t="inlineStr">
        <is>
          <t>CITIC Securities (Hong Kong) Limited</t>
        </is>
      </c>
      <c r="BI364" s="63"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3" t="inlineStr">
        <is>
          <t>ABCI Securities Company Limited; BOCOM International Securities Limited; CCB International Capital Limited; CLSA Limited; China Renaissance Securities (Hong Kong) Limited; Fosun International Securities Limited; GF Securities (Hong Kong) Brokerage Limited</t>
        </is>
      </c>
      <c r="BK364" s="77">
        <f>HYPERLINK("https://www1.hkexnews.hk/listedco/listconews/sehk/2025/0911/2025091100031.pdf","prospectus")</f>
        <v/>
      </c>
      <c r="BL364" s="77">
        <f>HYPERLINK("https://www1.hkexnews.hk/listedco/listconews/sehk/2025/0918/2025091801757.pdf","allotment")</f>
        <v/>
      </c>
      <c r="BM364" s="77">
        <f>HYPERLINK("https://www1.hkexnews.hk/listedco/listconews/sehk/2025/1016/2025101601000.pdf","stabilisation")</f>
        <v/>
      </c>
      <c r="BN364" s="75" t="n"/>
      <c r="BO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v>62.01</v>
      </c>
      <c r="L365" s="66" t="n">
        <v>71.2</v>
      </c>
      <c r="M365" s="66" t="n">
        <v>71.2</v>
      </c>
      <c r="N365" s="63" t="inlineStr">
        <is>
          <t>Y</t>
        </is>
      </c>
      <c r="O365" s="67" t="n">
        <v>100</v>
      </c>
      <c r="P365" s="67" t="n">
        <v>100</v>
      </c>
      <c r="Q365" s="68" t="n">
        <v>6461.5</v>
      </c>
      <c r="R365" s="63" t="inlineStr">
        <is>
          <t>derived:price x shares upon listing</t>
        </is>
      </c>
      <c r="S365" s="69" t="n">
        <v>3317.47</v>
      </c>
      <c r="T365" s="70" t="n">
        <v>7.37</v>
      </c>
      <c r="U365" s="71" t="n">
        <v>14.96</v>
      </c>
      <c r="V365" s="67" t="n">
        <v>10.29</v>
      </c>
      <c r="W365" s="63" t="inlineStr">
        <is>
          <t>Cithara Fund; Great Praise</t>
        </is>
      </c>
      <c r="X365" s="63" t="inlineStr">
        <is>
          <t>cithara;great-praise</t>
        </is>
      </c>
      <c r="Y365" s="67" t="n">
        <v>5.95</v>
      </c>
      <c r="Z365" s="63" t="n"/>
      <c r="AA365" s="72" t="n">
        <v>43.96</v>
      </c>
      <c r="AB365" s="73" t="n">
        <v>41.01</v>
      </c>
      <c r="AC365" s="73" t="n">
        <v>2.09</v>
      </c>
      <c r="AD365" s="73" t="n">
        <v>46.07</v>
      </c>
      <c r="AE365" s="73" t="n">
        <v>36.31</v>
      </c>
      <c r="AF365" s="73" t="n">
        <v>44.66</v>
      </c>
      <c r="AG365" s="73" t="n">
        <v>1.47</v>
      </c>
      <c r="AH365" s="73" t="n">
        <v>-5.31</v>
      </c>
      <c r="AI365" s="73" t="n">
        <v>0.49</v>
      </c>
      <c r="AJ365" s="73" t="n">
        <v>43.57</v>
      </c>
      <c r="AK365" s="73" t="n">
        <v>38.3</v>
      </c>
      <c r="AL365" s="73" t="n">
        <v>53.02</v>
      </c>
      <c r="AM365" s="73" t="n">
        <v>-4.43</v>
      </c>
      <c r="AN365" s="73" t="n">
        <v>-1.99</v>
      </c>
      <c r="AO365" s="73" t="n">
        <v>-0.88</v>
      </c>
      <c r="AP365" s="63" t="inlineStr">
        <is>
          <t>Hang Seng Commerce &amp; Industry sub-index</t>
        </is>
      </c>
      <c r="AQ365" s="73" t="n">
        <v>-37.11</v>
      </c>
      <c r="AR365" s="64" t="inlineStr">
        <is>
          <t>2026-08-24</t>
        </is>
      </c>
      <c r="AS365" s="65" t="n">
        <v>1373.8</v>
      </c>
      <c r="AT365" s="68" t="n">
        <v>64.40000000000001</v>
      </c>
      <c r="AU365" s="63" t="inlineStr">
        <is>
          <t>Y</t>
        </is>
      </c>
      <c r="AV365" s="74" t="n">
        <v>100.3</v>
      </c>
      <c r="AW365" s="74" t="n"/>
      <c r="AX365" s="74" t="n"/>
      <c r="AY365" s="74" t="n">
        <v>4.7</v>
      </c>
      <c r="AZ365" s="75" t="inlineStr">
        <is>
          <t>N</t>
        </is>
      </c>
      <c r="BA365" s="76">
        <f>IF('BBG Verify'!K365="","not filed — run on terminal",'BBG Verify'!K365)</f>
        <v/>
      </c>
      <c r="BB365" s="63" t="inlineStr">
        <is>
          <t>N/A</t>
        </is>
      </c>
      <c r="BC365" s="63" t="inlineStr">
        <is>
          <t>N/A</t>
        </is>
      </c>
      <c r="BD365" s="63" t="inlineStr">
        <is>
          <t>N/A</t>
        </is>
      </c>
      <c r="BE365" s="63" t="inlineStr">
        <is>
          <t>N/A</t>
        </is>
      </c>
      <c r="BF365" s="63" t="inlineStr">
        <is>
          <t>N/A</t>
        </is>
      </c>
      <c r="BG365" s="75" t="inlineStr">
        <is>
          <t>CITIC Securities (Hong Kong) Limited; Haitong International Capital Limited</t>
        </is>
      </c>
      <c r="BH365" s="63" t="inlineStr">
        <is>
          <t>Haitong International Capital Limited; CITIC Securities (Hong Kong) Limited</t>
        </is>
      </c>
      <c r="BI365" s="63" t="inlineStr">
        <is>
          <t>CLSA Limited; Haitong International Securities Company Limited; Futu Securities International (Hong Kong) Limited; SPDB International Capital Limited; Livermore Holdings Limited; Patrons Securities Limited</t>
        </is>
      </c>
      <c r="BJ365" s="63" t="inlineStr">
        <is>
          <t>CLSA Limited; Futu Securities International (Hong Kong) Limited; Huatai Financial Holdings (Hong Kong) Limited; Haitong International Securities Company Limited; Livermore Holdings Limited; Patrons Securities Limited; SPDB International Capital Limited</t>
        </is>
      </c>
      <c r="BK365" s="77">
        <f>HYPERLINK("https://www1.hkexnews.hk/listedco/listconews/sehk/2025/0915/2025091500009.pdf","prospectus")</f>
        <v/>
      </c>
      <c r="BL365" s="77">
        <f>HYPERLINK("https://www1.hkexnews.hk/listedco/listconews/sehk/2025/0922/2025092201984.pdf","allotment")</f>
        <v/>
      </c>
      <c r="BM365" s="63" t="n"/>
      <c r="BN365" s="75" t="n"/>
      <c r="BO365" s="63" t="inlineStr">
        <is>
          <t>greenshoe: end-of-stabilisation notice not located · A/H: no A-share listing</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7" t="n">
        <v>2.85</v>
      </c>
      <c r="W366" s="63" t="inlineStr">
        <is>
          <t>HHLR Advisors, Ltd; Martis Fund, L.P; Xingyu Automotive Lighting (Hong Kong) Company Limited; Gotion; HK Greenwoods; Horizon Together; Dajia Life; Tulip Fund, L.P; CICC FT; GF Global Capital Limited</t>
        </is>
      </c>
      <c r="X366" s="63" t="inlineStr">
        <is>
          <t>hhlr;martis;xingyu;gotion;greenwoods;horizon;dajia;tulip;china-international;gf</t>
        </is>
      </c>
      <c r="Y366" s="67" t="n">
        <v>15</v>
      </c>
      <c r="Z366" s="63" t="inlineStr">
        <is>
          <t>partial</t>
        </is>
      </c>
      <c r="AA366" s="72" t="n">
        <v>3.8</v>
      </c>
      <c r="AB366" s="73" t="n">
        <v>11.22</v>
      </c>
      <c r="AC366" s="73" t="n">
        <v>-6.67</v>
      </c>
      <c r="AD366" s="73" t="n">
        <v>3.67</v>
      </c>
      <c r="AE366" s="73" t="n">
        <v>6.41</v>
      </c>
      <c r="AF366" s="73" t="n">
        <v>-0.16</v>
      </c>
      <c r="AG366" s="73" t="n">
        <v>-0.13</v>
      </c>
      <c r="AH366" s="73" t="n">
        <v>2.51</v>
      </c>
      <c r="AI366" s="73" t="n">
        <v>-3.82</v>
      </c>
      <c r="AJ366" s="73" t="n">
        <v>0.61</v>
      </c>
      <c r="AK366" s="73" t="n">
        <v>9.49</v>
      </c>
      <c r="AL366" s="73" t="n">
        <v>9.07</v>
      </c>
      <c r="AM366" s="73" t="n">
        <v>5.94</v>
      </c>
      <c r="AN366" s="73" t="n">
        <v>-3.08</v>
      </c>
      <c r="AO366" s="73" t="n">
        <v>-3.43</v>
      </c>
      <c r="AP366" s="63" t="inlineStr">
        <is>
          <t>Hang Seng Commerce &amp; Industry sub-index</t>
        </is>
      </c>
      <c r="AQ366" s="73" t="n">
        <v>-16.94</v>
      </c>
      <c r="AR366" s="64" t="inlineStr">
        <is>
          <t>2026-08-20</t>
        </is>
      </c>
      <c r="AS366" s="65" t="n">
        <v>296886.7</v>
      </c>
      <c r="AT366" s="68" t="n">
        <v>15548.5</v>
      </c>
      <c r="AU366" s="63" t="inlineStr">
        <is>
          <t>Y</t>
        </is>
      </c>
      <c r="AV366" s="74" t="n">
        <v>10.3</v>
      </c>
      <c r="AW366" s="74" t="n">
        <v>10</v>
      </c>
      <c r="AX366" s="74" t="n">
        <v>6.5</v>
      </c>
      <c r="AY366" s="74" t="n">
        <v>0.5</v>
      </c>
      <c r="AZ366" s="75" t="inlineStr">
        <is>
          <t>N</t>
        </is>
      </c>
      <c r="BA366" s="76">
        <f>IF('BBG Verify'!K366="","not filed — run on terminal",'BBG Verify'!K366)</f>
        <v/>
      </c>
      <c r="BB366" s="63" t="inlineStr">
        <is>
          <t>N/A</t>
        </is>
      </c>
      <c r="BC366" s="63" t="inlineStr">
        <is>
          <t>N/A</t>
        </is>
      </c>
      <c r="BD366" s="63" t="inlineStr">
        <is>
          <t>N/A</t>
        </is>
      </c>
      <c r="BE366" s="63" t="inlineStr">
        <is>
          <t>N/A</t>
        </is>
      </c>
      <c r="BF366" s="63" t="inlineStr">
        <is>
          <t>N/A</t>
        </is>
      </c>
      <c r="BG366" s="75" t="inlineStr">
        <is>
          <t>China International Capital Corporation Hong Kong Securities Limited; Huatai Financial Holdings (Hong Kong) Limited; GF Capital (Hong Kong) Limited</t>
        </is>
      </c>
      <c r="BH366" s="63" t="inlineStr">
        <is>
          <t>China International Capital Corporation Hong Kong Securities Limited; Huatai Financial Holdings (Hong Kong) Limited; GF Capital (Hong Kong) Limited</t>
        </is>
      </c>
      <c r="BI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7">
        <f>HYPERLINK("https://www1.hkexnews.hk/listedco/listconews/sehk/2025/0917/2025091700013.pdf","prospectus")</f>
        <v/>
      </c>
      <c r="BL366" s="77">
        <f>HYPERLINK("https://www1.hkexnews.hk/listedco/listconews/sehk/2025/0924/2025092401262.pdf","allotment")</f>
        <v/>
      </c>
      <c r="BM366" s="77">
        <f>HYPERLINK("https://www1.hkexnews.hk/listedco/listconews/sehk/2025/1022/2025102201148.pdf","stabilisation")</f>
        <v/>
      </c>
      <c r="BN366" s="75" t="n"/>
      <c r="BO366" s="63" t="inlineStr">
        <is>
          <t>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c r="L367" s="66" t="n">
        <v>29.6</v>
      </c>
      <c r="M367" s="66" t="n">
        <v>29.6</v>
      </c>
      <c r="N367" s="63" t="inlineStr">
        <is>
          <t>Y</t>
        </is>
      </c>
      <c r="O367" s="67" t="n">
        <v>100</v>
      </c>
      <c r="P367" s="67" t="n"/>
      <c r="Q367" s="68" t="n">
        <v>1741.2</v>
      </c>
      <c r="R367" s="63" t="inlineStr">
        <is>
          <t>derived:price x shares upon listing</t>
        </is>
      </c>
      <c r="S367" s="69" t="n">
        <v>2505.9</v>
      </c>
      <c r="T367" s="70" t="n">
        <v>3.9</v>
      </c>
      <c r="U367" s="71" t="n"/>
      <c r="V367" s="67" t="n"/>
      <c r="W367" s="63" t="inlineStr">
        <is>
          <t>Ms. Fan; Jinyingu Investment</t>
        </is>
      </c>
      <c r="X367" s="63" t="inlineStr">
        <is>
          <t>ms-fan;jinyingu</t>
        </is>
      </c>
      <c r="Y367" s="67" t="n"/>
      <c r="Z367" s="63" t="n"/>
      <c r="AA367" s="72" t="n">
        <v>258.11</v>
      </c>
      <c r="AB367" s="73" t="n">
        <v>183.78</v>
      </c>
      <c r="AC367" s="73" t="n">
        <v>26.19</v>
      </c>
      <c r="AD367" s="73" t="n">
        <v>457.43</v>
      </c>
      <c r="AE367" s="73" t="n">
        <v>456.42</v>
      </c>
      <c r="AF367" s="73" t="n">
        <v>467.23</v>
      </c>
      <c r="AG367" s="73" t="n">
        <v>55.66</v>
      </c>
      <c r="AH367" s="73" t="n">
        <v>55.38</v>
      </c>
      <c r="AI367" s="73" t="n">
        <v>58.4</v>
      </c>
      <c r="AJ367" s="73" t="n">
        <v>456.21</v>
      </c>
      <c r="AK367" s="73" t="n">
        <v>461.42</v>
      </c>
      <c r="AL367" s="73" t="n">
        <v>474.36</v>
      </c>
      <c r="AM367" s="73" t="n">
        <v>61.55</v>
      </c>
      <c r="AN367" s="73" t="n">
        <v>-5</v>
      </c>
      <c r="AO367" s="73" t="n">
        <v>-6.17</v>
      </c>
      <c r="AP367" s="63" t="inlineStr">
        <is>
          <t>Hang Seng Commerce &amp; Industry sub-index</t>
        </is>
      </c>
      <c r="AQ367" s="73" t="n">
        <v>99.16</v>
      </c>
      <c r="AR367" s="64" t="inlineStr">
        <is>
          <t>2026-08-20</t>
        </is>
      </c>
      <c r="AS367" s="65" t="n">
        <v>502.2</v>
      </c>
      <c r="AT367" s="68" t="n">
        <v>54.3</v>
      </c>
      <c r="AU367" s="63" t="inlineStr">
        <is>
          <t>Y</t>
        </is>
      </c>
      <c r="AV367" s="74" t="n">
        <v>32.1</v>
      </c>
      <c r="AW367" s="74" t="n"/>
      <c r="AX367" s="74" t="n">
        <v>25</v>
      </c>
      <c r="AY367" s="74" t="n">
        <v>3.5</v>
      </c>
      <c r="AZ367" s="75" t="inlineStr">
        <is>
          <t>N</t>
        </is>
      </c>
      <c r="BA367" s="76">
        <f>IF('BBG Verify'!K367="","not filed — run on terminal",'BBG Verify'!K367)</f>
        <v/>
      </c>
      <c r="BB367" s="63" t="inlineStr">
        <is>
          <t>N/A</t>
        </is>
      </c>
      <c r="BC367" s="63" t="inlineStr">
        <is>
          <t>N/A</t>
        </is>
      </c>
      <c r="BD367" s="63" t="inlineStr">
        <is>
          <t>N/A</t>
        </is>
      </c>
      <c r="BE367" s="63" t="inlineStr">
        <is>
          <t>N/A</t>
        </is>
      </c>
      <c r="BF367" s="63" t="inlineStr">
        <is>
          <t>N/A</t>
        </is>
      </c>
      <c r="BG367" s="75" t="inlineStr">
        <is>
          <t>Ping An of China Capital (Hong Kong) Company Limited</t>
        </is>
      </c>
      <c r="BH367" s="63" t="inlineStr">
        <is>
          <t>Ping An of China Capital (Hong Kong) Company Limited</t>
        </is>
      </c>
      <c r="BI367" s="63" t="inlineStr">
        <is>
          <t>Ping An Securities (Hong Kong) Company Limited; A VICT Global Asset Management Limited; uSMART Securities Limited; ABCI Capital Limited</t>
        </is>
      </c>
      <c r="BJ367" s="63" t="inlineStr">
        <is>
          <t>ABCI Securities Company Limited; AVICT Global Asset Management Limited; Ping An Securities (Hong Kong) Company Limited; Patrons Securities Limited; Ruibang Securities Limited</t>
        </is>
      </c>
      <c r="BK367" s="77">
        <f>HYPERLINK("https://www1.hkexnews.hk/listedco/listconews/sehk/2025/0919/2025091900019.pdf","prospectus")</f>
        <v/>
      </c>
      <c r="BL367" s="77">
        <f>HYPERLINK("https://www1.hkexnews.hk/listedco/listconews/sehk/2025/0929/2025092902274.pdf","allotment")</f>
        <v/>
      </c>
      <c r="BM367" s="63" t="n"/>
      <c r="BN367" s="75" t="n"/>
      <c r="BO367" s="63"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4000</v>
      </c>
      <c r="R368" s="63" t="inlineStr">
        <is>
          <t>prospectus:stated market capitalisation</t>
        </is>
      </c>
      <c r="S368" s="69" t="n">
        <v>529.79</v>
      </c>
      <c r="T368" s="70" t="n">
        <v>3.72</v>
      </c>
      <c r="U368" s="71" t="n">
        <v>22.8</v>
      </c>
      <c r="V368" s="67" t="n">
        <v>20.59</v>
      </c>
      <c r="W368" s="63" t="n"/>
      <c r="X368" s="63" t="n"/>
      <c r="Y368" s="67" t="n">
        <v>7</v>
      </c>
      <c r="Z368" s="63" t="n"/>
      <c r="AA368" s="72" t="n">
        <v>53.58</v>
      </c>
      <c r="AB368" s="73" t="n">
        <v>32.06</v>
      </c>
      <c r="AC368" s="73" t="n">
        <v>16.3</v>
      </c>
      <c r="AD368" s="73" t="n">
        <v>98.95999999999999</v>
      </c>
      <c r="AE368" s="73" t="n">
        <v>68.05</v>
      </c>
      <c r="AF368" s="73" t="n">
        <v>110.51</v>
      </c>
      <c r="AG368" s="73" t="n">
        <v>29.55</v>
      </c>
      <c r="AH368" s="73" t="n">
        <v>9.42</v>
      </c>
      <c r="AI368" s="73" t="n">
        <v>37.07</v>
      </c>
      <c r="AJ368" s="73" t="n">
        <v>97.73999999999999</v>
      </c>
      <c r="AK368" s="73" t="n">
        <v>73.05</v>
      </c>
      <c r="AL368" s="73" t="n">
        <v>117.64</v>
      </c>
      <c r="AM368" s="73" t="n">
        <v>15.59</v>
      </c>
      <c r="AN368" s="73" t="n">
        <v>-5</v>
      </c>
      <c r="AO368" s="73" t="n">
        <v>-6.17</v>
      </c>
      <c r="AP368" s="63" t="inlineStr">
        <is>
          <t>Hang Seng Commerce &amp; Industry sub-index</t>
        </is>
      </c>
      <c r="AQ368" s="73" t="n">
        <v>66.48999999999999</v>
      </c>
      <c r="AR368" s="64" t="inlineStr">
        <is>
          <t>2026-08-20</t>
        </is>
      </c>
      <c r="AS368" s="65" t="n">
        <v>2154.9</v>
      </c>
      <c r="AT368" s="68" t="n">
        <v>-594.9</v>
      </c>
      <c r="AU368" s="63" t="inlineStr">
        <is>
          <t>N</t>
        </is>
      </c>
      <c r="AV368" s="63" t="inlineStr">
        <is>
          <t>n/m</t>
        </is>
      </c>
      <c r="AW368" s="74" t="n"/>
      <c r="AX368" s="74" t="n"/>
      <c r="AY368" s="74" t="n">
        <v>1.9</v>
      </c>
      <c r="AZ368" s="75" t="inlineStr">
        <is>
          <t>N</t>
        </is>
      </c>
      <c r="BA368" s="76">
        <f>IF('BBG Verify'!K368="","not filed — run on terminal",'BBG Verify'!K368)</f>
        <v/>
      </c>
      <c r="BB368" s="63" t="inlineStr">
        <is>
          <t>N/A</t>
        </is>
      </c>
      <c r="BC368" s="63" t="inlineStr">
        <is>
          <t>N/A</t>
        </is>
      </c>
      <c r="BD368" s="63" t="inlineStr">
        <is>
          <t>N/A</t>
        </is>
      </c>
      <c r="BE368" s="63" t="inlineStr">
        <is>
          <t>N/A</t>
        </is>
      </c>
      <c r="BF368" s="63" t="inlineStr">
        <is>
          <t>N/A</t>
        </is>
      </c>
      <c r="BG368" s="75" t="inlineStr">
        <is>
          <t>China International Capital Corporation Hong Kong Securities Limited; Guotai Junan Capital Limited; CMB International Capital Limited; Huatai Financial Holdings (Hong Kong) Limited; CITIC Securities (Hong Kong) Limited</t>
        </is>
      </c>
      <c r="BH368" s="63" t="inlineStr">
        <is>
          <t>China International Capital Corporation Hong Kong Securities Limited; Huatai Financial Holdings (Hong Kong) Limited; CITIC Securities (Hong Kong) Limited; Guotai Junan Capital Limited; CMB International Capital Limited</t>
        </is>
      </c>
      <c r="BI368" s="63"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7">
        <f>HYPERLINK("https://www1.hkexnews.hk/listedco/listconews/sehk/2025/0922/2025092200011.pdf","prospectus")</f>
        <v/>
      </c>
      <c r="BL368" s="77">
        <f>HYPERLINK("https://www1.hkexnews.hk/listedco/listconews/sehk/2025/0929/2025092903622.pdf","allotment")</f>
        <v/>
      </c>
      <c r="BM368" s="63" t="n"/>
      <c r="BN368" s="75" t="n"/>
      <c r="BO368" s="63"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7" t="n">
        <v>13.08</v>
      </c>
      <c r="W369" s="63" t="inlineStr">
        <is>
          <t>UBS AM Singapore</t>
        </is>
      </c>
      <c r="X369" s="63" t="inlineStr">
        <is>
          <t>ubs</t>
        </is>
      </c>
      <c r="Y369" s="67" t="n">
        <v>5</v>
      </c>
      <c r="Z369" s="63" t="n"/>
      <c r="AA369" s="72" t="n">
        <v>68.45999999999999</v>
      </c>
      <c r="AB369" s="73" t="n">
        <v>55.75</v>
      </c>
      <c r="AC369" s="73" t="n">
        <v>8.16</v>
      </c>
      <c r="AD369" s="73" t="n">
        <v>97.37</v>
      </c>
      <c r="AE369" s="73" t="n">
        <v>81.45</v>
      </c>
      <c r="AF369" s="73" t="n">
        <v>100.73</v>
      </c>
      <c r="AG369" s="73" t="n">
        <v>17.16</v>
      </c>
      <c r="AH369" s="73" t="n">
        <v>7.71</v>
      </c>
      <c r="AI369" s="73" t="n">
        <v>19.16</v>
      </c>
      <c r="AJ369" s="73" t="n">
        <v>96.15000000000001</v>
      </c>
      <c r="AK369" s="73" t="n">
        <v>86.45</v>
      </c>
      <c r="AL369" s="73" t="n">
        <v>107.86</v>
      </c>
      <c r="AM369" s="73" t="n">
        <v>13.88</v>
      </c>
      <c r="AN369" s="73" t="n">
        <v>-5</v>
      </c>
      <c r="AO369" s="73" t="n">
        <v>-6.17</v>
      </c>
      <c r="AP369" s="63" t="inlineStr">
        <is>
          <t>Hang Seng Commerce &amp; Industry sub-index</t>
        </is>
      </c>
      <c r="AQ369" s="73" t="n">
        <v>107.15</v>
      </c>
      <c r="AR369" s="64" t="inlineStr">
        <is>
          <t>2026-08-20</t>
        </is>
      </c>
      <c r="AS369" s="65" t="n">
        <v>23293</v>
      </c>
      <c r="AT369" s="68" t="n">
        <v>4840.7</v>
      </c>
      <c r="AU369" s="63" t="inlineStr">
        <is>
          <t>Y</t>
        </is>
      </c>
      <c r="AV369" s="74" t="n">
        <v>38.8</v>
      </c>
      <c r="AW369" s="74" t="n">
        <v>21.6</v>
      </c>
      <c r="AX369" s="74" t="n">
        <v>14.3</v>
      </c>
      <c r="AY369" s="74" t="n">
        <v>8.1</v>
      </c>
      <c r="AZ369" s="75" t="inlineStr">
        <is>
          <t>N</t>
        </is>
      </c>
      <c r="BA369" s="76">
        <f>IF('BBG Verify'!K369="","not filed — run on terminal",'BBG Verify'!K369)</f>
        <v/>
      </c>
      <c r="BB369" s="63" t="inlineStr">
        <is>
          <t>N/A</t>
        </is>
      </c>
      <c r="BC369" s="63" t="inlineStr">
        <is>
          <t>N/A</t>
        </is>
      </c>
      <c r="BD369" s="63" t="inlineStr">
        <is>
          <t>N/A</t>
        </is>
      </c>
      <c r="BE369" s="63" t="inlineStr">
        <is>
          <t>N/A</t>
        </is>
      </c>
      <c r="BF369" s="63" t="inlineStr">
        <is>
          <t>N/A</t>
        </is>
      </c>
      <c r="BG369" s="75" t="inlineStr">
        <is>
          <t>Morgan Stanley Asia Limited; CITIC Securities (Hong Kong) Limited</t>
        </is>
      </c>
      <c r="BH369" s="63" t="inlineStr">
        <is>
          <t>Morgan Stanley Asia Limited; CITIC Securities (Hong Kong) Limited</t>
        </is>
      </c>
      <c r="BI369" s="63" t="inlineStr">
        <is>
          <t>Morgan Stanley &amp; Co. International plc; Canary Wharf London E14 4QA United Kingdom CLSA Limited; GF Securities (Hong Kong) Brokerage Limited; Huatai Financial Holdings (Hong Kong) Limited</t>
        </is>
      </c>
      <c r="BJ369" s="63" t="inlineStr">
        <is>
          <t>China Industrial Securities International Capital Limited; CLSA Limited; GF Securities (Hong Kong) Brokerage Limited; Huatai Financial Holdings (Hong Kong) Limited; Macquarie Capital Limited; Morgan Stanley Asia Limited</t>
        </is>
      </c>
      <c r="BK369" s="77">
        <f>HYPERLINK("https://www1.hkexnews.hk/listedco/listconews/sehk/2025/0919/2025091900073.pdf","prospectus")</f>
        <v/>
      </c>
      <c r="BL369" s="77">
        <f>HYPERLINK("https://www1.hkexnews.hk/listedco/listconews/sehk/2025/0929/2025092903788.pdf","allotment")</f>
        <v/>
      </c>
      <c r="BM369" s="63" t="n"/>
      <c r="BN369" s="75" t="n"/>
      <c r="BO369" s="63" t="inlineStr">
        <is>
          <t>greenshoe: end-of-stabilisation notice not located · range low: cap-only pricing — the filing publishes a Maximum Offer Price and no indicative floor · A/H: no A-share listing</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7" t="n"/>
      <c r="W370" s="63" t="inlineStr">
        <is>
          <t>Shanghai Yangtze River Delta Industry Upgrade Equity Investment</t>
        </is>
      </c>
      <c r="X370" s="63" t="inlineStr">
        <is>
          <t>shanghai-yangtze</t>
        </is>
      </c>
      <c r="Y370" s="67" t="n"/>
      <c r="Z370" s="63" t="n"/>
      <c r="AA370" s="72" t="n">
        <v>161.02</v>
      </c>
      <c r="AB370" s="73" t="n">
        <v>218.64</v>
      </c>
      <c r="AC370" s="73" t="n">
        <v>-18.08</v>
      </c>
      <c r="AD370" s="73" t="n">
        <v>94.58</v>
      </c>
      <c r="AE370" s="73" t="n">
        <v>89.83</v>
      </c>
      <c r="AF370" s="73" t="n">
        <v>112.88</v>
      </c>
      <c r="AG370" s="73" t="n">
        <v>-25.45</v>
      </c>
      <c r="AH370" s="73" t="n">
        <v>-27.27</v>
      </c>
      <c r="AI370" s="73" t="n">
        <v>-18.44</v>
      </c>
      <c r="AJ370" s="73" t="n">
        <v>103.84</v>
      </c>
      <c r="AK370" s="73" t="n">
        <v>102.26</v>
      </c>
      <c r="AL370" s="73" t="n">
        <v>122.87</v>
      </c>
      <c r="AM370" s="73" t="n">
        <v>-13.89</v>
      </c>
      <c r="AN370" s="73" t="n">
        <v>-12.43</v>
      </c>
      <c r="AO370" s="73" t="n">
        <v>-13.38</v>
      </c>
      <c r="AP370" s="63" t="inlineStr">
        <is>
          <t>China Biotech ETF (HS biotech proxy)</t>
        </is>
      </c>
      <c r="AQ370" s="73" t="n">
        <v>3.05</v>
      </c>
      <c r="AR370" s="64" t="inlineStr">
        <is>
          <t>2026-08-21</t>
        </is>
      </c>
      <c r="AS370" s="65" t="n">
        <v>668.5</v>
      </c>
      <c r="AT370" s="68" t="n"/>
      <c r="AU370" s="63" t="inlineStr">
        <is>
          <t>Y</t>
        </is>
      </c>
      <c r="AV370" s="78">
        <f>IF('BBG Verify'!O370="","not filed — run on terminal",'BBG Verify'!O370)</f>
        <v/>
      </c>
      <c r="AW370" s="74" t="n"/>
      <c r="AX370" s="74" t="n"/>
      <c r="AY370" s="74" t="n">
        <v>9.1</v>
      </c>
      <c r="AZ370" s="75" t="inlineStr">
        <is>
          <t>N</t>
        </is>
      </c>
      <c r="BA370" s="76">
        <f>IF('BBG Verify'!K370="","not filed — run on terminal",'BBG Verify'!K370)</f>
        <v/>
      </c>
      <c r="BB370" s="63" t="inlineStr">
        <is>
          <t>N/A</t>
        </is>
      </c>
      <c r="BC370" s="63" t="inlineStr">
        <is>
          <t>N/A</t>
        </is>
      </c>
      <c r="BD370" s="63" t="inlineStr">
        <is>
          <t>N/A</t>
        </is>
      </c>
      <c r="BE370" s="63" t="inlineStr">
        <is>
          <t>N/A</t>
        </is>
      </c>
      <c r="BF370" s="63" t="inlineStr">
        <is>
          <t>N/A</t>
        </is>
      </c>
      <c r="BG370" s="75" t="inlineStr">
        <is>
          <t>CITIC Securities (Hong Kong) Limited; CMB International Capital Limited</t>
        </is>
      </c>
      <c r="BH370" s="63" t="inlineStr">
        <is>
          <t>CITIC Securities (Hong Kong) Limited</t>
        </is>
      </c>
      <c r="BI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7">
        <f>HYPERLINK("https://www1.hkexnews.hk/listedco/listconews/sehk/2025/0926/2025092600041.pdf","prospectus")</f>
        <v/>
      </c>
      <c r="BL370" s="77">
        <f>HYPERLINK("https://www1.hkexnews.hk/listedco/listconews/sehk/2025/1006/2025100601430.pdf","allotment")</f>
        <v/>
      </c>
      <c r="BM370" s="63" t="n"/>
      <c r="BN370" s="75" t="n"/>
      <c r="BO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c r="L371" s="66" t="n">
        <v>83.63</v>
      </c>
      <c r="M371" s="66" t="n">
        <v>66.92</v>
      </c>
      <c r="N371" s="63" t="inlineStr">
        <is>
          <t>N</t>
        </is>
      </c>
      <c r="O371" s="67" t="n">
        <v>80</v>
      </c>
      <c r="P371" s="67" t="n"/>
      <c r="Q371" s="68" t="n">
        <v>4001.1</v>
      </c>
      <c r="R371" s="63" t="inlineStr">
        <is>
          <t>derived:price x shares upon listing</t>
        </is>
      </c>
      <c r="S371" s="69" t="n">
        <v>5440.8</v>
      </c>
      <c r="T371" s="70" t="n">
        <v>2.37</v>
      </c>
      <c r="U371" s="71" t="n">
        <v>0</v>
      </c>
      <c r="V371" s="67" t="n">
        <v>10</v>
      </c>
      <c r="W371" s="63" t="n"/>
      <c r="X371" s="63" t="n"/>
      <c r="Y371" s="67" t="n">
        <v>11.33</v>
      </c>
      <c r="Z371" s="63" t="inlineStr">
        <is>
          <t>lapsed</t>
        </is>
      </c>
      <c r="AA371" s="72" t="n">
        <v>192.14</v>
      </c>
      <c r="AB371" s="73" t="n">
        <v>183.92</v>
      </c>
      <c r="AC371" s="73" t="n">
        <v>2.9</v>
      </c>
      <c r="AD371" s="73" t="n">
        <v>171.22</v>
      </c>
      <c r="AE371" s="73" t="n">
        <v>167.04</v>
      </c>
      <c r="AF371" s="73" t="n">
        <v>258.64</v>
      </c>
      <c r="AG371" s="73" t="n">
        <v>-7.16</v>
      </c>
      <c r="AH371" s="73" t="n">
        <v>-8.59</v>
      </c>
      <c r="AI371" s="73" t="n">
        <v>22.76</v>
      </c>
      <c r="AJ371" s="73" t="n">
        <v>179.37</v>
      </c>
      <c r="AK371" s="73" t="n">
        <v>172.3</v>
      </c>
      <c r="AL371" s="73" t="n">
        <v>265.13</v>
      </c>
      <c r="AM371" s="73" t="n">
        <v>-5.91</v>
      </c>
      <c r="AN371" s="73" t="n">
        <v>-5.26</v>
      </c>
      <c r="AO371" s="73" t="n">
        <v>-2.68</v>
      </c>
      <c r="AP371" s="63" t="inlineStr">
        <is>
          <t>Hang Seng Commerce &amp; Industry sub-index</t>
        </is>
      </c>
      <c r="AQ371" s="73" t="n">
        <v>-22.82</v>
      </c>
      <c r="AR371" s="64" t="inlineStr">
        <is>
          <t>2026-08-24</t>
        </is>
      </c>
      <c r="AS371" s="65" t="n">
        <v>652.7</v>
      </c>
      <c r="AT371" s="68" t="n">
        <v>-259.5</v>
      </c>
      <c r="AU371" s="63" t="inlineStr">
        <is>
          <t>N</t>
        </is>
      </c>
      <c r="AV371" s="63" t="inlineStr">
        <is>
          <t>n/m</t>
        </is>
      </c>
      <c r="AW371" s="74" t="n"/>
      <c r="AX371" s="74" t="n"/>
      <c r="AY371" s="74" t="n">
        <v>6.1</v>
      </c>
      <c r="AZ371" s="75" t="inlineStr">
        <is>
          <t>N</t>
        </is>
      </c>
      <c r="BA371" s="76">
        <f>IF('BBG Verify'!K371="","not filed — run on terminal",'BBG Verify'!K371)</f>
        <v/>
      </c>
      <c r="BB371" s="63" t="inlineStr">
        <is>
          <t>N/A</t>
        </is>
      </c>
      <c r="BC371" s="63" t="inlineStr">
        <is>
          <t>N/A</t>
        </is>
      </c>
      <c r="BD371" s="63" t="inlineStr">
        <is>
          <t>N/A</t>
        </is>
      </c>
      <c r="BE371" s="63" t="inlineStr">
        <is>
          <t>N/A</t>
        </is>
      </c>
      <c r="BF371" s="63" t="inlineStr">
        <is>
          <t>N/A</t>
        </is>
      </c>
      <c r="BG371" s="75" t="inlineStr">
        <is>
          <t>Shenwan Hongyuan Capital (H.K.) Limited</t>
        </is>
      </c>
      <c r="BH371" s="63" t="inlineStr">
        <is>
          <t>Shenwan Hongyuan Capital (H.K.) Limited</t>
        </is>
      </c>
      <c r="BI371" s="63" t="inlineStr">
        <is>
          <t>Shenwan Hongyuan Securities (H.K.) Limited; BOCOM International Securities Limited; First Shanghai Securities Limited; China Industrial Securities International Capital Limited; Livermore Holdings Limited; SPDB International Capital Limited</t>
        </is>
      </c>
      <c r="BJ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7">
        <f>HYPERLINK("https://www1.hkexnews.hk/listedco/listconews/sehk/2025/0930/2025093000033.pdf","prospectus")</f>
        <v/>
      </c>
      <c r="BL371" s="77">
        <f>HYPERLINK("https://www1.hkexnews.hk/listedco/listconews/sehk/2025/1009/2025100901252.pdf","allotment")</f>
        <v/>
      </c>
      <c r="BM371" s="77">
        <f>HYPERLINK("https://www1.hkexnews.hk/listedco/listconews/sehk/2025/1105/2025110500584.pdf","stabilisation")</f>
        <v/>
      </c>
      <c r="BN371" s="75" t="n"/>
      <c r="BO371" s="63" t="inlineStr">
        <is>
          <t>P/E: n/m — loss-making at IPO (use P/S) · range low: cap-only pricing — the filing publishes a Maximum Offer Price and no indicative floor · A/H: no A-share listing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7" t="n">
        <v>2.86</v>
      </c>
      <c r="W372" s="63" t="inlineStr">
        <is>
          <t>Xu Yanjun; Li Jia Kui</t>
        </is>
      </c>
      <c r="X372" s="63" t="inlineStr">
        <is>
          <t>xu-yanjun;li-jia</t>
        </is>
      </c>
      <c r="Y372" s="67" t="n">
        <v>15</v>
      </c>
      <c r="Z372" s="63" t="n"/>
      <c r="AA372" s="72" t="n">
        <v>126.72</v>
      </c>
      <c r="AB372" s="73" t="n">
        <v>153.97</v>
      </c>
      <c r="AC372" s="73" t="n">
        <v>-10.73</v>
      </c>
      <c r="AD372" s="73" t="n">
        <v>417.24</v>
      </c>
      <c r="AE372" s="73" t="n">
        <v>451.29</v>
      </c>
      <c r="AF372" s="73" t="n">
        <v>509.05</v>
      </c>
      <c r="AG372" s="73" t="n">
        <v>128.14</v>
      </c>
      <c r="AH372" s="73" t="n">
        <v>143.16</v>
      </c>
      <c r="AI372" s="73" t="n">
        <v>168.64</v>
      </c>
      <c r="AJ372" s="73" t="n">
        <v>416.05</v>
      </c>
      <c r="AK372" s="73" t="n">
        <v>448.13</v>
      </c>
      <c r="AL372" s="73" t="n">
        <v>508.14</v>
      </c>
      <c r="AM372" s="73" t="n">
        <v>141.98</v>
      </c>
      <c r="AN372" s="73" t="n">
        <v>3.16</v>
      </c>
      <c r="AO372" s="73" t="n">
        <v>1.18</v>
      </c>
      <c r="AP372" s="63" t="inlineStr">
        <is>
          <t>China Biotech ETF (HS biotech proxy)</t>
        </is>
      </c>
      <c r="AQ372" s="73" t="n">
        <v>-4.31</v>
      </c>
      <c r="AR372" s="64" t="inlineStr">
        <is>
          <t>2026-08-20</t>
        </is>
      </c>
      <c r="AS372" s="65" t="n">
        <v>17.6</v>
      </c>
      <c r="AT372" s="68" t="n">
        <v>-612.1</v>
      </c>
      <c r="AU372" s="63" t="inlineStr">
        <is>
          <t>N</t>
        </is>
      </c>
      <c r="AV372" s="63" t="inlineStr">
        <is>
          <t>n/m</t>
        </is>
      </c>
      <c r="AW372" s="74" t="n"/>
      <c r="AX372" s="74" t="n"/>
      <c r="AY372" s="74" t="n">
        <v>341.4</v>
      </c>
      <c r="AZ372" s="75" t="inlineStr">
        <is>
          <t>N</t>
        </is>
      </c>
      <c r="BA372" s="76">
        <f>IF('BBG Verify'!K372="","not filed — run on terminal",'BBG Verify'!K372)</f>
        <v/>
      </c>
      <c r="BB372" s="63" t="inlineStr">
        <is>
          <t>N/A</t>
        </is>
      </c>
      <c r="BC372" s="63" t="inlineStr">
        <is>
          <t>N/A</t>
        </is>
      </c>
      <c r="BD372" s="63" t="inlineStr">
        <is>
          <t>N/A</t>
        </is>
      </c>
      <c r="BE372" s="63" t="inlineStr">
        <is>
          <t>N/A</t>
        </is>
      </c>
      <c r="BF372" s="63" t="inlineStr">
        <is>
          <t>N/A</t>
        </is>
      </c>
      <c r="BG372" s="75" t="inlineStr">
        <is>
          <t>First Shanghai Capital Limited; CMB Wing Lung Bank Limited; China CITIC Bank International Limited; Ms. Wang Y u ( ˮρ) H Share Registrar Computershare Hong Kong Investor Services Limited</t>
        </is>
      </c>
      <c r="BH372" s="63" t="inlineStr">
        <is>
          <t>China International Capital Corporation Hong Kong Securities Limited</t>
        </is>
      </c>
      <c r="BI372" s="63" t="inlineStr">
        <is>
          <t>China International Capital Corporation Hong Kong Securities Limited; CMB International Capital Limited</t>
        </is>
      </c>
      <c r="BJ372" s="63" t="inlineStr">
        <is>
          <t>China International Capital Corporation Hong Kong Securities Limited; CMB International Capital Limited</t>
        </is>
      </c>
      <c r="BK372" s="77">
        <f>HYPERLINK("https://www1.hkexnews.hk/listedco/listconews/sehk/2025/1006/2025100600007.pdf","prospectus")</f>
        <v/>
      </c>
      <c r="BL372" s="77">
        <f>HYPERLINK("https://www1.hkexnews.hk/listedco/listconews/sehk/2025/1014/2025101401222.pdf","allotment")</f>
        <v/>
      </c>
      <c r="BM372" s="63" t="n"/>
      <c r="BN372" s="75" t="n"/>
      <c r="BO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6569</v>
      </c>
      <c r="R373" s="63" t="inlineStr">
        <is>
          <t>prospectus:stated market capitalisation</t>
        </is>
      </c>
      <c r="S373" s="69" t="n">
        <v>5657.2</v>
      </c>
      <c r="T373" s="70" t="n">
        <v>18.62</v>
      </c>
      <c r="U373" s="71" t="n"/>
      <c r="V373" s="67" t="n">
        <v>10.04</v>
      </c>
      <c r="W373" s="63" t="n"/>
      <c r="X373" s="63" t="n"/>
      <c r="Y373" s="67" t="n">
        <v>15</v>
      </c>
      <c r="Z373" s="63" t="inlineStr">
        <is>
          <t>full</t>
        </is>
      </c>
      <c r="AA373" s="72" t="n">
        <v>26.05</v>
      </c>
      <c r="AB373" s="73" t="n">
        <v>49.37</v>
      </c>
      <c r="AC373" s="73" t="n">
        <v>-15.61</v>
      </c>
      <c r="AD373" s="73" t="n">
        <v>29.18</v>
      </c>
      <c r="AE373" s="73" t="n">
        <v>18.2</v>
      </c>
      <c r="AF373" s="73" t="n">
        <v>23.74</v>
      </c>
      <c r="AG373" s="73" t="n">
        <v>2.48</v>
      </c>
      <c r="AH373" s="73" t="n">
        <v>-6.23</v>
      </c>
      <c r="AI373" s="73" t="n">
        <v>-1.83</v>
      </c>
      <c r="AJ373" s="73" t="n">
        <v>31.36</v>
      </c>
      <c r="AK373" s="73" t="n">
        <v>23.4</v>
      </c>
      <c r="AL373" s="73" t="n">
        <v>29.28</v>
      </c>
      <c r="AM373" s="73" t="n">
        <v>-2.15</v>
      </c>
      <c r="AN373" s="73" t="n">
        <v>-5.2</v>
      </c>
      <c r="AO373" s="73" t="n">
        <v>-4.08</v>
      </c>
      <c r="AP373" s="63" t="inlineStr">
        <is>
          <t>HSTECH (Hang Seng TECH ETF)</t>
        </is>
      </c>
      <c r="AQ373" s="73" t="n">
        <v>49.37</v>
      </c>
      <c r="AR373" s="64" t="inlineStr">
        <is>
          <t>2026-08-20</t>
        </is>
      </c>
      <c r="AS373" s="65" t="n">
        <v>269.3</v>
      </c>
      <c r="AT373" s="68" t="n">
        <v>-64</v>
      </c>
      <c r="AU373" s="63" t="inlineStr">
        <is>
          <t>N</t>
        </is>
      </c>
      <c r="AV373" s="63" t="inlineStr">
        <is>
          <t>n/m</t>
        </is>
      </c>
      <c r="AW373" s="74" t="n"/>
      <c r="AX373" s="74" t="n"/>
      <c r="AY373" s="74" t="n">
        <v>24.4</v>
      </c>
      <c r="AZ373" s="75" t="inlineStr">
        <is>
          <t>N</t>
        </is>
      </c>
      <c r="BA373" s="76">
        <f>IF('BBG Verify'!K373="","not filed — run on terminal",'BBG Verify'!K373)</f>
        <v/>
      </c>
      <c r="BB373" s="63" t="inlineStr">
        <is>
          <t>N/A</t>
        </is>
      </c>
      <c r="BC373" s="63" t="inlineStr">
        <is>
          <t>N/A</t>
        </is>
      </c>
      <c r="BD373" s="63" t="inlineStr">
        <is>
          <t>N/A</t>
        </is>
      </c>
      <c r="BE373" s="63" t="inlineStr">
        <is>
          <t>N/A</t>
        </is>
      </c>
      <c r="BF373" s="63" t="inlineStr">
        <is>
          <t>N/A</t>
        </is>
      </c>
      <c r="BG373" s="75" t="inlineStr">
        <is>
          <t>CITIC Securities (Hong Kong) Limited; CCB International Capital Limited</t>
        </is>
      </c>
      <c r="BH373" s="63" t="inlineStr">
        <is>
          <t>CCB International Capital Limited; CITIC Securities (Hong Kong) Limited</t>
        </is>
      </c>
      <c r="BI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7">
        <f>HYPERLINK("https://www1.hkexnews.hk/listedco/listconews/sehk/2025/1008/2025100800003.pdf","prospectus")</f>
        <v/>
      </c>
      <c r="BL373" s="77">
        <f>HYPERLINK("https://www1.hkexnews.hk/listedco/listconews/sehk/2025/1015/2025101501398.pdf","allotment")</f>
        <v/>
      </c>
      <c r="BM373" s="77">
        <f>HYPERLINK("https://www1.hkexnews.hk/listedco/listconews/sehk/2025/1112/2025111201502.pdf","stabilisation")</f>
        <v/>
      </c>
      <c r="BN373" s="75" t="n"/>
      <c r="BO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c r="L374" s="66" t="n">
        <v>86.40000000000001</v>
      </c>
      <c r="M374" s="66" t="n">
        <v>86.40000000000001</v>
      </c>
      <c r="N374" s="63" t="inlineStr">
        <is>
          <t>Y</t>
        </is>
      </c>
      <c r="O374" s="67" t="n">
        <v>100</v>
      </c>
      <c r="P374" s="67" t="n"/>
      <c r="Q374" s="68" t="n">
        <v>6800.3</v>
      </c>
      <c r="R374" s="63" t="inlineStr">
        <is>
          <t>derived:price x shares upon listing</t>
        </is>
      </c>
      <c r="S374" s="69" t="n">
        <v>3165.1</v>
      </c>
      <c r="T374" s="70" t="n">
        <v>6.3</v>
      </c>
      <c r="U374" s="71" t="n">
        <v>21.79</v>
      </c>
      <c r="V374" s="67" t="n">
        <v>11.43</v>
      </c>
      <c r="W374" s="63" t="inlineStr">
        <is>
          <t>Huatai Capital Investment Limited; Guosen (HK) Financial Products Company Limited</t>
        </is>
      </c>
      <c r="X374" s="63" t="inlineStr">
        <is>
          <t>huatai;guosen</t>
        </is>
      </c>
      <c r="Y374" s="67" t="n"/>
      <c r="Z374" s="63" t="n"/>
      <c r="AA374" s="72" t="n">
        <v>20.6</v>
      </c>
      <c r="AB374" s="73" t="n">
        <v>18.06</v>
      </c>
      <c r="AC374" s="73" t="n">
        <v>2.15</v>
      </c>
      <c r="AD374" s="73" t="n">
        <v>30.67</v>
      </c>
      <c r="AE374" s="73" t="n">
        <v>47.57</v>
      </c>
      <c r="AF374" s="73" t="n">
        <v>62.85</v>
      </c>
      <c r="AG374" s="73" t="n">
        <v>8.35</v>
      </c>
      <c r="AH374" s="73" t="n">
        <v>22.36</v>
      </c>
      <c r="AI374" s="73" t="n">
        <v>35.03</v>
      </c>
      <c r="AJ374" s="73" t="n">
        <v>29.21</v>
      </c>
      <c r="AK374" s="73" t="n">
        <v>49.17</v>
      </c>
      <c r="AL374" s="73" t="n">
        <v>66.48</v>
      </c>
      <c r="AM374" s="73" t="n">
        <v>24.54</v>
      </c>
      <c r="AN374" s="73" t="n">
        <v>-1.6</v>
      </c>
      <c r="AO374" s="73" t="n">
        <v>-2.18</v>
      </c>
      <c r="AP374" s="63" t="inlineStr">
        <is>
          <t>China Biotech ETF (HS biotech proxy)</t>
        </is>
      </c>
      <c r="AQ374" s="73" t="n">
        <v>124.42</v>
      </c>
      <c r="AR374" s="64" t="inlineStr">
        <is>
          <t>2026-08-24</t>
        </is>
      </c>
      <c r="AS374" s="65" t="n">
        <v>513.4</v>
      </c>
      <c r="AT374" s="68" t="n">
        <v>149.7</v>
      </c>
      <c r="AU374" s="63" t="inlineStr">
        <is>
          <t>Y</t>
        </is>
      </c>
      <c r="AV374" s="74" t="n">
        <v>45.4</v>
      </c>
      <c r="AW374" s="74" t="n"/>
      <c r="AX374" s="74" t="n"/>
      <c r="AY374" s="74" t="n">
        <v>13.2</v>
      </c>
      <c r="AZ374" s="75" t="inlineStr">
        <is>
          <t>N</t>
        </is>
      </c>
      <c r="BA374" s="76">
        <f>IF('BBG Verify'!K374="","not filed — run on terminal",'BBG Verify'!K374)</f>
        <v/>
      </c>
      <c r="BB374" s="63" t="inlineStr">
        <is>
          <t>N/A</t>
        </is>
      </c>
      <c r="BC374" s="63" t="inlineStr">
        <is>
          <t>N/A</t>
        </is>
      </c>
      <c r="BD374" s="63" t="inlineStr">
        <is>
          <t>N/A</t>
        </is>
      </c>
      <c r="BE374" s="63" t="inlineStr">
        <is>
          <t>N/A</t>
        </is>
      </c>
      <c r="BF374" s="63" t="inlineStr">
        <is>
          <t>N/A</t>
        </is>
      </c>
      <c r="BG374" s="75" t="inlineStr">
        <is>
          <t>Huatai Financial Holdings (Hong Kong) Limited; CMB International Capital Limited</t>
        </is>
      </c>
      <c r="BH374" s="63" t="inlineStr">
        <is>
          <t>Huatai Financial Holdings (Hong Kong) Limited; CMB International Capital Limited</t>
        </is>
      </c>
      <c r="BI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7">
        <f>HYPERLINK("https://www1.hkexnews.hk/listedco/listconews/sehk/2025/1009/2025100900041.pdf","prospectus")</f>
        <v/>
      </c>
      <c r="BL374" s="77">
        <f>HYPERLINK("https://www1.hkexnews.hk/listedco/listconews/sehk/2025/1017/2025101701654.pdf","allotment")</f>
        <v/>
      </c>
      <c r="BM374" s="63" t="n"/>
      <c r="BN374" s="75" t="n"/>
      <c r="BO374" s="63"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7" t="n">
        <v>8.26</v>
      </c>
      <c r="W375" s="63" t="inlineStr">
        <is>
          <t>Stoneylake Global Alpha Fund; Blue Lake Capital Opportunity Fund; Zhou Keting; CUAM Entities; Fourier Capital; GTCS Holdings; Jain Global Master Fund Ltd; Perseverance Asset Management; WT Asset Management Limited</t>
        </is>
      </c>
      <c r="X375" s="63" t="inlineStr">
        <is>
          <t>stoneylake;blue;zhou-keting;cuam;fourier;gtcs;jain;perseverance;wt</t>
        </is>
      </c>
      <c r="Y375" s="67" t="n">
        <v>15</v>
      </c>
      <c r="Z375" s="63" t="inlineStr">
        <is>
          <t>full</t>
        </is>
      </c>
      <c r="AA375" s="72" t="n">
        <v>23.86</v>
      </c>
      <c r="AB375" s="73" t="n">
        <v>24.18</v>
      </c>
      <c r="AC375" s="73" t="n">
        <v>-0.26</v>
      </c>
      <c r="AD375" s="73" t="n">
        <v>8.5</v>
      </c>
      <c r="AE375" s="73" t="n">
        <v>-15.1</v>
      </c>
      <c r="AF375" s="73" t="n">
        <v>-6.27</v>
      </c>
      <c r="AG375" s="73" t="n">
        <v>-12.4</v>
      </c>
      <c r="AH375" s="73" t="n">
        <v>-31.45</v>
      </c>
      <c r="AI375" s="73" t="n">
        <v>-24.33</v>
      </c>
      <c r="AJ375" s="73" t="n">
        <v>6.01</v>
      </c>
      <c r="AK375" s="73" t="n">
        <v>-9.17</v>
      </c>
      <c r="AL375" s="73" t="n">
        <v>-3.26</v>
      </c>
      <c r="AM375" s="73" t="n">
        <v>-24.32</v>
      </c>
      <c r="AN375" s="73" t="n">
        <v>-5.93</v>
      </c>
      <c r="AO375" s="73" t="n">
        <v>-7.13</v>
      </c>
      <c r="AP375" s="63" t="inlineStr">
        <is>
          <t>HSTECH (Hang Seng TECH ETF)</t>
        </is>
      </c>
      <c r="AQ375" s="73" t="n">
        <v>-56.05</v>
      </c>
      <c r="AR375" s="64" t="inlineStr">
        <is>
          <t>2026-08-20</t>
        </is>
      </c>
      <c r="AS375" s="65" t="n">
        <v>1000.7</v>
      </c>
      <c r="AT375" s="68" t="n"/>
      <c r="AU375" s="63" t="inlineStr">
        <is>
          <t>Y</t>
        </is>
      </c>
      <c r="AV375" s="78">
        <f>IF('BBG Verify'!O375="","not filed — run on terminal",'BBG Verify'!O375)</f>
        <v/>
      </c>
      <c r="AW375" s="74" t="n"/>
      <c r="AX375" s="74" t="n"/>
      <c r="AY375" s="74" t="n">
        <v>13</v>
      </c>
      <c r="AZ375" s="75" t="inlineStr">
        <is>
          <t>N</t>
        </is>
      </c>
      <c r="BA375" s="76">
        <f>IF('BBG Verify'!K375="","not filed — run on terminal",'BBG Verify'!K375)</f>
        <v/>
      </c>
      <c r="BB375" s="63" t="inlineStr">
        <is>
          <t>N/A</t>
        </is>
      </c>
      <c r="BC375" s="63" t="inlineStr">
        <is>
          <t>N/A</t>
        </is>
      </c>
      <c r="BD375" s="63" t="inlineStr">
        <is>
          <t>N/A</t>
        </is>
      </c>
      <c r="BE375" s="63" t="inlineStr">
        <is>
          <t>N/A</t>
        </is>
      </c>
      <c r="BF375" s="63" t="inlineStr">
        <is>
          <t>N/A</t>
        </is>
      </c>
      <c r="BG375" s="75" t="inlineStr">
        <is>
          <t>China International Capital Corporation Hong Kong Securities Limited; J.P. Morgan Securities (Far East) Limited</t>
        </is>
      </c>
      <c r="BH375" s="63" t="inlineStr">
        <is>
          <t>China International Capital Corporation Hong Kong Securities Limited; J.P. Morgan Securities (Far East) Limited</t>
        </is>
      </c>
      <c r="BI375" s="63" t="inlineStr">
        <is>
          <t>China International Capital Corporation Hong Kong Securities Limited; J.P. Morgan Securities (Asia Pacific) Limited</t>
        </is>
      </c>
      <c r="BJ375" s="63" t="inlineStr">
        <is>
          <t>China International Capital Corporation Hong Kong Securities Limited; Futu Securities International (Hong Kong) Limited; J.P. Morgan Securities (Asia Pacific) Limited</t>
        </is>
      </c>
      <c r="BK375" s="77">
        <f>HYPERLINK("https://www1.hkexnews.hk/listedco/listconews/sehk/2025/1013/2025101300005.pdf","prospectus")</f>
        <v/>
      </c>
      <c r="BL375" s="77">
        <f>HYPERLINK("https://www1.hkexnews.hk/listedco/listconews/sehk/2025/1020/2025102001624.pdf","allotment")</f>
        <v/>
      </c>
      <c r="BM375" s="77">
        <f>HYPERLINK("https://www1.hkexnews.hk/listedco/listconews/sehk/2025/1116/2025111600017.pdf","stabilisation")</f>
        <v/>
      </c>
      <c r="BN375" s="75" t="n"/>
      <c r="BO375" s="63"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v>19.88</v>
      </c>
      <c r="L376" s="66" t="n">
        <v>21.5</v>
      </c>
      <c r="M376" s="66" t="n">
        <v>21.5</v>
      </c>
      <c r="N376" s="63" t="inlineStr">
        <is>
          <t>Y</t>
        </is>
      </c>
      <c r="O376" s="67" t="n">
        <v>100</v>
      </c>
      <c r="P376" s="67" t="n">
        <v>100</v>
      </c>
      <c r="Q376" s="68" t="n">
        <v>19361.5</v>
      </c>
      <c r="R376" s="63" t="inlineStr">
        <is>
          <t>aastocks:上市市值 at the struck price</t>
        </is>
      </c>
      <c r="S376" s="69" t="n">
        <v>550.99</v>
      </c>
      <c r="T376" s="70" t="n">
        <v>9.16</v>
      </c>
      <c r="U376" s="71" t="n">
        <v>43.04</v>
      </c>
      <c r="V376" s="67" t="n">
        <v>8.539999999999999</v>
      </c>
      <c r="W376" s="63" t="inlineStr">
        <is>
          <t>Qindao Gantong; Pacific Asset Management Co., Limited; CPIC; GF Fund Management Co., Ltd; GF International; Ruihua Investment; Genimous Investment; Mr. Zhang Xiaolei; GTINV; Dreamee HK Fund</t>
        </is>
      </c>
      <c r="X376" s="63" t="inlineStr">
        <is>
          <t>qindao;pacific-asset;cpic;gf;ruihua;genimous;mr-zhang;gtinv;dreamee</t>
        </is>
      </c>
      <c r="Y376" s="67" t="n">
        <v>15</v>
      </c>
      <c r="Z376" s="63" t="n"/>
      <c r="AA376" s="72" t="n">
        <v>-11.72</v>
      </c>
      <c r="AB376" s="73" t="n">
        <v>0</v>
      </c>
      <c r="AC376" s="73" t="n">
        <v>-11.72</v>
      </c>
      <c r="AD376" s="73" t="n">
        <v>-10.23</v>
      </c>
      <c r="AE376" s="73" t="n">
        <v>-27.91</v>
      </c>
      <c r="AF376" s="73" t="n">
        <v>-24.88</v>
      </c>
      <c r="AG376" s="73" t="n">
        <v>1.69</v>
      </c>
      <c r="AH376" s="73" t="n">
        <v>-18.34</v>
      </c>
      <c r="AI376" s="73" t="n">
        <v>-14.91</v>
      </c>
      <c r="AJ376" s="73" t="n">
        <v>-10.99</v>
      </c>
      <c r="AK376" s="73" t="n">
        <v>-17.38</v>
      </c>
      <c r="AL376" s="73" t="n">
        <v>-21.14</v>
      </c>
      <c r="AM376" s="73" t="n">
        <v>-9.039999999999999</v>
      </c>
      <c r="AN376" s="73" t="n">
        <v>-10.53</v>
      </c>
      <c r="AO376" s="73" t="n">
        <v>-9.300000000000001</v>
      </c>
      <c r="AP376" s="63" t="inlineStr">
        <is>
          <t>HSTECH (Hang Seng TECH ETF)</t>
        </is>
      </c>
      <c r="AQ376" s="73" t="n">
        <v>-64.28</v>
      </c>
      <c r="AR376" s="64" t="inlineStr">
        <is>
          <t>2026-08-21</t>
        </is>
      </c>
      <c r="AS376" s="65" t="n">
        <v>7668.3</v>
      </c>
      <c r="AT376" s="68" t="n">
        <v>744.5</v>
      </c>
      <c r="AU376" s="63" t="inlineStr">
        <is>
          <t>Y</t>
        </is>
      </c>
      <c r="AV376" s="74" t="n">
        <v>26</v>
      </c>
      <c r="AW376" s="74" t="n"/>
      <c r="AX376" s="74" t="n"/>
      <c r="AY376" s="74" t="n">
        <v>2.5</v>
      </c>
      <c r="AZ376" s="75" t="inlineStr">
        <is>
          <t>Y</t>
        </is>
      </c>
      <c r="BA376" s="63" t="inlineStr">
        <is>
          <t>300638.SZ</t>
        </is>
      </c>
      <c r="BB376" s="73" t="n">
        <v>51.88</v>
      </c>
      <c r="BC376" s="66" t="n">
        <v>32.6548</v>
      </c>
      <c r="BD376" s="80" t="n">
        <v>1.9163</v>
      </c>
      <c r="BE376" s="78">
        <f>IF('BBG Verify'!Q376="","run on terminal",'BBG Verify'!Q376)</f>
        <v/>
      </c>
      <c r="BF376" s="78">
        <f>IF('BBG Verify'!R376="","run on terminal",'BBG Verify'!R376)</f>
        <v/>
      </c>
      <c r="BG376" s="75" t="inlineStr">
        <is>
          <t>CITIC Securities (Hong Kong) Limited</t>
        </is>
      </c>
      <c r="BH376" s="63" t="inlineStr">
        <is>
          <t>CITIC Securities (Hong Kong) Limited</t>
        </is>
      </c>
      <c r="BI376" s="63" t="inlineStr">
        <is>
          <t>CLSA Limited; SDICS International Securities (Hong Kong) Limited; CMB International Capital Limited; (Below in alphabetical order) ABCI Capital Limited; China Sunrise Securities (International) Limited</t>
        </is>
      </c>
      <c r="BJ376" s="63" t="inlineStr">
        <is>
          <t>ABCI Securities Company Limited; CLSA Limited; CMB International Capital Limited; China Sunrise Securities (International) Limited; Futu Securities International (Hong Kong) Limited; SDICS International Securities (Hong Kong) Limited</t>
        </is>
      </c>
      <c r="BK376" s="77">
        <f>HYPERLINK("https://www1.hkexnews.hk/listedco/listconews/sehk/2025/1014/2025101400007.pdf","prospectus")</f>
        <v/>
      </c>
      <c r="BL376" s="77">
        <f>HYPERLINK("https://www1.hkexnews.hk/listedco/listconews/sehk/2025/1021/2025102101036.pdf","allotment")</f>
        <v/>
      </c>
      <c r="BM376" s="63" t="n"/>
      <c r="BN376" s="75" t="n"/>
      <c r="BO376" s="63" t="inlineStr">
        <is>
          <t>greenshoe: end-of-stabilisation notice not located · A/H: Oct 2025 H listing (IoT wireless modules) · market cap: estimate from stated market capitalisation disagreed with the published listing cap — published figure adopted</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7" t="n">
        <v>8.15</v>
      </c>
      <c r="W377" s="63" t="n"/>
      <c r="X377" s="63" t="n"/>
      <c r="Y377" s="67" t="n"/>
      <c r="Z377" s="63" t="n"/>
      <c r="AA377" s="72" t="n">
        <v>150.56</v>
      </c>
      <c r="AB377" s="73" t="n">
        <v>111.93</v>
      </c>
      <c r="AC377" s="73" t="n">
        <v>18.23</v>
      </c>
      <c r="AD377" s="73" t="n">
        <v>278.84</v>
      </c>
      <c r="AE377" s="73" t="n">
        <v>169.5</v>
      </c>
      <c r="AF377" s="73" t="n">
        <v>205.51</v>
      </c>
      <c r="AG377" s="73" t="n">
        <v>51.2</v>
      </c>
      <c r="AH377" s="73" t="n">
        <v>7.56</v>
      </c>
      <c r="AI377" s="73" t="n">
        <v>21.93</v>
      </c>
      <c r="AJ377" s="73" t="n">
        <v>285.12</v>
      </c>
      <c r="AK377" s="73" t="n">
        <v>178.84</v>
      </c>
      <c r="AL377" s="73" t="n">
        <v>211.13</v>
      </c>
      <c r="AM377" s="73" t="n">
        <v>15.53</v>
      </c>
      <c r="AN377" s="73" t="n">
        <v>-9.34</v>
      </c>
      <c r="AO377" s="73" t="n">
        <v>-7.97</v>
      </c>
      <c r="AP377" s="63" t="inlineStr">
        <is>
          <t>HSTECH (Hang Seng TECH ETF)</t>
        </is>
      </c>
      <c r="AQ377" s="73" t="n">
        <v>31.73</v>
      </c>
      <c r="AR377" s="64" t="inlineStr">
        <is>
          <t>2026-08-20</t>
        </is>
      </c>
      <c r="AS377" s="65" t="n">
        <v>267.2</v>
      </c>
      <c r="AT377" s="68" t="n">
        <v>-1380.5</v>
      </c>
      <c r="AU377" s="63" t="inlineStr">
        <is>
          <t>N</t>
        </is>
      </c>
      <c r="AV377" s="63" t="inlineStr">
        <is>
          <t>n/m</t>
        </is>
      </c>
      <c r="AW377" s="74" t="n"/>
      <c r="AX377" s="74" t="n"/>
      <c r="AY377" s="74" t="n">
        <v>32.6</v>
      </c>
      <c r="AZ377" s="75" t="inlineStr">
        <is>
          <t>N</t>
        </is>
      </c>
      <c r="BA377" s="76">
        <f>IF('BBG Verify'!K377="","not filed — run on terminal",'BBG Verify'!K377)</f>
        <v/>
      </c>
      <c r="BB377" s="63" t="inlineStr">
        <is>
          <t>N/A</t>
        </is>
      </c>
      <c r="BC377" s="63" t="inlineStr">
        <is>
          <t>N/A</t>
        </is>
      </c>
      <c r="BD377" s="63" t="inlineStr">
        <is>
          <t>N/A</t>
        </is>
      </c>
      <c r="BE377" s="63" t="inlineStr">
        <is>
          <t>N/A</t>
        </is>
      </c>
      <c r="BF377" s="63" t="inlineStr">
        <is>
          <t>N/A</t>
        </is>
      </c>
      <c r="BG377" s="75" t="inlineStr">
        <is>
          <t>CITIC Securities (Hong Kong) Limited; CMBC International Capital Limited; Guotai Junan Capital Limited; SPDB International Capital Limited; BOCOM International (Asia) Limited</t>
        </is>
      </c>
      <c r="BH377" s="63" t="inlineStr">
        <is>
          <t>CITIC Securities (Hong Kong) Limited; BOCOM International (Asia) Limited; Guotai Junan Capital Limited; CMBC International Capital Limited; SPDB International Capital Limited</t>
        </is>
      </c>
      <c r="BI377" s="63" t="inlineStr">
        <is>
          <t>BOCOM International Securities Limited; CLSA Limited; CMBC Securities Company Limited; Guotai Junan Securities (Hong Kong) Limited; Livermore Holdings Limited; SPDB International Capital Limited</t>
        </is>
      </c>
      <c r="BJ377" s="63" t="inlineStr">
        <is>
          <t>BOCOM International Securities Limited; CLSA Limited; CMBC Securities Company Limited; Guotai Junan Securities (Hong Kong) Limited; Livermore Holdings Limited; SPDB International Capital Limited; Yellow River Securities Limited</t>
        </is>
      </c>
      <c r="BK377" s="77">
        <f>HYPERLINK("https://www1.hkexnews.hk/listedco/listconews/sehk/2025/1020/2025102000015.pdf","prospectus")</f>
        <v/>
      </c>
      <c r="BL377" s="77">
        <f>HYPERLINK("https://www1.hkexnews.hk/listedco/listconews/sehk/2025/1027/2025102701434.pdf","allotment")</f>
        <v/>
      </c>
      <c r="BM377" s="63" t="n"/>
      <c r="BN377" s="75" t="n"/>
      <c r="BO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7" t="n">
        <v>4.1</v>
      </c>
      <c r="W378" s="63" t="inlineStr">
        <is>
          <t>Temasek; Hillhouse (HHLR); BlackRock, Inc; UBS Asset Management; Infore Capital; Oaktree Capital; Jane Street; Weichai Power</t>
        </is>
      </c>
      <c r="X378" s="63" t="inlineStr">
        <is>
          <t>temasek;hillhouse;blackrock;ubs;infore;oaktree;jane;weichai</t>
        </is>
      </c>
      <c r="Y378" s="67" t="n">
        <v>15</v>
      </c>
      <c r="Z378" s="63" t="inlineStr">
        <is>
          <t>partial</t>
        </is>
      </c>
      <c r="AA378" s="72" t="n">
        <v>2.82</v>
      </c>
      <c r="AB378" s="73" t="n">
        <v>0</v>
      </c>
      <c r="AC378" s="73" t="n">
        <v>2.82</v>
      </c>
      <c r="AD378" s="73" t="n">
        <v>6.67</v>
      </c>
      <c r="AE378" s="73" t="n">
        <v>0.19</v>
      </c>
      <c r="AF378" s="73" t="n">
        <v>18.78</v>
      </c>
      <c r="AG378" s="73" t="n">
        <v>3.74</v>
      </c>
      <c r="AH378" s="73" t="n">
        <v>-2.56</v>
      </c>
      <c r="AI378" s="73" t="n">
        <v>15.52</v>
      </c>
      <c r="AJ378" s="73" t="n">
        <v>11.46</v>
      </c>
      <c r="AK378" s="73" t="n">
        <v>6.17</v>
      </c>
      <c r="AL378" s="73" t="n">
        <v>19.75</v>
      </c>
      <c r="AM378" s="73" t="n">
        <v>2.09</v>
      </c>
      <c r="AN378" s="73" t="n">
        <v>-5.98</v>
      </c>
      <c r="AO378" s="73" t="n">
        <v>-4.65</v>
      </c>
      <c r="AP378" s="63" t="inlineStr">
        <is>
          <t>Hang Seng Commerce &amp; Industry sub-index</t>
        </is>
      </c>
      <c r="AQ378" s="73" t="n">
        <v>-12.11</v>
      </c>
      <c r="AR378" s="64" t="inlineStr">
        <is>
          <t>2026-08-20</t>
        </is>
      </c>
      <c r="AS378" s="65" t="n">
        <v>86221.7</v>
      </c>
      <c r="AT378" s="68" t="n">
        <v>6701.8</v>
      </c>
      <c r="AU378" s="63" t="inlineStr">
        <is>
          <t>Y</t>
        </is>
      </c>
      <c r="AV378" s="74" t="n">
        <v>27.5</v>
      </c>
      <c r="AW378" s="74" t="n">
        <v>22.3</v>
      </c>
      <c r="AX378" s="74" t="n">
        <v>16.3</v>
      </c>
      <c r="AY378" s="74" t="n">
        <v>2.1</v>
      </c>
      <c r="AZ378" s="75" t="inlineStr">
        <is>
          <t>Y</t>
        </is>
      </c>
      <c r="BA378" s="63" t="inlineStr">
        <is>
          <t>600031.SS</t>
        </is>
      </c>
      <c r="BB378" s="73" t="n">
        <v>15.4</v>
      </c>
      <c r="BC378" s="66" t="n">
        <v>24.5793</v>
      </c>
      <c r="BD378" s="80" t="n">
        <v>0.1696</v>
      </c>
      <c r="BE378" s="78">
        <f>IF('BBG Verify'!Q378="","run on terminal",'BBG Verify'!Q378)</f>
        <v/>
      </c>
      <c r="BF378" s="78">
        <f>IF('BBG Verify'!R378="","run on terminal",'BBG Verify'!R378)</f>
        <v/>
      </c>
      <c r="BG378" s="75" t="inlineStr">
        <is>
          <t>CITIC Securities (Hong Kong) Limited</t>
        </is>
      </c>
      <c r="BH378" s="63" t="inlineStr">
        <is>
          <t>CITIC Securities (Hong Kong) Limited</t>
        </is>
      </c>
      <c r="BI378" s="63" t="inlineStr">
        <is>
          <t>CLSA Limited; China International Capital Corporation Hong Kong Securities Limited; BOCI Asia Limited; Central, Hong Kong ABCI Capital Limited; ICBC International Securities Limited; China Merchants Securities (HK) Co., Limited</t>
        </is>
      </c>
      <c r="BJ378" s="63" t="inlineStr">
        <is>
          <t>ABCI Securities Company Limited; BOCI Asia Limited; China International Capital Corporation Hong Kong Securities Limited; CLSA Limited; China Merchants Securities (HK) Company Limited; ICBC International Securities Limited</t>
        </is>
      </c>
      <c r="BK378" s="77">
        <f>HYPERLINK("https://www1.hkexnews.hk/listedco/listconews/sehk/2025/1020/2025102000017.pdf","prospectus")</f>
        <v/>
      </c>
      <c r="BL378" s="77">
        <f>HYPERLINK("https://www1.hkexnews.hk/listedco/listconews/sehk/2025/1027/2025102701586.pdf","allotment")</f>
        <v/>
      </c>
      <c r="BM378" s="77">
        <f>HYPERLINK("https://www1.hkexnews.hk/listedco/listconews/sehk/2025/1123/2025112300093.pdf","stabilisation")</f>
        <v/>
      </c>
      <c r="BN378" s="75" t="n"/>
      <c r="BO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20698.2</v>
      </c>
      <c r="R379" s="63" t="inlineStr">
        <is>
          <t>derived:deal size / offer % of enlarged capital</t>
        </is>
      </c>
      <c r="S379" s="69" t="n">
        <v>338.7</v>
      </c>
      <c r="T379" s="70" t="n">
        <v>16.5</v>
      </c>
      <c r="U379" s="71" t="n">
        <v>48.9</v>
      </c>
      <c r="V379" s="67" t="n">
        <v>11.4</v>
      </c>
      <c r="W379" s="63" t="inlineStr">
        <is>
          <t>Barings; Morgan Stanley Investment Management; HCEP (HongShan); Boyu Capital; Taikang Life; ICBC Wealth Management Co., Ltd; Schonfeld; Dymon Asia</t>
        </is>
      </c>
      <c r="X379" s="63" t="inlineStr">
        <is>
          <t>barings;morgan;hcep;boyu;taikang;icbc;schonfeld;dymon</t>
        </is>
      </c>
      <c r="Y379" s="67" t="n">
        <v>15</v>
      </c>
      <c r="Z379" s="63" t="n"/>
      <c r="AA379" s="72" t="n">
        <v>33.86</v>
      </c>
      <c r="AB379" s="73" t="n">
        <v>36.47</v>
      </c>
      <c r="AC379" s="73" t="n">
        <v>-1.91</v>
      </c>
      <c r="AD379" s="73" t="n">
        <v>13.53</v>
      </c>
      <c r="AE379" s="73" t="n">
        <v>14.76</v>
      </c>
      <c r="AF379" s="73" t="n">
        <v>19.05</v>
      </c>
      <c r="AG379" s="73" t="n">
        <v>-15.19</v>
      </c>
      <c r="AH379" s="73" t="n">
        <v>-14.27</v>
      </c>
      <c r="AI379" s="73" t="n">
        <v>-11.06</v>
      </c>
      <c r="AJ379" s="73" t="n">
        <v>19.81</v>
      </c>
      <c r="AK379" s="73" t="n">
        <v>24.1</v>
      </c>
      <c r="AL379" s="73" t="n">
        <v>24.67</v>
      </c>
      <c r="AM379" s="73" t="n">
        <v>-6.3</v>
      </c>
      <c r="AN379" s="73" t="n">
        <v>-9.34</v>
      </c>
      <c r="AO379" s="73" t="n">
        <v>-7.97</v>
      </c>
      <c r="AP379" s="63" t="inlineStr">
        <is>
          <t>HSTECH (Hang Seng TECH ETF)</t>
        </is>
      </c>
      <c r="AQ379" s="73" t="n">
        <v>38.07</v>
      </c>
      <c r="AR379" s="64" t="inlineStr">
        <is>
          <t>2026-08-20</t>
        </is>
      </c>
      <c r="AS379" s="65" t="n">
        <v>4014.9</v>
      </c>
      <c r="AT379" s="68" t="n">
        <v>183.7</v>
      </c>
      <c r="AU379" s="63" t="inlineStr">
        <is>
          <t>Y</t>
        </is>
      </c>
      <c r="AV379" s="74" t="n">
        <v>112.7</v>
      </c>
      <c r="AW379" s="74" t="n">
        <v>107.9</v>
      </c>
      <c r="AX379" s="74" t="n">
        <v>93.7</v>
      </c>
      <c r="AY379" s="74" t="n">
        <v>5.2</v>
      </c>
      <c r="AZ379" s="75" t="inlineStr">
        <is>
          <t>Y</t>
        </is>
      </c>
      <c r="BA379" s="63" t="inlineStr">
        <is>
          <t>603083.SS</t>
        </is>
      </c>
      <c r="BB379" s="73" t="n">
        <v>88.48</v>
      </c>
      <c r="BC379" s="66" t="n">
        <v>129.8239</v>
      </c>
      <c r="BD379" s="80" t="n">
        <v>1.2717</v>
      </c>
      <c r="BE379" s="78">
        <f>IF('BBG Verify'!Q379="","run on terminal",'BBG Verify'!Q379)</f>
        <v/>
      </c>
      <c r="BF379" s="78">
        <f>IF('BBG Verify'!R379="","run on terminal",'BBG Verify'!R379)</f>
        <v/>
      </c>
      <c r="BG379" s="75" t="inlineStr">
        <is>
          <t>Guotai Junan Capital Limited; Guotai Junan Securities (Hong Kong) Limited</t>
        </is>
      </c>
      <c r="BH379" s="63" t="inlineStr">
        <is>
          <t>Guotai Junan Capital Limited</t>
        </is>
      </c>
      <c r="BI379" s="63" t="inlineStr">
        <is>
          <t>CLSA Limited; DBS Asia Capital Limited; Star River Securities Limited</t>
        </is>
      </c>
      <c r="BJ379" s="63" t="inlineStr">
        <is>
          <t>CLSA Limited; DBS Asia Capital Limited; Guotai Junan Securities (Hong Kong) Limited; Star River Securities Limited</t>
        </is>
      </c>
      <c r="BK379" s="77">
        <f>HYPERLINK("https://www1.hkexnews.hk/listedco/listconews/sehk/2025/1020/2025102000019.pdf","prospectus")</f>
        <v/>
      </c>
      <c r="BL379" s="77">
        <f>HYPERLINK("https://www1.hkexnews.hk/listedco/listconews/sehk/2025/1027/2025102701698.pdf","allotment")</f>
        <v/>
      </c>
      <c r="BM379" s="63" t="n"/>
      <c r="BN379" s="75" t="n"/>
      <c r="BO379" s="63" t="inlineStr">
        <is>
          <t>greenshoe: end-of-stabilisation notice not located · range low: cap-only pricing — the filing publishes a Maximum Offer Price and no indicative floor · A/H: Oct 2025 H listing (telecom/AI networking hardware)</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7" t="n">
        <v>10.59</v>
      </c>
      <c r="W380" s="63" t="n"/>
      <c r="X380" s="63" t="n"/>
      <c r="Y380" s="67" t="n">
        <v>15</v>
      </c>
      <c r="Z380" s="63" t="n"/>
      <c r="AA380" s="72" t="n">
        <v>86.7</v>
      </c>
      <c r="AB380" s="73" t="n">
        <v>60.2</v>
      </c>
      <c r="AC380" s="73" t="n">
        <v>16.54</v>
      </c>
      <c r="AD380" s="73" t="n">
        <v>46</v>
      </c>
      <c r="AE380" s="73" t="n">
        <v>5</v>
      </c>
      <c r="AF380" s="73" t="n">
        <v>-40.04</v>
      </c>
      <c r="AG380" s="73" t="n">
        <v>-21.8</v>
      </c>
      <c r="AH380" s="73" t="n">
        <v>-43.76</v>
      </c>
      <c r="AI380" s="73" t="n">
        <v>-67.88</v>
      </c>
      <c r="AJ380" s="73" t="n">
        <v>50.79</v>
      </c>
      <c r="AK380" s="73" t="n">
        <v>10.98</v>
      </c>
      <c r="AL380" s="73" t="n">
        <v>-39.07</v>
      </c>
      <c r="AM380" s="73" t="n">
        <v>-39.11</v>
      </c>
      <c r="AN380" s="73" t="n">
        <v>-5.98</v>
      </c>
      <c r="AO380" s="73" t="n">
        <v>-4.65</v>
      </c>
      <c r="AP380" s="63" t="inlineStr">
        <is>
          <t>Hang Seng Commerce &amp; Industry sub-index</t>
        </is>
      </c>
      <c r="AQ380" s="73" t="n">
        <v>-44.24</v>
      </c>
      <c r="AR380" s="64" t="inlineStr">
        <is>
          <t>2026-08-20</t>
        </is>
      </c>
      <c r="AS380" s="65" t="n">
        <v>2357.6</v>
      </c>
      <c r="AT380" s="68" t="n">
        <v>246.6</v>
      </c>
      <c r="AU380" s="63" t="inlineStr">
        <is>
          <t>Y</t>
        </is>
      </c>
      <c r="AV380" s="74" t="n">
        <v>17.2</v>
      </c>
      <c r="AW380" s="74" t="n">
        <v>32.7</v>
      </c>
      <c r="AX380" s="74" t="n">
        <v>7.7</v>
      </c>
      <c r="AY380" s="74" t="n">
        <v>1.8</v>
      </c>
      <c r="AZ380" s="75" t="inlineStr">
        <is>
          <t>N</t>
        </is>
      </c>
      <c r="BA380" s="76">
        <f>IF('BBG Verify'!K380="","not filed — run on terminal",'BBG Verify'!K380)</f>
        <v/>
      </c>
      <c r="BB380" s="63" t="inlineStr">
        <is>
          <t>N/A</t>
        </is>
      </c>
      <c r="BC380" s="63" t="inlineStr">
        <is>
          <t>N/A</t>
        </is>
      </c>
      <c r="BD380" s="63" t="inlineStr">
        <is>
          <t>N/A</t>
        </is>
      </c>
      <c r="BE380" s="63" t="inlineStr">
        <is>
          <t>N/A</t>
        </is>
      </c>
      <c r="BF380" s="63" t="inlineStr">
        <is>
          <t>N/A</t>
        </is>
      </c>
      <c r="BG380" s="75" t="inlineStr">
        <is>
          <t>Huatai Financial Holdings (Hong Kong) Limited; ABCI Capital Limited; TFI Capital Limited</t>
        </is>
      </c>
      <c r="BH380" s="63" t="inlineStr">
        <is>
          <t>Huatai Financial Holdings (Hong Kong) Limited; TFI Capital Limited; ABCI Capital Limited</t>
        </is>
      </c>
      <c r="BI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7">
        <f>HYPERLINK("https://www1.hkexnews.hk/listedco/listconews/sehk/2025/1020/2025102000021.pdf","prospectus")</f>
        <v/>
      </c>
      <c r="BL380" s="77">
        <f>HYPERLINK("https://www1.hkexnews.hk/listedco/listconews/sehk/2025/1027/2025102701732.pdf","allotment")</f>
        <v/>
      </c>
      <c r="BM380" s="63" t="n"/>
      <c r="BN380" s="75" t="n"/>
      <c r="BO380" s="63"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20357.3</v>
      </c>
      <c r="R381" s="63" t="inlineStr">
        <is>
          <t>prospectus:stated market capitalisation</t>
        </is>
      </c>
      <c r="S381" s="69" t="n">
        <v>4452.86</v>
      </c>
      <c r="T381" s="70" t="n">
        <v>13.93</v>
      </c>
      <c r="U381" s="71" t="n">
        <v>45.1</v>
      </c>
      <c r="V381" s="67" t="n">
        <v>2.75</v>
      </c>
      <c r="W381" s="63" t="inlineStr">
        <is>
          <t>Huang River Investment Limited; Hundreds Capital; GFH Financial Group B.S.C; QuantumPharm Limited; International Capital Management Limited; China AMC; Huatai Capital Investment Limited</t>
        </is>
      </c>
      <c r="X381" s="63" t="inlineStr">
        <is>
          <t>huang-river;hundreds;gfh;quantumpharm;international-capital;amc;huatai</t>
        </is>
      </c>
      <c r="Y381" s="67" t="n">
        <v>15</v>
      </c>
      <c r="Z381" s="63" t="n"/>
      <c r="AA381" s="72" t="n">
        <v>106.1</v>
      </c>
      <c r="AB381" s="73" t="n">
        <v>98.58</v>
      </c>
      <c r="AC381" s="73" t="n">
        <v>3.79</v>
      </c>
      <c r="AD381" s="73" t="n">
        <v>57.16</v>
      </c>
      <c r="AE381" s="73" t="n">
        <v>45.25</v>
      </c>
      <c r="AF381" s="73" t="n">
        <v>77.87</v>
      </c>
      <c r="AG381" s="73" t="n">
        <v>-23.75</v>
      </c>
      <c r="AH381" s="73" t="n">
        <v>-29.52</v>
      </c>
      <c r="AI381" s="73" t="n">
        <v>-13.7</v>
      </c>
      <c r="AJ381" s="73" t="n">
        <v>57.42</v>
      </c>
      <c r="AK381" s="73" t="n">
        <v>50.16</v>
      </c>
      <c r="AL381" s="73" t="n">
        <v>85.79000000000001</v>
      </c>
      <c r="AM381" s="73" t="n">
        <v>-24.52</v>
      </c>
      <c r="AN381" s="73" t="n">
        <v>-4.91</v>
      </c>
      <c r="AO381" s="73" t="n">
        <v>-5</v>
      </c>
      <c r="AP381" s="63" t="inlineStr">
        <is>
          <t>HSTECH (Hang Seng TECH ETF)</t>
        </is>
      </c>
      <c r="AQ381" s="73" t="n">
        <v>-71.05</v>
      </c>
      <c r="AR381" s="64" t="inlineStr">
        <is>
          <t>2026-08-21</t>
        </is>
      </c>
      <c r="AS381" s="65" t="n">
        <v>1519.5</v>
      </c>
      <c r="AT381" s="68" t="n">
        <v>352.4</v>
      </c>
      <c r="AU381" s="63" t="inlineStr">
        <is>
          <t>Y</t>
        </is>
      </c>
      <c r="AV381" s="74" t="n">
        <v>57.8</v>
      </c>
      <c r="AW381" s="74" t="n"/>
      <c r="AX381" s="74" t="n"/>
      <c r="AY381" s="74" t="n">
        <v>13.4</v>
      </c>
      <c r="AZ381" s="75" t="inlineStr">
        <is>
          <t>N</t>
        </is>
      </c>
      <c r="BA381" s="76">
        <f>IF('BBG Verify'!K381="","not filed — run on terminal",'BBG Verify'!K381)</f>
        <v/>
      </c>
      <c r="BB381" s="63" t="inlineStr">
        <is>
          <t>N/A</t>
        </is>
      </c>
      <c r="BC381" s="63" t="inlineStr">
        <is>
          <t>N/A</t>
        </is>
      </c>
      <c r="BD381" s="63" t="inlineStr">
        <is>
          <t>N/A</t>
        </is>
      </c>
      <c r="BE381" s="63" t="inlineStr">
        <is>
          <t>N/A</t>
        </is>
      </c>
      <c r="BF381" s="63" t="inlineStr">
        <is>
          <t>N/A</t>
        </is>
      </c>
      <c r="BG381" s="75" t="inlineStr">
        <is>
          <t>China International Capital Corporation Hong Kong Securities Limited</t>
        </is>
      </c>
      <c r="BH381" s="63" t="inlineStr">
        <is>
          <t>China International Capital Corporation Hong Kong Securities Limited</t>
        </is>
      </c>
      <c r="BI381" s="63"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7">
        <f>HYPERLINK("https://www1.hkexnews.hk/listedco/listconews/sehk/2025/1023/2025102300005.pdf","prospectus")</f>
        <v/>
      </c>
      <c r="BL381" s="77">
        <f>HYPERLINK("https://www1.hkexnews.hk/listedco/listconews/sehk/2025/1031/2025103103042.pdf","allotment")</f>
        <v/>
      </c>
      <c r="BM381" s="63" t="n"/>
      <c r="BN381" s="75" t="n"/>
      <c r="BO381" s="63" t="inlineStr">
        <is>
          <t>greenshoe: end-of-stabilisation notice not located · range low: cap-only pricing — the filing publishes a Maximum Offer Price and no indicative floor · A/H: no A-share listing</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7" t="n">
        <v>3.64</v>
      </c>
      <c r="W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3" t="inlineStr">
        <is>
          <t>lin-yuan;gf;new;sanhua;zhink;gold;honour;hichain;schroder;mirae;new-alternative;meidong;ghisallo</t>
        </is>
      </c>
      <c r="Y382" s="67" t="n">
        <v>5.78</v>
      </c>
      <c r="Z382" s="63" t="inlineStr">
        <is>
          <t>partial</t>
        </is>
      </c>
      <c r="AA382" s="72" t="n">
        <v>0</v>
      </c>
      <c r="AB382" s="73" t="n">
        <v>-1.98</v>
      </c>
      <c r="AC382" s="73" t="n">
        <v>2.02</v>
      </c>
      <c r="AD382" s="73" t="n">
        <v>-12.17</v>
      </c>
      <c r="AE382" s="73" t="n">
        <v>-11.94</v>
      </c>
      <c r="AF382" s="73" t="n">
        <v>-26.2</v>
      </c>
      <c r="AG382" s="73" t="n">
        <v>-12.17</v>
      </c>
      <c r="AH382" s="73" t="n">
        <v>-11.94</v>
      </c>
      <c r="AI382" s="73" t="n">
        <v>-26.2</v>
      </c>
      <c r="AJ382" s="73" t="n">
        <v>-15.09</v>
      </c>
      <c r="AK382" s="73" t="n">
        <v>-11.49</v>
      </c>
      <c r="AL382" s="73" t="n">
        <v>-24.44</v>
      </c>
      <c r="AM382" s="73" t="n">
        <v>-11.54</v>
      </c>
      <c r="AN382" s="73" t="n">
        <v>-0.45</v>
      </c>
      <c r="AO382" s="73" t="n">
        <v>-0.4</v>
      </c>
      <c r="AP382" s="63" t="inlineStr">
        <is>
          <t>Hang Seng Commerce &amp; Industry sub-index</t>
        </is>
      </c>
      <c r="AQ382" s="73" t="n">
        <v>-68.2</v>
      </c>
      <c r="AR382" s="64" t="inlineStr">
        <is>
          <t>2026-08-20</t>
        </is>
      </c>
      <c r="AS382" s="65" t="n">
        <v>159625</v>
      </c>
      <c r="AT382" s="68" t="n">
        <v>-1527.6</v>
      </c>
      <c r="AU382" s="63" t="inlineStr">
        <is>
          <t>N</t>
        </is>
      </c>
      <c r="AV382" s="63" t="inlineStr">
        <is>
          <t>n/m</t>
        </is>
      </c>
      <c r="AW382" s="74" t="n">
        <v>25.5</v>
      </c>
      <c r="AX382" s="74" t="n">
        <v>9.699999999999999</v>
      </c>
      <c r="AY382" s="74" t="n">
        <v>1.4</v>
      </c>
      <c r="AZ382" s="75" t="inlineStr">
        <is>
          <t>Y</t>
        </is>
      </c>
      <c r="BA382" s="63" t="inlineStr">
        <is>
          <t>601127.SS</t>
        </is>
      </c>
      <c r="BB382" s="73" t="n">
        <v>27.41</v>
      </c>
      <c r="BC382" s="66" t="n">
        <v>167.5467</v>
      </c>
      <c r="BD382" s="80" t="n">
        <v>0.4588</v>
      </c>
      <c r="BE382" s="78">
        <f>IF('BBG Verify'!Q382="","run on terminal",'BBG Verify'!Q382)</f>
        <v/>
      </c>
      <c r="BF382" s="78">
        <f>IF('BBG Verify'!R382="","run on terminal",'BBG Verify'!R382)</f>
        <v/>
      </c>
      <c r="BG382" s="75" t="inlineStr">
        <is>
          <t>CICC; China Galaxy International</t>
        </is>
      </c>
      <c r="BH382" s="63" t="inlineStr">
        <is>
          <t>China International Capital Corporation Hong Kong Securities Limited; China Galaxy International Securities (Hong Kong) Company Limited</t>
        </is>
      </c>
      <c r="BI382" s="63" t="inlineStr">
        <is>
          <t>China International Capital Corporation Hong Kong Securities Limited; China Galaxy International Securities (Hong Kong) Co., Limited; Huatai Financial Holdings (Hong Kong) Limited</t>
        </is>
      </c>
      <c r="BJ382" s="63" t="inlineStr">
        <is>
          <t>China Galaxy International Securities (Hong Kong) Company Limited; China International Capital Corporation Hong Kong Securities Limited; Huatai Financial Holdings (Hong Kong) Limited</t>
        </is>
      </c>
      <c r="BK382" s="77">
        <f>HYPERLINK("https://www1.hkexnews.hk/listedco/listconews/sehk/2025/1027/2025102700059.pdf","prospectus")</f>
        <v/>
      </c>
      <c r="BL382" s="77">
        <f>HYPERLINK("https://www1.hkexnews.hk/listedco/listconews/sehk/2025/1104/2025110402282.pdf","allotment")</f>
        <v/>
      </c>
      <c r="BM382" s="77">
        <f>HYPERLINK("https://www1.hkexnews.hk/listedco/listconews/sehk/2025/1130/2025113000281.pdf","stabilisation")</f>
        <v/>
      </c>
      <c r="BN382" s="75" t="n"/>
      <c r="BO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7" t="n"/>
      <c r="W383" s="63" t="inlineStr">
        <is>
          <t>Ms. Jin Jie; Dr. Shen; Suzhou Industrial Investment</t>
        </is>
      </c>
      <c r="X383" s="63" t="inlineStr">
        <is>
          <t>ms-jin;dr-shen;suzhou</t>
        </is>
      </c>
      <c r="Y383" s="67" t="n">
        <v>6.24</v>
      </c>
      <c r="Z383" s="63" t="inlineStr">
        <is>
          <t>lapsed (no over-allocation)</t>
        </is>
      </c>
      <c r="AA383" s="72" t="n">
        <v>145.73</v>
      </c>
      <c r="AB383" s="73" t="n">
        <v>184.69</v>
      </c>
      <c r="AC383" s="73" t="n">
        <v>-13.69</v>
      </c>
      <c r="AD383" s="73" t="n">
        <v>64.97</v>
      </c>
      <c r="AE383" s="73" t="n">
        <v>131.05</v>
      </c>
      <c r="AF383" s="73" t="n">
        <v>216.15</v>
      </c>
      <c r="AG383" s="73" t="n">
        <v>-32.87</v>
      </c>
      <c r="AH383" s="73" t="n">
        <v>-5.97</v>
      </c>
      <c r="AI383" s="73" t="n">
        <v>28.66</v>
      </c>
      <c r="AJ383" s="73" t="n">
        <v>61.71</v>
      </c>
      <c r="AK383" s="73" t="n">
        <v>132.59</v>
      </c>
      <c r="AL383" s="73" t="n">
        <v>223.02</v>
      </c>
      <c r="AM383" s="73" t="n">
        <v>-4.04</v>
      </c>
      <c r="AN383" s="73" t="n">
        <v>-1.54</v>
      </c>
      <c r="AO383" s="73" t="n">
        <v>-1.93</v>
      </c>
      <c r="AP383" s="63" t="inlineStr">
        <is>
          <t>China Biotech ETF (HS biotech proxy)</t>
        </is>
      </c>
      <c r="AQ383" s="73" t="n">
        <v>159.07</v>
      </c>
      <c r="AR383" s="64" t="inlineStr">
        <is>
          <t>2026-08-20</t>
        </is>
      </c>
      <c r="AS383" s="65" t="n">
        <v>3.5</v>
      </c>
      <c r="AT383" s="68" t="n">
        <v>-81.2</v>
      </c>
      <c r="AU383" s="63" t="inlineStr">
        <is>
          <t>N</t>
        </is>
      </c>
      <c r="AV383" s="63" t="inlineStr">
        <is>
          <t>n/m</t>
        </is>
      </c>
      <c r="AW383" s="74" t="n"/>
      <c r="AX383" s="74" t="n"/>
      <c r="AY383" s="74" t="n">
        <v>1597.9</v>
      </c>
      <c r="AZ383" s="75" t="inlineStr">
        <is>
          <t>N</t>
        </is>
      </c>
      <c r="BA383" s="76">
        <f>IF('BBG Verify'!K383="","not filed — run on terminal",'BBG Verify'!K383)</f>
        <v/>
      </c>
      <c r="BB383" s="63" t="inlineStr">
        <is>
          <t>N/A</t>
        </is>
      </c>
      <c r="BC383" s="63" t="inlineStr">
        <is>
          <t>N/A</t>
        </is>
      </c>
      <c r="BD383" s="63" t="inlineStr">
        <is>
          <t>N/A</t>
        </is>
      </c>
      <c r="BE383" s="63" t="inlineStr">
        <is>
          <t>N/A</t>
        </is>
      </c>
      <c r="BF383" s="63" t="inlineStr">
        <is>
          <t>N/A</t>
        </is>
      </c>
      <c r="BG383" s="75" t="inlineStr">
        <is>
          <t>CITIC Securities (Hong Kong) Limited</t>
        </is>
      </c>
      <c r="BH383" s="63" t="inlineStr">
        <is>
          <t>CITIC Securities (Hong Kong) Limited</t>
        </is>
      </c>
      <c r="BI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7">
        <f>HYPERLINK("https://www1.hkexnews.hk/listedco/listconews/sehk/2025/1028/2025102800017.pdf","prospectus")</f>
        <v/>
      </c>
      <c r="BL383" s="77">
        <f>HYPERLINK("https://www1.hkexnews.hk/listedco/listconews/sehk/2025/1105/2025110502006.pdf","allotment")</f>
        <v/>
      </c>
      <c r="BM383" s="77">
        <f>HYPERLINK("https://www1.hkexnews.hk/listedco/listconews/sehk/2025/1203/2025120300845.pdf","stabilisation")</f>
        <v/>
      </c>
      <c r="BN383" s="75" t="n"/>
      <c r="BO383" s="63" t="inlineStr">
        <is>
          <t>P/E: n/m — loss-making at IPO (use P/S) · range low: cap-only pricing — the filing publishes a Maximum Offer Price and no indicative floor · A/H: no A-share listing · cornerstone %: cornerstone aggregate not stated in the filing · P/S: 1,598x on HK$3.5m revenue — effectively pre-revenue; the multiple is shown for completeness, not comparability</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7" t="n">
        <v>10.89</v>
      </c>
      <c r="W384" s="63" t="inlineStr">
        <is>
          <t>Ghisallo Fund Master Ltd; Athos Capital Limited; Hel Ved Master Fund; Ocean Arete Limited; Eastspring</t>
        </is>
      </c>
      <c r="X384" s="63" t="inlineStr">
        <is>
          <t>ghisallo;athos;hel;ocean;eastspring</t>
        </is>
      </c>
      <c r="Y384" s="67" t="n">
        <v>15</v>
      </c>
      <c r="Z384" s="63" t="inlineStr">
        <is>
          <t>lapsed</t>
        </is>
      </c>
      <c r="AA384" s="72" t="n">
        <v>-9.279999999999999</v>
      </c>
      <c r="AB384" s="73" t="n">
        <v>-10.79</v>
      </c>
      <c r="AC384" s="73" t="n">
        <v>1.69</v>
      </c>
      <c r="AD384" s="73" t="n">
        <v>-22.3</v>
      </c>
      <c r="AE384" s="73" t="n">
        <v>-16.47</v>
      </c>
      <c r="AF384" s="73" t="n">
        <v>-25.4</v>
      </c>
      <c r="AG384" s="73" t="n">
        <v>-14.35</v>
      </c>
      <c r="AH384" s="73" t="n">
        <v>-7.93</v>
      </c>
      <c r="AI384" s="73" t="n">
        <v>-17.77</v>
      </c>
      <c r="AJ384" s="73" t="n">
        <v>-25.56</v>
      </c>
      <c r="AK384" s="73" t="n">
        <v>-14.18</v>
      </c>
      <c r="AL384" s="73" t="n">
        <v>-17.64</v>
      </c>
      <c r="AM384" s="73" t="n">
        <v>-3.04</v>
      </c>
      <c r="AN384" s="73" t="n">
        <v>-2.29</v>
      </c>
      <c r="AO384" s="73" t="n">
        <v>-4.89</v>
      </c>
      <c r="AP384" s="63" t="inlineStr">
        <is>
          <t>HSTECH (Hang Seng TECH ETF)</t>
        </is>
      </c>
      <c r="AQ384" s="73" t="n">
        <v>-55.83</v>
      </c>
      <c r="AR384" s="64" t="inlineStr">
        <is>
          <t>2026-08-24</t>
        </is>
      </c>
      <c r="AS384" s="65" t="n">
        <v>585.2</v>
      </c>
      <c r="AT384" s="68" t="n">
        <v>-2138.1</v>
      </c>
      <c r="AU384" s="63" t="inlineStr">
        <is>
          <t>N</t>
        </is>
      </c>
      <c r="AV384" s="63" t="inlineStr">
        <is>
          <t>n/m</t>
        </is>
      </c>
      <c r="AW384" s="74" t="n"/>
      <c r="AX384" s="74" t="n"/>
      <c r="AY384" s="74" t="n">
        <v>103.2</v>
      </c>
      <c r="AZ384" s="75" t="inlineStr">
        <is>
          <t>N</t>
        </is>
      </c>
      <c r="BA384" s="76">
        <f>IF('BBG Verify'!K384="","not filed — run on terminal",'BBG Verify'!K384)</f>
        <v/>
      </c>
      <c r="BB384" s="63" t="inlineStr">
        <is>
          <t>N/A</t>
        </is>
      </c>
      <c r="BC384" s="63" t="inlineStr">
        <is>
          <t>N/A</t>
        </is>
      </c>
      <c r="BD384" s="63" t="inlineStr">
        <is>
          <t>N/A</t>
        </is>
      </c>
      <c r="BE384" s="63" t="inlineStr">
        <is>
          <t>N/A</t>
        </is>
      </c>
      <c r="BF384" s="63" t="inlineStr">
        <is>
          <t>N/A</t>
        </is>
      </c>
      <c r="BG384" s="75" t="inlineStr">
        <is>
          <t>Goldman Sachs; BofA Securities; Deutsche Bank; Huatai International</t>
        </is>
      </c>
      <c r="BH384" s="63" t="inlineStr">
        <is>
          <t>Merrill Lynch (Asia Pacific) Limited; Goldman Sachs (Asia) L.L.C.; Huatai Financial Holdings (Hong Kong) Limited; Deutsche Securities Asia Limited</t>
        </is>
      </c>
      <c r="BI384" s="63" t="inlineStr">
        <is>
          <t>Goldman Sachs (Asia) L.L.C; Central, Hong Kong Merrill Lynch (Asia Pacific) Limited; Central, Hong Kong Deutsche Bank AG, Hong Kong Branch; Huatai Financial Holdings (Hong Kong) Limited; Central, Hong Kong CLSA Limited; BOCI Asia Limited</t>
        </is>
      </c>
      <c r="BJ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7">
        <f>HYPERLINK("https://www1.hkexnews.hk/listedco/listconews/sehk/2025/1028/2025102800087.pdf","prospectus")</f>
        <v/>
      </c>
      <c r="BL384" s="77">
        <f>HYPERLINK("https://www1.hkexnews.hk/listedco/listconews/sehk/2025/1105/2025110502018.pdf","allotment")</f>
        <v/>
      </c>
      <c r="BM384" s="77">
        <f>HYPERLINK("https://www1.hkexnews.hk/listedco/listconews/sehk/2025/1203/2025120302148.pdf","stabilisation")</f>
        <v/>
      </c>
      <c r="BN384" s="75" t="n"/>
      <c r="BO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26637</v>
      </c>
      <c r="R385" s="63" t="inlineStr">
        <is>
          <t>derived:deal size / offer % of enlarged capital</t>
        </is>
      </c>
      <c r="S385" s="69" t="n">
        <v>147.67</v>
      </c>
      <c r="T385" s="70" t="n">
        <v>9.779999999999999</v>
      </c>
      <c r="U385" s="71" t="n">
        <v>24.5</v>
      </c>
      <c r="V385" s="67" t="n">
        <v>9.67</v>
      </c>
      <c r="W385" s="63" t="inlineStr">
        <is>
          <t>JSC (chairman vehicle); Ningbo Xinzhi; Jump Trading; Zhongding Capital Fund VIII; China Post Wealth Management; Vandi (CCB International); Fidelidade (Fosun)</t>
        </is>
      </c>
      <c r="X385" s="63" t="inlineStr">
        <is>
          <t>jsc;ningbo;jump;zhongding;post;vandi;fidelidade</t>
        </is>
      </c>
      <c r="Y385" s="67" t="n">
        <v>15</v>
      </c>
      <c r="Z385" s="63" t="n"/>
      <c r="AA385" s="72" t="n">
        <v>-8</v>
      </c>
      <c r="AB385" s="73" t="n">
        <v>-2.27</v>
      </c>
      <c r="AC385" s="73" t="n">
        <v>-5.86</v>
      </c>
      <c r="AD385" s="73" t="n">
        <v>-20.45</v>
      </c>
      <c r="AE385" s="73" t="n">
        <v>-20.82</v>
      </c>
      <c r="AF385" s="73" t="n">
        <v>-22.86</v>
      </c>
      <c r="AG385" s="73" t="n">
        <v>-13.53</v>
      </c>
      <c r="AH385" s="73" t="n">
        <v>-13.93</v>
      </c>
      <c r="AI385" s="73" t="n">
        <v>-16.15</v>
      </c>
      <c r="AJ385" s="73" t="n">
        <v>-24.17</v>
      </c>
      <c r="AK385" s="73" t="n">
        <v>-20.92</v>
      </c>
      <c r="AL385" s="73" t="n">
        <v>-20.29</v>
      </c>
      <c r="AM385" s="73" t="n">
        <v>-11.74</v>
      </c>
      <c r="AN385" s="73" t="n">
        <v>0.1</v>
      </c>
      <c r="AO385" s="73" t="n">
        <v>-2.19</v>
      </c>
      <c r="AP385" s="63" t="inlineStr">
        <is>
          <t>Hang Seng Commerce &amp; Industry sub-index</t>
        </is>
      </c>
      <c r="AQ385" s="73" t="n">
        <v>-41.18</v>
      </c>
      <c r="AR385" s="64" t="inlineStr">
        <is>
          <t>2026-08-21</t>
        </is>
      </c>
      <c r="AS385" s="65" t="n">
        <v>61449.9</v>
      </c>
      <c r="AT385" s="68" t="n">
        <v>1458.9</v>
      </c>
      <c r="AU385" s="63" t="inlineStr">
        <is>
          <t>Y</t>
        </is>
      </c>
      <c r="AV385" s="74" t="n">
        <v>18.3</v>
      </c>
      <c r="AW385" s="74" t="n"/>
      <c r="AX385" s="74" t="n"/>
      <c r="AY385" s="74" t="n">
        <v>0.4</v>
      </c>
      <c r="AZ385" s="75" t="inlineStr">
        <is>
          <t>Y</t>
        </is>
      </c>
      <c r="BA385" s="63" t="inlineStr">
        <is>
          <t>600699.SS</t>
        </is>
      </c>
      <c r="BB385" s="73" t="n">
        <v>48.18</v>
      </c>
      <c r="BC385" s="66" t="n">
        <v>32.5992</v>
      </c>
      <c r="BD385" s="80" t="n">
        <v>0.7886</v>
      </c>
      <c r="BE385" s="78">
        <f>IF('BBG Verify'!Q385="","run on terminal",'BBG Verify'!Q385)</f>
        <v/>
      </c>
      <c r="BF385" s="78">
        <f>IF('BBG Verify'!R385="","run on terminal",'BBG Verify'!R385)</f>
        <v/>
      </c>
      <c r="BG385" s="75" t="inlineStr">
        <is>
          <t>China International Capital Corporation Hong Kong Securities Limited; UBS Securities Hong Kong Limited</t>
        </is>
      </c>
      <c r="BH385" s="63" t="inlineStr">
        <is>
          <t>China International Capital Corporation Hong Kong Securities Limited; UBS Securities Hong Kong Limited</t>
        </is>
      </c>
      <c r="BI385" s="63" t="inlineStr">
        <is>
          <t>China International Capital Corporation Hong Kong Securities Limited; ABCI Capital Limited; UBS AG Hong Kong Branch; China Renaissance Securities (Hong Kong) Limited</t>
        </is>
      </c>
      <c r="BJ385" s="63" t="inlineStr">
        <is>
          <t>ABCI Securities Company Limited; China International Capital Corporation Hong Kong Securities Limited; China Renaissance Securities (Hong Kong) Limited; GF Securities (Hong Kong) Brokerage Limited; UBS AG Hong Kong Branch</t>
        </is>
      </c>
      <c r="BK385" s="77">
        <f>HYPERLINK("https://www1.hkexnews.hk/listedco/listconews/sehk/2025/1028/2025102800057.pdf","prospectus")</f>
        <v/>
      </c>
      <c r="BL385" s="77">
        <f>HYPERLINK("https://www1.hkexnews.hk/listedco/listconews/sehk/2025/1105/2025110502028.pdf","allotment")</f>
        <v/>
      </c>
      <c r="BM385" s="63" t="n"/>
      <c r="BN385" s="75" t="n"/>
      <c r="BO385" s="63" t="inlineStr">
        <is>
          <t>greenshoe: end-of-stabilisation notice not located · range low: cap-only pricing — the filing publishes a Maximum Offer Price and no indicative floor · A/H: Nov 2025 H listing (auto electronics/safety)</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v>24.2</v>
      </c>
      <c r="L386" s="66" t="n">
        <v>26.2</v>
      </c>
      <c r="M386" s="66" t="n">
        <v>26.2</v>
      </c>
      <c r="N386" s="63" t="inlineStr">
        <is>
          <t>Y</t>
        </is>
      </c>
      <c r="O386" s="67" t="n">
        <v>100</v>
      </c>
      <c r="P386" s="67" t="n">
        <v>100</v>
      </c>
      <c r="Q386" s="68" t="n">
        <v>14662.4</v>
      </c>
      <c r="R386" s="63" t="inlineStr">
        <is>
          <t>prospectus:stated market capitalisation</t>
        </is>
      </c>
      <c r="S386" s="69" t="n">
        <v>1813.77</v>
      </c>
      <c r="T386" s="70" t="n">
        <v>34.33</v>
      </c>
      <c r="U386" s="71" t="n">
        <v>4.6</v>
      </c>
      <c r="V386" s="67" t="n">
        <v>15.49</v>
      </c>
      <c r="W386" s="63" t="inlineStr">
        <is>
          <t>NewTrails Capital; NewTrails Forest; China Southern AM; Fullgoal Fund; E Fund Management Co., Ltd; Relationship E Fund; CICC FT; Qihui Runjin; China AMC; Relationship CITIC AM</t>
        </is>
      </c>
      <c r="X386" s="63" t="inlineStr">
        <is>
          <t>newtrails;southern-am;fullgoal;fund-management;relationship;china-international;qihui;amc</t>
        </is>
      </c>
      <c r="Y386" s="67" t="n">
        <v>15</v>
      </c>
      <c r="Z386" s="63" t="n"/>
      <c r="AA386" s="72" t="n">
        <v>25.95</v>
      </c>
      <c r="AB386" s="73" t="n">
        <v>33.51</v>
      </c>
      <c r="AC386" s="73" t="n">
        <v>-5.66</v>
      </c>
      <c r="AD386" s="73" t="n">
        <v>17.71</v>
      </c>
      <c r="AE386" s="73" t="n">
        <v>14.5</v>
      </c>
      <c r="AF386" s="73" t="n">
        <v>17.1</v>
      </c>
      <c r="AG386" s="73" t="n">
        <v>-6.54</v>
      </c>
      <c r="AH386" s="73" t="n">
        <v>-9.09</v>
      </c>
      <c r="AI386" s="73" t="n">
        <v>-7.03</v>
      </c>
      <c r="AJ386" s="73" t="n">
        <v>17.93</v>
      </c>
      <c r="AK386" s="73" t="n">
        <v>17.89</v>
      </c>
      <c r="AL386" s="73" t="n">
        <v>18.47</v>
      </c>
      <c r="AM386" s="73" t="n">
        <v>-3.92</v>
      </c>
      <c r="AN386" s="73" t="n">
        <v>-3.39</v>
      </c>
      <c r="AO386" s="73" t="n">
        <v>-5.17</v>
      </c>
      <c r="AP386" s="63" t="inlineStr">
        <is>
          <t>Hang Seng Commerce &amp; Industry sub-index</t>
        </is>
      </c>
      <c r="AQ386" s="73" t="n">
        <v>26.72</v>
      </c>
      <c r="AR386" s="64" t="inlineStr">
        <is>
          <t>2026-08-21</t>
        </is>
      </c>
      <c r="AS386" s="65" t="n">
        <v>3544.2</v>
      </c>
      <c r="AT386" s="68" t="n">
        <v>741.9</v>
      </c>
      <c r="AU386" s="63" t="inlineStr">
        <is>
          <t>Y</t>
        </is>
      </c>
      <c r="AV386" s="74" t="n">
        <v>19.8</v>
      </c>
      <c r="AW386" s="74" t="n">
        <v>22.3</v>
      </c>
      <c r="AX386" s="74" t="n">
        <v>19.1</v>
      </c>
      <c r="AY386" s="74" t="n">
        <v>4.1</v>
      </c>
      <c r="AZ386" s="75" t="inlineStr">
        <is>
          <t>N</t>
        </is>
      </c>
      <c r="BA386" s="76">
        <f>IF('BBG Verify'!K386="","not filed — run on terminal",'BBG Verify'!K386)</f>
        <v/>
      </c>
      <c r="BB386" s="63" t="inlineStr">
        <is>
          <t>N/A</t>
        </is>
      </c>
      <c r="BC386" s="63" t="inlineStr">
        <is>
          <t>N/A</t>
        </is>
      </c>
      <c r="BD386" s="63" t="inlineStr">
        <is>
          <t>N/A</t>
        </is>
      </c>
      <c r="BE386" s="63" t="inlineStr">
        <is>
          <t>N/A</t>
        </is>
      </c>
      <c r="BF386" s="63" t="inlineStr">
        <is>
          <t>N/A</t>
        </is>
      </c>
      <c r="BG386" s="75" t="inlineStr">
        <is>
          <t>China International Capital Corporation Hong Kong Securities Limited; CITIC Securities (Hong Kong) Limited; GF Capital (Hong Kong) Limited</t>
        </is>
      </c>
      <c r="BH386" s="63" t="inlineStr">
        <is>
          <t>China International Capital Corporation Hong Kong Securities Limited; CITIC Securities (Hong Kong) Limited; GF Capital (Hong Kong) Limited</t>
        </is>
      </c>
      <c r="BI386" s="63" t="inlineStr">
        <is>
          <t>China International Capital Corporation Hong Kong Securities Limited; CLSA Limited; GF Securities (Hong Kong) Brokerage Limited</t>
        </is>
      </c>
      <c r="BJ386" s="63" t="inlineStr">
        <is>
          <t>China International Capital Corporation Hong Kong Securities Limited; CLSA Limited; GF Securities (Hong Kong) Brokerage Limited</t>
        </is>
      </c>
      <c r="BK386" s="77">
        <f>HYPERLINK("https://www1.hkexnews.hk/listedco/listconews/sehk/2025/1031/2025103100021.pdf","prospectus")</f>
        <v/>
      </c>
      <c r="BL386" s="77">
        <f>HYPERLINK("https://www1.hkexnews.hk/listedco/listconews/sehk/2025/1107/2025110701708.pdf","allotment")</f>
        <v/>
      </c>
      <c r="BM386" s="63" t="n"/>
      <c r="BN386" s="75" t="n"/>
      <c r="BO386" s="63" t="inlineStr">
        <is>
          <t>greenshoe: end-of-stabilisation notice not located · A/H: no A-share listing</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31277.1</v>
      </c>
      <c r="R387" s="63" t="inlineStr">
        <is>
          <t>derived:deal size / offer % of enlarged capital</t>
        </is>
      </c>
      <c r="S387" s="69" t="n">
        <v>27.9</v>
      </c>
      <c r="T387" s="70" t="n">
        <v>4.08</v>
      </c>
      <c r="U387" s="71" t="n">
        <v>46.8</v>
      </c>
      <c r="V387" s="67" t="n">
        <v>6.03</v>
      </c>
      <c r="W387" s="63" t="inlineStr">
        <is>
          <t>Guizhou New Industrialization Fund; Baoda Investment; CALB Co., Ltd; LENS TECHNOLOGY (HK) CO., LIMITED; Sunwoda; Gaoyi Asset Management; North Rock; Hunan Xingxiang Industry Fund</t>
        </is>
      </c>
      <c r="X387" s="63" t="inlineStr">
        <is>
          <t>guizhou;baoda;calb;lens;sunwoda;gaoyi;north-rock;hunan</t>
        </is>
      </c>
      <c r="Y387" s="67" t="n">
        <v>15</v>
      </c>
      <c r="Z387" s="63" t="inlineStr">
        <is>
          <t>lapsed</t>
        </is>
      </c>
      <c r="AA387" s="72" t="n">
        <v>-0.12</v>
      </c>
      <c r="AB387" s="73" t="n">
        <v>0</v>
      </c>
      <c r="AC387" s="73" t="n">
        <v>-0.12</v>
      </c>
      <c r="AD387" s="73" t="n">
        <v>-10.88</v>
      </c>
      <c r="AE387" s="73" t="n">
        <v>-22.65</v>
      </c>
      <c r="AF387" s="73" t="n">
        <v>2.53</v>
      </c>
      <c r="AG387" s="73" t="n">
        <v>-10.77</v>
      </c>
      <c r="AH387" s="73" t="n">
        <v>-22.56</v>
      </c>
      <c r="AI387" s="73" t="n">
        <v>2.65</v>
      </c>
      <c r="AJ387" s="73" t="n">
        <v>-7.61</v>
      </c>
      <c r="AK387" s="73" t="n">
        <v>-16.86</v>
      </c>
      <c r="AL387" s="73" t="n">
        <v>7.46</v>
      </c>
      <c r="AM387" s="73" t="n">
        <v>-17.39</v>
      </c>
      <c r="AN387" s="73" t="n">
        <v>-5.79</v>
      </c>
      <c r="AO387" s="73" t="n">
        <v>-5.17</v>
      </c>
      <c r="AP387" s="63" t="inlineStr">
        <is>
          <t>Hang Seng Commerce &amp; Industry sub-index</t>
        </is>
      </c>
      <c r="AQ387" s="73" t="n">
        <v>-27.71</v>
      </c>
      <c r="AR387" s="64" t="inlineStr">
        <is>
          <t>2026-08-20</t>
        </is>
      </c>
      <c r="AS387" s="65" t="n">
        <v>44245.2</v>
      </c>
      <c r="AT387" s="68" t="n">
        <v>1966.5</v>
      </c>
      <c r="AU387" s="63" t="inlineStr">
        <is>
          <t>Y</t>
        </is>
      </c>
      <c r="AV387" s="74" t="n">
        <v>15.9</v>
      </c>
      <c r="AW387" s="74" t="n">
        <v>21.5</v>
      </c>
      <c r="AX387" s="74" t="n">
        <v>13.4</v>
      </c>
      <c r="AY387" s="74" t="n">
        <v>0.7</v>
      </c>
      <c r="AZ387" s="75" t="inlineStr">
        <is>
          <t>Y</t>
        </is>
      </c>
      <c r="BA387" s="63" t="inlineStr">
        <is>
          <t>300919.SZ</t>
        </is>
      </c>
      <c r="BB387" s="73" t="n">
        <v>59.33</v>
      </c>
      <c r="BC387" s="66" t="n">
        <v>54.1727</v>
      </c>
      <c r="BD387" s="80" t="n">
        <v>0.8457</v>
      </c>
      <c r="BE387" s="78">
        <f>IF('BBG Verify'!Q387="","run on terminal",'BBG Verify'!Q387)</f>
        <v/>
      </c>
      <c r="BF387" s="78">
        <f>IF('BBG Verify'!R387="","run on terminal",'BBG Verify'!R387)</f>
        <v/>
      </c>
      <c r="BG387" s="75" t="inlineStr">
        <is>
          <t>and Sponsor-overall Coordinators Morgan Stanley Asia Limited; Huatai Financial Holdings (Hong Kong) Limited</t>
        </is>
      </c>
      <c r="BH387" s="63" t="inlineStr">
        <is>
          <t>Morgan Stanley Asia Limited; Huatai Financial Holdings (Hong Kong) Limited</t>
        </is>
      </c>
      <c r="BI387" s="63"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7">
        <f>HYPERLINK("https://www1.hkexnews.hk/listedco/listconews/sehk/2025/1107/2025110700058.htm","prospectus")</f>
        <v/>
      </c>
      <c r="BL387" s="77">
        <f>HYPERLINK("https://www1.hkexnews.hk/listedco/listconews/sehk/2025/1116/2025111600003.pdf","allotment")</f>
        <v/>
      </c>
      <c r="BM387" s="77">
        <f>HYPERLINK("https://www1.hkexnews.hk/listedco/listconews/sehk/2025/1212/2025121200406.pdf","stabilisation")</f>
        <v/>
      </c>
      <c r="BN387" s="75" t="n"/>
      <c r="BO387" s="63" t="inlineStr">
        <is>
          <t>range low: cap-only pricing — the filing publishes a Maximum Offer Price and no indicative floor · A/H: Nov 2025 H listing (battery precursor materials)</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19837.5</v>
      </c>
      <c r="R388" s="63" t="inlineStr">
        <is>
          <t>derived:deal size / offer % of enlarged capital</t>
        </is>
      </c>
      <c r="S388" s="69" t="n">
        <v>447.2</v>
      </c>
      <c r="T388" s="70" t="n">
        <v>19.85</v>
      </c>
      <c r="U388" s="71" t="n">
        <v>49.66</v>
      </c>
      <c r="V388" s="67" t="n">
        <v>13.94</v>
      </c>
      <c r="W388" s="63" t="inlineStr">
        <is>
          <t>HHLR Advisors, Ltd; China Hongqiao Group Limited; Jane Street Asia Trading Limited; Management (HK) Limited</t>
        </is>
      </c>
      <c r="X388" s="63" t="inlineStr">
        <is>
          <t>hhlr;hongqiao;jane;management-limited</t>
        </is>
      </c>
      <c r="Y388" s="67" t="n">
        <v>15</v>
      </c>
      <c r="Z388" s="63" t="n"/>
      <c r="AA388" s="72" t="n">
        <v>32.76</v>
      </c>
      <c r="AB388" s="73" t="n">
        <v>38.31</v>
      </c>
      <c r="AC388" s="73" t="n">
        <v>-4.01</v>
      </c>
      <c r="AD388" s="73" t="n">
        <v>59.42</v>
      </c>
      <c r="AE388" s="73" t="n">
        <v>78.34</v>
      </c>
      <c r="AF388" s="73" t="n">
        <v>115.65</v>
      </c>
      <c r="AG388" s="73" t="n">
        <v>20.08</v>
      </c>
      <c r="AH388" s="73" t="n">
        <v>34.33</v>
      </c>
      <c r="AI388" s="73" t="n">
        <v>62.44</v>
      </c>
      <c r="AJ388" s="73" t="n">
        <v>55.74</v>
      </c>
      <c r="AK388" s="73" t="n">
        <v>77.44</v>
      </c>
      <c r="AL388" s="73" t="n">
        <v>115.98</v>
      </c>
      <c r="AM388" s="73" t="n">
        <v>35.65</v>
      </c>
      <c r="AN388" s="73" t="n">
        <v>0.9</v>
      </c>
      <c r="AO388" s="73" t="n">
        <v>-1.32</v>
      </c>
      <c r="AP388" s="63" t="inlineStr">
        <is>
          <t>Hang Seng Commerce &amp; Industry sub-index</t>
        </is>
      </c>
      <c r="AQ388" s="73" t="n">
        <v>50.05</v>
      </c>
      <c r="AR388" s="64" t="inlineStr">
        <is>
          <t>2026-08-21</t>
        </is>
      </c>
      <c r="AS388" s="65" t="n">
        <v>16679.5</v>
      </c>
      <c r="AT388" s="68" t="n">
        <v>2261.8</v>
      </c>
      <c r="AU388" s="63" t="inlineStr">
        <is>
          <t>Y</t>
        </is>
      </c>
      <c r="AV388" s="74" t="n">
        <v>8.800000000000001</v>
      </c>
      <c r="AW388" s="74" t="n"/>
      <c r="AX388" s="74" t="n"/>
      <c r="AY388" s="74" t="n">
        <v>1.2</v>
      </c>
      <c r="AZ388" s="75" t="inlineStr">
        <is>
          <t>N</t>
        </is>
      </c>
      <c r="BA388" s="76">
        <f>IF('BBG Verify'!K388="","not filed — run on terminal",'BBG Verify'!K388)</f>
        <v/>
      </c>
      <c r="BB388" s="63" t="inlineStr">
        <is>
          <t>N/A</t>
        </is>
      </c>
      <c r="BC388" s="63" t="inlineStr">
        <is>
          <t>N/A</t>
        </is>
      </c>
      <c r="BD388" s="63" t="inlineStr">
        <is>
          <t>N/A</t>
        </is>
      </c>
      <c r="BE388" s="63" t="inlineStr">
        <is>
          <t>N/A</t>
        </is>
      </c>
      <c r="BF388" s="63" t="inlineStr">
        <is>
          <t>N/A</t>
        </is>
      </c>
      <c r="BG388" s="75" t="inlineStr">
        <is>
          <t>China International Capital Corporation Hong Kong Securities Limited; Huatai Financial Holdings (Hong Kong) Limited</t>
        </is>
      </c>
      <c r="BH388" s="63" t="inlineStr">
        <is>
          <t>China International Capital Corporation Hong Kong Securities Limited; Huatai Financial Holdings (Hong Kong) Limited</t>
        </is>
      </c>
      <c r="BI388" s="63" t="inlineStr">
        <is>
          <t>China International Capital Corporation Hong Kong Securities Limited; Huatai Financial Holdings (Hong Kong) Limited; CMB International Capital Limited; UOB Kay Hian (Hong Kong) Limited; BOCI Asia Limited; South China Securities Limited</t>
        </is>
      </c>
      <c r="BJ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7">
        <f>HYPERLINK("https://www1.hkexnews.hk/listedco/listconews/sehk/2025/1114/2025111400009.pdf","prospectus")</f>
        <v/>
      </c>
      <c r="BL388" s="77">
        <f>HYPERLINK("https://www1.hkexnews.hk/listedco/listconews/sehk/2025/1121/2025112101421.pdf","allotment")</f>
        <v/>
      </c>
      <c r="BM388" s="63" t="n"/>
      <c r="BN388" s="75" t="n"/>
      <c r="BO388" s="63" t="inlineStr">
        <is>
          <t>greenshoe: end-of-stabilisation notice not located · range low: cap-only pricing — the filing publishes a Maximum Offer Price and no indicative floor · A/H: no A-share listing</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c r="L389" s="66" t="n">
        <v>9.800000000000001</v>
      </c>
      <c r="M389" s="66" t="n">
        <v>9.800000000000001</v>
      </c>
      <c r="N389" s="63" t="inlineStr">
        <is>
          <t>Y</t>
        </is>
      </c>
      <c r="O389" s="67" t="n">
        <v>100</v>
      </c>
      <c r="P389" s="67" t="n"/>
      <c r="Q389" s="68" t="n">
        <v>5031.2</v>
      </c>
      <c r="R389" s="63" t="inlineStr">
        <is>
          <t>derived:deal size / offer % of enlarged capital</t>
        </is>
      </c>
      <c r="S389" s="69" t="n">
        <v>9366.280000000001</v>
      </c>
      <c r="T389" s="70" t="n">
        <v>15.07</v>
      </c>
      <c r="U389" s="71" t="n">
        <v>0</v>
      </c>
      <c r="V389" s="67" t="n">
        <v>2.6</v>
      </c>
      <c r="W389" s="63" t="n"/>
      <c r="X389" s="63" t="n"/>
      <c r="Y389" s="67" t="n">
        <v>15</v>
      </c>
      <c r="Z389" s="63" t="inlineStr">
        <is>
          <t>partial</t>
        </is>
      </c>
      <c r="AA389" s="72" t="n">
        <v>88.78</v>
      </c>
      <c r="AB389" s="73" t="n">
        <v>165.31</v>
      </c>
      <c r="AC389" s="73" t="n">
        <v>-28.85</v>
      </c>
      <c r="AD389" s="73" t="n">
        <v>189.8</v>
      </c>
      <c r="AE389" s="73" t="n">
        <v>177.76</v>
      </c>
      <c r="AF389" s="73" t="n">
        <v>208.98</v>
      </c>
      <c r="AG389" s="73" t="n">
        <v>53.51</v>
      </c>
      <c r="AH389" s="73" t="n">
        <v>47.13</v>
      </c>
      <c r="AI389" s="73" t="n">
        <v>63.67</v>
      </c>
      <c r="AJ389" s="73" t="n">
        <v>189.89</v>
      </c>
      <c r="AK389" s="73" t="n">
        <v>178.58</v>
      </c>
      <c r="AL389" s="73" t="n">
        <v>223.24</v>
      </c>
      <c r="AM389" s="73" t="n">
        <v>47.59</v>
      </c>
      <c r="AN389" s="73" t="n">
        <v>-0.82</v>
      </c>
      <c r="AO389" s="73" t="n">
        <v>-0.46</v>
      </c>
      <c r="AP389" s="63" t="inlineStr">
        <is>
          <t>HSTECH (Hang Seng TECH ETF)</t>
        </is>
      </c>
      <c r="AQ389" s="73" t="n">
        <v>-58.52</v>
      </c>
      <c r="AR389" s="64" t="inlineStr">
        <is>
          <t>2026-08-20</t>
        </is>
      </c>
      <c r="AS389" s="65" t="n">
        <v>1092.3</v>
      </c>
      <c r="AT389" s="68" t="n">
        <v>161.8</v>
      </c>
      <c r="AU389" s="63" t="inlineStr">
        <is>
          <t>Y</t>
        </is>
      </c>
      <c r="AV389" s="74" t="n">
        <v>31.1</v>
      </c>
      <c r="AW389" s="74" t="n"/>
      <c r="AX389" s="74" t="n"/>
      <c r="AY389" s="74" t="n">
        <v>4.6</v>
      </c>
      <c r="AZ389" s="75" t="inlineStr">
        <is>
          <t>N</t>
        </is>
      </c>
      <c r="BA389" s="76">
        <f>IF('BBG Verify'!K389="","not filed — run on terminal",'BBG Verify'!K389)</f>
        <v/>
      </c>
      <c r="BB389" s="63" t="inlineStr">
        <is>
          <t>N/A</t>
        </is>
      </c>
      <c r="BC389" s="63" t="inlineStr">
        <is>
          <t>N/A</t>
        </is>
      </c>
      <c r="BD389" s="63" t="inlineStr">
        <is>
          <t>N/A</t>
        </is>
      </c>
      <c r="BE389" s="63" t="inlineStr">
        <is>
          <t>N/A</t>
        </is>
      </c>
      <c r="BF389" s="63" t="inlineStr">
        <is>
          <t>N/A</t>
        </is>
      </c>
      <c r="BG389" s="75" t="inlineStr">
        <is>
          <t>China International Capital Corporation Hong Kong Securities Limited; Hong Kong SAR CITIC Securities (Hong Kong) Limited</t>
        </is>
      </c>
      <c r="BH389" s="63" t="inlineStr">
        <is>
          <t>China International Capital Corporation Hong Kong Securities Limited; CITIC Securities (Hong Kong) Limited</t>
        </is>
      </c>
      <c r="BI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3" t="inlineStr">
        <is>
          <t>China International Capital Corporation Hong Kong Securities Limited; CLSA Limited; Fosun International Securities Limited; Futu Securities International (Hong Kong) Limited; Tiger Brokers (HK) Global Limited</t>
        </is>
      </c>
      <c r="BK389" s="77">
        <f>HYPERLINK("https://www1.hkexnews.hk/listedco/listconews/sehk/2025/1119/2025111900009.pdf","prospectus")</f>
        <v/>
      </c>
      <c r="BL389" s="77">
        <f>HYPERLINK("https://www1.hkexnews.hk/listedco/listconews/sehk/2025/1126/2025112601522.pdf","allotment")</f>
        <v/>
      </c>
      <c r="BM389" s="77">
        <f>HYPERLINK("https://www1.hkexnews.hk/listedco/listconews/sehk/2025/1224/2025122401992.pdf","stabilisation")</f>
        <v/>
      </c>
      <c r="BN389" s="75" t="n"/>
      <c r="BO389" s="63" t="inlineStr">
        <is>
          <t>range low: cap-only pricing — the filing publishes a Maximum Offer Price and no indicative floor · A/H: no A-share listing · cornerstone list: no cornerstone tranche in this deal</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7" t="n">
        <v>1.66</v>
      </c>
      <c r="W390" s="63" t="inlineStr">
        <is>
          <t>Huatai Capital Investment Limited; BYD Company Limited –; Sungrow Power Note 1 –; CICC Pucheng Investment Co., Ltd. –; Horizon Splendor</t>
        </is>
      </c>
      <c r="X390" s="63" t="inlineStr">
        <is>
          <t>huatai;byd;sungrow;china-international;horizon</t>
        </is>
      </c>
      <c r="Y390" s="67" t="n">
        <v>15</v>
      </c>
      <c r="Z390" s="63" t="inlineStr">
        <is>
          <t>partial</t>
        </is>
      </c>
      <c r="AA390" s="72" t="n">
        <v>-22.97</v>
      </c>
      <c r="AB390" s="73" t="n">
        <v>-5.46</v>
      </c>
      <c r="AC390" s="73" t="n">
        <v>-18.52</v>
      </c>
      <c r="AD390" s="73" t="n">
        <v>-21.5</v>
      </c>
      <c r="AE390" s="73" t="n">
        <v>-35.43</v>
      </c>
      <c r="AF390" s="73" t="n">
        <v>-36.2</v>
      </c>
      <c r="AG390" s="73" t="n">
        <v>1.91</v>
      </c>
      <c r="AH390" s="73" t="n">
        <v>-16.18</v>
      </c>
      <c r="AI390" s="73" t="n">
        <v>-17.18</v>
      </c>
      <c r="AJ390" s="73" t="n">
        <v>-22.87</v>
      </c>
      <c r="AK390" s="73" t="n">
        <v>-32.73</v>
      </c>
      <c r="AL390" s="73" t="n">
        <v>-27.85</v>
      </c>
      <c r="AM390" s="73" t="n">
        <v>-13.63</v>
      </c>
      <c r="AN390" s="73" t="n">
        <v>-2.7</v>
      </c>
      <c r="AO390" s="73" t="n">
        <v>-2.55</v>
      </c>
      <c r="AP390" s="63" t="inlineStr">
        <is>
          <t>Hang Seng Commerce &amp; Industry sub-index</t>
        </is>
      </c>
      <c r="AQ390" s="73" t="n">
        <v>-46.43</v>
      </c>
      <c r="AR390" s="64" t="inlineStr">
        <is>
          <t>2026-08-20</t>
        </is>
      </c>
      <c r="AS390" s="65" t="n">
        <v>463.9</v>
      </c>
      <c r="AT390" s="68" t="n">
        <v>95.09999999999999</v>
      </c>
      <c r="AU390" s="63" t="inlineStr">
        <is>
          <t>Y</t>
        </is>
      </c>
      <c r="AV390" s="74" t="n">
        <v>183</v>
      </c>
      <c r="AW390" s="74" t="n"/>
      <c r="AX390" s="74" t="n"/>
      <c r="AY390" s="74" t="n">
        <v>37.5</v>
      </c>
      <c r="AZ390" s="75" t="inlineStr">
        <is>
          <t>N</t>
        </is>
      </c>
      <c r="BA390" s="76">
        <f>IF('BBG Verify'!K390="","not filed — run on terminal",'BBG Verify'!K390)</f>
        <v/>
      </c>
      <c r="BB390" s="63" t="inlineStr">
        <is>
          <t>N/A</t>
        </is>
      </c>
      <c r="BC390" s="63" t="inlineStr">
        <is>
          <t>N/A</t>
        </is>
      </c>
      <c r="BD390" s="63" t="inlineStr">
        <is>
          <t>N/A</t>
        </is>
      </c>
      <c r="BE390" s="63" t="inlineStr">
        <is>
          <t>N/A</t>
        </is>
      </c>
      <c r="BF390" s="63" t="inlineStr">
        <is>
          <t>N/A</t>
        </is>
      </c>
      <c r="BG390" s="75" t="inlineStr">
        <is>
          <t>China International Capital Corporation Hong Kong Securities Limited</t>
        </is>
      </c>
      <c r="BH390" s="63" t="inlineStr">
        <is>
          <t>China International Capital Corporation Hong Kong Securities Limited</t>
        </is>
      </c>
      <c r="BI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7">
        <f>HYPERLINK("https://www1.hkexnews.hk/listedco/listconews/sehk/2025/1120/2025112000009.pdf","prospectus")</f>
        <v/>
      </c>
      <c r="BL390" s="77">
        <f>HYPERLINK("https://www1.hkexnews.hk/listedco/listconews/sehk/2025/1127/2025112701630.pdf","allotment")</f>
        <v/>
      </c>
      <c r="BM390" s="77">
        <f>HYPERLINK("https://www1.hkexnews.hk/listedco/listconews/sehk/2025/1228/2025122800169.pdf","stabilisation")</f>
        <v/>
      </c>
      <c r="BN390" s="75" t="n"/>
      <c r="BO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c r="L391" s="66" t="n">
        <v>40</v>
      </c>
      <c r="M391" s="66" t="n">
        <v>40</v>
      </c>
      <c r="N391" s="63" t="inlineStr">
        <is>
          <t>Y</t>
        </is>
      </c>
      <c r="O391" s="67" t="n">
        <v>100</v>
      </c>
      <c r="P391" s="67" t="n"/>
      <c r="Q391" s="68" t="n">
        <v>2222.2</v>
      </c>
      <c r="R391" s="63" t="inlineStr">
        <is>
          <t>derived:price x shares upon listing</t>
        </is>
      </c>
      <c r="S391" s="69" t="n">
        <v>7324.29</v>
      </c>
      <c r="T391" s="70" t="n">
        <v>6.78</v>
      </c>
      <c r="U391" s="71" t="n">
        <v>0</v>
      </c>
      <c r="V391" s="67" t="n">
        <v>10</v>
      </c>
      <c r="W391" s="63" t="n"/>
      <c r="X391" s="63" t="n"/>
      <c r="Y391" s="67" t="n"/>
      <c r="Z391" s="63" t="n"/>
      <c r="AA391" s="72" t="n">
        <v>36.25</v>
      </c>
      <c r="AB391" s="73" t="n">
        <v>62</v>
      </c>
      <c r="AC391" s="73" t="n">
        <v>-15.9</v>
      </c>
      <c r="AD391" s="73" t="n">
        <v>66.75</v>
      </c>
      <c r="AE391" s="73" t="n">
        <v>-16.05</v>
      </c>
      <c r="AF391" s="73" t="n">
        <v>-55.7</v>
      </c>
      <c r="AG391" s="73" t="n">
        <v>22.39</v>
      </c>
      <c r="AH391" s="73" t="n">
        <v>-38.39</v>
      </c>
      <c r="AI391" s="73" t="n">
        <v>-67.48999999999999</v>
      </c>
      <c r="AJ391" s="73" t="n">
        <v>71.5</v>
      </c>
      <c r="AK391" s="73" t="n">
        <v>-14.01</v>
      </c>
      <c r="AL391" s="73" t="n">
        <v>-68.91</v>
      </c>
      <c r="AM391" s="73" t="n">
        <v>-37.95</v>
      </c>
      <c r="AN391" s="73" t="n">
        <v>-2.04</v>
      </c>
      <c r="AO391" s="73" t="n">
        <v>-0.44</v>
      </c>
      <c r="AP391" s="63" t="inlineStr">
        <is>
          <t>Hang Seng Properties sub-index</t>
        </is>
      </c>
      <c r="AQ391" s="73" t="n">
        <v>-72.78</v>
      </c>
      <c r="AR391" s="64" t="inlineStr">
        <is>
          <t>2026-08-20</t>
        </is>
      </c>
      <c r="AS391" s="65" t="n">
        <v>877.8</v>
      </c>
      <c r="AT391" s="68" t="n">
        <v>94.40000000000001</v>
      </c>
      <c r="AU391" s="63" t="inlineStr">
        <is>
          <t>Y</t>
        </is>
      </c>
      <c r="AV391" s="74" t="n">
        <v>23.5</v>
      </c>
      <c r="AW391" s="74" t="n"/>
      <c r="AX391" s="74" t="n"/>
      <c r="AY391" s="74" t="n">
        <v>2.5</v>
      </c>
      <c r="AZ391" s="75" t="inlineStr">
        <is>
          <t>N</t>
        </is>
      </c>
      <c r="BA391" s="76">
        <f>IF('BBG Verify'!K391="","not filed — run on terminal",'BBG Verify'!K391)</f>
        <v/>
      </c>
      <c r="BB391" s="63" t="inlineStr">
        <is>
          <t>N/A</t>
        </is>
      </c>
      <c r="BC391" s="63" t="inlineStr">
        <is>
          <t>N/A</t>
        </is>
      </c>
      <c r="BD391" s="63" t="inlineStr">
        <is>
          <t>N/A</t>
        </is>
      </c>
      <c r="BE391" s="63" t="inlineStr">
        <is>
          <t>N/A</t>
        </is>
      </c>
      <c r="BF391" s="63" t="inlineStr">
        <is>
          <t>N/A</t>
        </is>
      </c>
      <c r="BG391" s="75" t="inlineStr">
        <is>
          <t>China Securities (International) Corporate Finance Company Limited; Shenwan Hongyuan Capital (H.K.) Limited</t>
        </is>
      </c>
      <c r="BH391" s="63" t="inlineStr">
        <is>
          <t>China Securities (International) Corporate Finance Company Limited; Shenwan Hongyuan Capital (H.K.) Limited</t>
        </is>
      </c>
      <c r="BI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7">
        <f>HYPERLINK("https://www1.hkexnews.hk/listedco/listconews/sehk/2025/1125/2025112500051.pdf","prospectus")</f>
        <v/>
      </c>
      <c r="BL391" s="77">
        <f>HYPERLINK("https://www1.hkexnews.hk/listedco/listconews/sehk/2025/1202/2025120202454.pdf","allotment")</f>
        <v/>
      </c>
      <c r="BM391" s="63" t="n"/>
      <c r="BN391" s="75" t="n"/>
      <c r="BO391"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7" t="n">
        <v>4.95</v>
      </c>
      <c r="W392" s="63" t="n"/>
      <c r="X392" s="63" t="n"/>
      <c r="Y392" s="67" t="n">
        <v>6.1</v>
      </c>
      <c r="Z392" s="63" t="inlineStr">
        <is>
          <t>lapsed</t>
        </is>
      </c>
      <c r="AA392" s="72" t="n">
        <v>2.19</v>
      </c>
      <c r="AB392" s="73" t="n">
        <v>27.4</v>
      </c>
      <c r="AC392" s="73" t="n">
        <v>-19.79</v>
      </c>
      <c r="AD392" s="73" t="n">
        <v>-11.51</v>
      </c>
      <c r="AE392" s="73" t="n">
        <v>-41.1</v>
      </c>
      <c r="AF392" s="73" t="n">
        <v>-39.04</v>
      </c>
      <c r="AG392" s="73" t="n">
        <v>-13.41</v>
      </c>
      <c r="AH392" s="73" t="n">
        <v>-42.36</v>
      </c>
      <c r="AI392" s="73" t="n">
        <v>-40.35</v>
      </c>
      <c r="AJ392" s="73" t="n">
        <v>-9.6</v>
      </c>
      <c r="AK392" s="73" t="n">
        <v>-41.44</v>
      </c>
      <c r="AL392" s="73" t="n">
        <v>-33.29</v>
      </c>
      <c r="AM392" s="73" t="n">
        <v>-43.88</v>
      </c>
      <c r="AN392" s="73" t="n">
        <v>0.34</v>
      </c>
      <c r="AO392" s="73" t="n">
        <v>1.52</v>
      </c>
      <c r="AP392" s="63" t="inlineStr">
        <is>
          <t>Hang Seng Commerce &amp; Industry sub-index</t>
        </is>
      </c>
      <c r="AQ392" s="73" t="n">
        <v>-59.04</v>
      </c>
      <c r="AR392" s="64" t="inlineStr">
        <is>
          <t>2026-08-20</t>
        </is>
      </c>
      <c r="AS392" s="65" t="n">
        <v>293.9</v>
      </c>
      <c r="AT392" s="68" t="n">
        <v>57.9</v>
      </c>
      <c r="AU392" s="63" t="inlineStr">
        <is>
          <t>Y</t>
        </is>
      </c>
      <c r="AV392" s="74" t="n">
        <v>12.3</v>
      </c>
      <c r="AW392" s="74" t="n"/>
      <c r="AX392" s="74" t="n"/>
      <c r="AY392" s="74" t="n">
        <v>2.4</v>
      </c>
      <c r="AZ392" s="75" t="inlineStr">
        <is>
          <t>N</t>
        </is>
      </c>
      <c r="BA392" s="76">
        <f>IF('BBG Verify'!K392="","not filed — run on terminal",'BBG Verify'!K392)</f>
        <v/>
      </c>
      <c r="BB392" s="63" t="inlineStr">
        <is>
          <t>N/A</t>
        </is>
      </c>
      <c r="BC392" s="63" t="inlineStr">
        <is>
          <t>N/A</t>
        </is>
      </c>
      <c r="BD392" s="63" t="inlineStr">
        <is>
          <t>N/A</t>
        </is>
      </c>
      <c r="BE392" s="63" t="inlineStr">
        <is>
          <t>N/A</t>
        </is>
      </c>
      <c r="BF392" s="63" t="inlineStr">
        <is>
          <t>N/A</t>
        </is>
      </c>
      <c r="BG392" s="75" t="inlineStr">
        <is>
          <t>Guoyuan Capital (Hong Kong) Limited; CMBC International Capital Limited</t>
        </is>
      </c>
      <c r="BH392" s="63" t="inlineStr">
        <is>
          <t>Guoyuan Capital (Hong Kong) Limited; CMBC International Capital Limited</t>
        </is>
      </c>
      <c r="BI392" s="63" t="inlineStr">
        <is>
          <t>China Sunrise Securities (International) Limited; First Shanghai Securities Limited; Futu Securities International (Hong Kong) Limited; ICBC International Securities Limited; Shenwan Hongyuan Securities (H.K.) Limited; uSmart Securities Limited</t>
        </is>
      </c>
      <c r="BJ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7">
        <f>HYPERLINK("https://www1.hkexnews.hk/listedco/listconews/sehk/2025/1125/2025112500049.pdf","prospectus")</f>
        <v/>
      </c>
      <c r="BL392" s="77">
        <f>HYPERLINK("https://www1.hkexnews.hk/listedco/listconews/sehk/2025/1202/2025120202632.pdf","allotment")</f>
        <v/>
      </c>
      <c r="BM392" s="77">
        <f>HYPERLINK("https://www1.hkexnews.hk/listedco/listconews/sehk/2025/1228/2025122800123.pdf","stabilisation")</f>
        <v/>
      </c>
      <c r="BN392" s="75" t="n"/>
      <c r="BO392" s="63"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c r="L393" s="66" t="n">
        <v>7.04</v>
      </c>
      <c r="M393" s="66" t="n">
        <v>7.04</v>
      </c>
      <c r="N393" s="63" t="inlineStr">
        <is>
          <t>Y</t>
        </is>
      </c>
      <c r="O393" s="67" t="n">
        <v>100</v>
      </c>
      <c r="P393" s="67" t="n"/>
      <c r="Q393" s="68" t="n">
        <v>4796.4</v>
      </c>
      <c r="R393" s="63" t="inlineStr">
        <is>
          <t>derived:deal size / offer % of enlarged capital</t>
        </is>
      </c>
      <c r="S393" s="69" t="n">
        <v>425.97</v>
      </c>
      <c r="T393" s="70" t="n">
        <v>4.99</v>
      </c>
      <c r="U393" s="71" t="n">
        <v>24.95</v>
      </c>
      <c r="V393" s="67" t="n">
        <v>10.72</v>
      </c>
      <c r="W393" s="63" t="inlineStr">
        <is>
          <t>Qingcong Capital; Mr. Su; Mr. Gao Defu; Hong Kong Shengying Investment Limited; Hai Di Lao Holdings Pte. Ltd; Pusheng Fund; China Galaxy International Investment Company Limited</t>
        </is>
      </c>
      <c r="X393" s="63" t="inlineStr">
        <is>
          <t>qingcong;mr-su;mr-gao;shengying;hai;pusheng;galaxy</t>
        </is>
      </c>
      <c r="Y393" s="67" t="n">
        <v>5</v>
      </c>
      <c r="Z393" s="63" t="inlineStr">
        <is>
          <t>lapsed</t>
        </is>
      </c>
      <c r="AA393" s="72" t="n">
        <v>-27.84</v>
      </c>
      <c r="AB393" s="73" t="n">
        <v>-28.98</v>
      </c>
      <c r="AC393" s="73" t="n">
        <v>1.61</v>
      </c>
      <c r="AD393" s="73" t="n">
        <v>-28.69</v>
      </c>
      <c r="AE393" s="73" t="n">
        <v>-37.22</v>
      </c>
      <c r="AF393" s="73" t="n">
        <v>-33.66</v>
      </c>
      <c r="AG393" s="73" t="n">
        <v>-1.18</v>
      </c>
      <c r="AH393" s="73" t="n">
        <v>-13</v>
      </c>
      <c r="AI393" s="73" t="n">
        <v>-8.07</v>
      </c>
      <c r="AJ393" s="73" t="n">
        <v>-28.28</v>
      </c>
      <c r="AK393" s="73" t="n">
        <v>-35.45</v>
      </c>
      <c r="AL393" s="73" t="n">
        <v>-27.83</v>
      </c>
      <c r="AM393" s="73" t="n">
        <v>-10.73</v>
      </c>
      <c r="AN393" s="73" t="n">
        <v>-1.77</v>
      </c>
      <c r="AO393" s="73" t="n">
        <v>-2.27</v>
      </c>
      <c r="AP393" s="63" t="inlineStr">
        <is>
          <t>Hang Seng Commerce &amp; Industry sub-index</t>
        </is>
      </c>
      <c r="AQ393" s="73" t="n">
        <v>-50.28</v>
      </c>
      <c r="AR393" s="64" t="inlineStr">
        <is>
          <t>2026-08-20</t>
        </is>
      </c>
      <c r="AS393" s="65" t="n">
        <v>1269.9</v>
      </c>
      <c r="AT393" s="68" t="n">
        <v>82.40000000000001</v>
      </c>
      <c r="AU393" s="63" t="inlineStr">
        <is>
          <t>Y</t>
        </is>
      </c>
      <c r="AV393" s="74" t="n">
        <v>58.2</v>
      </c>
      <c r="AW393" s="74" t="n">
        <v>32.8</v>
      </c>
      <c r="AX393" s="74" t="n">
        <v>14.1</v>
      </c>
      <c r="AY393" s="74" t="n">
        <v>3.8</v>
      </c>
      <c r="AZ393" s="75" t="inlineStr">
        <is>
          <t>N</t>
        </is>
      </c>
      <c r="BA393" s="76">
        <f>IF('BBG Verify'!K393="","not filed — run on terminal",'BBG Verify'!K393)</f>
        <v/>
      </c>
      <c r="BB393" s="63" t="inlineStr">
        <is>
          <t>N/A</t>
        </is>
      </c>
      <c r="BC393" s="63" t="inlineStr">
        <is>
          <t>N/A</t>
        </is>
      </c>
      <c r="BD393" s="63" t="inlineStr">
        <is>
          <t>N/A</t>
        </is>
      </c>
      <c r="BE393" s="63" t="inlineStr">
        <is>
          <t>N/A</t>
        </is>
      </c>
      <c r="BF393" s="63" t="inlineStr">
        <is>
          <t>N/A</t>
        </is>
      </c>
      <c r="BG393" s="75" t="inlineStr">
        <is>
          <t>CMB International Capital Limited</t>
        </is>
      </c>
      <c r="BH393" s="63" t="inlineStr">
        <is>
          <t>CMB International Capital Limited</t>
        </is>
      </c>
      <c r="BI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7">
        <f>HYPERLINK("https://www1.hkexnews.hk/listedco/listconews/sehk/2025/1127/2025112700009.pdf","prospectus")</f>
        <v/>
      </c>
      <c r="BL393" s="77">
        <f>HYPERLINK("https://www1.hkexnews.hk/listedco/listconews/sehk/2025/1204/2025120402156.pdf","allotment")</f>
        <v/>
      </c>
      <c r="BM393" s="77">
        <f>HYPERLINK("https://www1.hkexnews.hk/listedco/listconews/sehk/2026/0101/2026010100007.pdf","stabilisation")</f>
        <v/>
      </c>
      <c r="BN393" s="75" t="n"/>
      <c r="BO393" s="63" t="inlineStr">
        <is>
          <t>range low: cap-only pricing — the filing publishes a Maximum Offer Price and no indicative floor · A/H: no A-share listing</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7" t="n">
        <v>6.94</v>
      </c>
      <c r="W394" s="63" t="inlineStr">
        <is>
          <t>Mr. Mao Xiangyu; GF International; GF Global Capital Limited; GF Securities; GF Fund</t>
        </is>
      </c>
      <c r="X394" s="63" t="inlineStr">
        <is>
          <t>mr-mao;gf</t>
        </is>
      </c>
      <c r="Y394" s="67" t="n">
        <v>7.3537</v>
      </c>
      <c r="Z394" s="63" t="inlineStr">
        <is>
          <t>lapsed (no over-allocation)</t>
        </is>
      </c>
      <c r="AA394" s="72" t="n">
        <v>-30.17</v>
      </c>
      <c r="AB394" s="73" t="n">
        <v>-34.48</v>
      </c>
      <c r="AC394" s="73" t="n">
        <v>6.58</v>
      </c>
      <c r="AD394" s="73" t="n">
        <v>-21.69</v>
      </c>
      <c r="AE394" s="73" t="n">
        <v>-17.79</v>
      </c>
      <c r="AF394" s="73" t="n">
        <v>-17.93</v>
      </c>
      <c r="AG394" s="73" t="n">
        <v>12.14</v>
      </c>
      <c r="AH394" s="73" t="n">
        <v>17.73</v>
      </c>
      <c r="AI394" s="73" t="n">
        <v>17.53</v>
      </c>
      <c r="AJ394" s="73" t="n">
        <v>-21.96</v>
      </c>
      <c r="AK394" s="73" t="n">
        <v>-18.79</v>
      </c>
      <c r="AL394" s="73" t="n">
        <v>-7.46</v>
      </c>
      <c r="AM394" s="73" t="n">
        <v>17.46</v>
      </c>
      <c r="AN394" s="73" t="n">
        <v>1</v>
      </c>
      <c r="AO394" s="73" t="n">
        <v>0.27</v>
      </c>
      <c r="AP394" s="63" t="inlineStr">
        <is>
          <t>HSTECH (Hang Seng TECH ETF)</t>
        </is>
      </c>
      <c r="AQ394" s="73" t="n">
        <v>-37.28</v>
      </c>
      <c r="AR394" s="64" t="inlineStr">
        <is>
          <t>2026-08-20</t>
        </is>
      </c>
      <c r="AS394" s="65" t="n">
        <v>571.6</v>
      </c>
      <c r="AT394" s="68" t="n">
        <v>-610.1</v>
      </c>
      <c r="AU394" s="63" t="inlineStr">
        <is>
          <t>N</t>
        </is>
      </c>
      <c r="AV394" s="63" t="inlineStr">
        <is>
          <t>n/m</t>
        </is>
      </c>
      <c r="AW394" s="74" t="n"/>
      <c r="AX394" s="74" t="n"/>
      <c r="AY394" s="74" t="n">
        <v>39.9</v>
      </c>
      <c r="AZ394" s="75" t="inlineStr">
        <is>
          <t>N</t>
        </is>
      </c>
      <c r="BA394" s="76">
        <f>IF('BBG Verify'!K394="","not filed — run on terminal",'BBG Verify'!K394)</f>
        <v/>
      </c>
      <c r="BB394" s="63" t="inlineStr">
        <is>
          <t>N/A</t>
        </is>
      </c>
      <c r="BC394" s="63" t="inlineStr">
        <is>
          <t>N/A</t>
        </is>
      </c>
      <c r="BD394" s="63" t="inlineStr">
        <is>
          <t>N/A</t>
        </is>
      </c>
      <c r="BE394" s="63" t="inlineStr">
        <is>
          <t>N/A</t>
        </is>
      </c>
      <c r="BF394" s="63" t="inlineStr">
        <is>
          <t>N/A</t>
        </is>
      </c>
      <c r="BG394" s="75" t="inlineStr">
        <is>
          <t>CITIC Securities (Hong Kong) Limited</t>
        </is>
      </c>
      <c r="BH394" s="63" t="inlineStr">
        <is>
          <t>CITIC Securities (Hong Kong) Limited</t>
        </is>
      </c>
      <c r="BI394" s="63"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7">
        <f>HYPERLINK("https://www1.hkexnews.hk/listedco/listconews/sehk/2025/1127/2025112700013.pdf","prospectus")</f>
        <v/>
      </c>
      <c r="BL394" s="77">
        <f>HYPERLINK("https://www1.hkexnews.hk/listedco/listconews/sehk/2025/1204/2025120402598.pdf","allotment")</f>
        <v/>
      </c>
      <c r="BM394" s="77">
        <f>HYPERLINK("https://www1.hkexnews.hk/listedco/listconews/sehk/2026/0101/2026010100003.pdf","stabilisation")</f>
        <v/>
      </c>
      <c r="BN394" s="75" t="n"/>
      <c r="BO394" s="63" t="inlineStr">
        <is>
          <t>P/E: n/m — loss-making at IPO (use P/S)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116415.8</v>
      </c>
      <c r="R395" s="63" t="inlineStr">
        <is>
          <t>derived:deal size / offer % of enlarged capital</t>
        </is>
      </c>
      <c r="S395" s="69" t="n">
        <v>25.33</v>
      </c>
      <c r="T395" s="70" t="n">
        <v>2.65</v>
      </c>
      <c r="U395" s="71" t="n">
        <v>49.23</v>
      </c>
      <c r="V395" s="67" t="n">
        <v>0.96</v>
      </c>
      <c r="W395" s="63" t="inlineStr">
        <is>
          <t>Golden Link; Hield International; Perseverance Asset Management; Green Better; Dreamee HK Fund; Oriza Naxin</t>
        </is>
      </c>
      <c r="X395" s="63" t="inlineStr">
        <is>
          <t>golden-link;hield;perseverance;green;dreamee;oriza</t>
        </is>
      </c>
      <c r="Y395" s="67" t="n">
        <v>15</v>
      </c>
      <c r="Z395" s="63" t="inlineStr">
        <is>
          <t>partial</t>
        </is>
      </c>
      <c r="AA395" s="72" t="n">
        <v>-4.31</v>
      </c>
      <c r="AB395" s="73" t="n">
        <v>0</v>
      </c>
      <c r="AC395" s="73" t="n">
        <v>-4.31</v>
      </c>
      <c r="AD395" s="73" t="n">
        <v>-2.5</v>
      </c>
      <c r="AE395" s="73" t="n">
        <v>20.78</v>
      </c>
      <c r="AF395" s="73" t="n">
        <v>8.619999999999999</v>
      </c>
      <c r="AG395" s="73" t="n">
        <v>1.89</v>
      </c>
      <c r="AH395" s="73" t="n">
        <v>26.22</v>
      </c>
      <c r="AI395" s="73" t="n">
        <v>13.51</v>
      </c>
      <c r="AJ395" s="73" t="n">
        <v>0.3</v>
      </c>
      <c r="AK395" s="73" t="n">
        <v>20.33</v>
      </c>
      <c r="AL395" s="73" t="n">
        <v>20.71</v>
      </c>
      <c r="AM395" s="73" t="n">
        <v>25.86</v>
      </c>
      <c r="AN395" s="73" t="n">
        <v>0.45</v>
      </c>
      <c r="AO395" s="73" t="n">
        <v>0.36</v>
      </c>
      <c r="AP395" s="63" t="inlineStr">
        <is>
          <t>HSTECH (Hang Seng TECH ETF)</t>
        </is>
      </c>
      <c r="AQ395" s="73" t="n">
        <v>42.59</v>
      </c>
      <c r="AR395" s="64" t="inlineStr">
        <is>
          <t>2026-08-21</t>
        </is>
      </c>
      <c r="AS395" s="65" t="n">
        <v>2156.3</v>
      </c>
      <c r="AT395" s="68" t="n">
        <v>-419.5</v>
      </c>
      <c r="AU395" s="63" t="inlineStr">
        <is>
          <t>N</t>
        </is>
      </c>
      <c r="AV395" s="63" t="inlineStr">
        <is>
          <t>n/m</t>
        </is>
      </c>
      <c r="AW395" s="74" t="n"/>
      <c r="AX395" s="74" t="n"/>
      <c r="AY395" s="74" t="n">
        <v>54</v>
      </c>
      <c r="AZ395" s="75" t="inlineStr">
        <is>
          <t>Y</t>
        </is>
      </c>
      <c r="BA395" s="63" t="inlineStr">
        <is>
          <t>688052.SS</t>
        </is>
      </c>
      <c r="BB395" s="73" t="n">
        <v>50.14</v>
      </c>
      <c r="BC395" s="66" t="n">
        <v>174.1672</v>
      </c>
      <c r="BD395" s="80" t="n">
        <v>0.7020999999999999</v>
      </c>
      <c r="BE395" s="78">
        <f>IF('BBG Verify'!Q395="","run on terminal",'BBG Verify'!Q395)</f>
        <v/>
      </c>
      <c r="BF395" s="78">
        <f>IF('BBG Verify'!R395="","run on terminal",'BBG Verify'!R395)</f>
        <v/>
      </c>
      <c r="BG395" s="75" t="inlineStr">
        <is>
          <t>China International Capital Corporation Hong Kong Securities Limited; CITIC Securities (Hong Kong) Limited; CCB International Capital Limited</t>
        </is>
      </c>
      <c r="BH395" s="63" t="inlineStr">
        <is>
          <t>China International Capital Corporation Hong Kong Securities Limited; CCB International Capital Limited; CITIC Securities (Hong Kong) Limited</t>
        </is>
      </c>
      <c r="BI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7">
        <f>HYPERLINK("https://www1.hkexnews.hk/listedco/listconews/sehk/2025/1128/2025112800015.pdf","prospectus")</f>
        <v/>
      </c>
      <c r="BL395" s="77">
        <f>HYPERLINK("https://www1.hkexnews.hk/listedco/listconews/sehk/2025/1205/2025120501747.pdf","allotment")</f>
        <v/>
      </c>
      <c r="BM395" s="77">
        <f>HYPERLINK("https://www1.hkexnews.hk/listedco/listconews/sehk/2026/0102/2026010203002.pdf","stabilisation")</f>
        <v/>
      </c>
      <c r="BN395" s="75" t="n"/>
      <c r="BO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7" t="n">
        <v>10</v>
      </c>
      <c r="W396" s="63" t="n"/>
      <c r="X396" s="63" t="n"/>
      <c r="Y396" s="67" t="n"/>
      <c r="Z396" s="63" t="n"/>
      <c r="AA396" s="72" t="n">
        <v>87.26000000000001</v>
      </c>
      <c r="AB396" s="73" t="n">
        <v>23.85</v>
      </c>
      <c r="AC396" s="73" t="n">
        <v>51.2</v>
      </c>
      <c r="AD396" s="73" t="n">
        <v>140</v>
      </c>
      <c r="AE396" s="73" t="n">
        <v>138.52</v>
      </c>
      <c r="AF396" s="73" t="n">
        <v>107.7</v>
      </c>
      <c r="AG396" s="73" t="n">
        <v>28.16</v>
      </c>
      <c r="AH396" s="73" t="n">
        <v>27.37</v>
      </c>
      <c r="AI396" s="73" t="n">
        <v>10.92</v>
      </c>
      <c r="AJ396" s="73" t="n">
        <v>142.8</v>
      </c>
      <c r="AK396" s="73" t="n">
        <v>138.07</v>
      </c>
      <c r="AL396" s="73" t="n">
        <v>119.79</v>
      </c>
      <c r="AM396" s="73" t="n">
        <v>27.01</v>
      </c>
      <c r="AN396" s="73" t="n">
        <v>0.45</v>
      </c>
      <c r="AO396" s="73" t="n">
        <v>0.36</v>
      </c>
      <c r="AP396" s="63" t="inlineStr">
        <is>
          <t>HSTECH (Hang Seng TECH ETF)</t>
        </is>
      </c>
      <c r="AQ396" s="73" t="n">
        <v>366.37</v>
      </c>
      <c r="AR396" s="64" t="inlineStr">
        <is>
          <t>2026-08-21</t>
        </is>
      </c>
      <c r="AS396" s="65" t="n">
        <v>933</v>
      </c>
      <c r="AT396" s="68" t="n">
        <v>117.3</v>
      </c>
      <c r="AU396" s="63" t="inlineStr">
        <is>
          <t>Y</t>
        </is>
      </c>
      <c r="AV396" s="74" t="n">
        <v>38.4</v>
      </c>
      <c r="AW396" s="74" t="n">
        <v>72.59999999999999</v>
      </c>
      <c r="AX396" s="74" t="n">
        <v>113.4</v>
      </c>
      <c r="AY396" s="74" t="n">
        <v>4.8</v>
      </c>
      <c r="AZ396" s="75" t="inlineStr">
        <is>
          <t>N</t>
        </is>
      </c>
      <c r="BA396" s="76">
        <f>IF('BBG Verify'!K396="","not filed — run on terminal",'BBG Verify'!K396)</f>
        <v/>
      </c>
      <c r="BB396" s="63" t="inlineStr">
        <is>
          <t>N/A</t>
        </is>
      </c>
      <c r="BC396" s="63" t="inlineStr">
        <is>
          <t>N/A</t>
        </is>
      </c>
      <c r="BD396" s="63" t="inlineStr">
        <is>
          <t>N/A</t>
        </is>
      </c>
      <c r="BE396" s="63" t="inlineStr">
        <is>
          <t>N/A</t>
        </is>
      </c>
      <c r="BF396" s="63" t="inlineStr">
        <is>
          <t>N/A</t>
        </is>
      </c>
      <c r="BG396" s="75" t="inlineStr">
        <is>
          <t>ABCI Capital Limited</t>
        </is>
      </c>
      <c r="BH396" s="63" t="inlineStr">
        <is>
          <t>ABCI Capital Limited</t>
        </is>
      </c>
      <c r="BI396" s="63" t="inlineStr">
        <is>
          <t>ABCI Capital Limited</t>
        </is>
      </c>
      <c r="BJ396" s="63" t="inlineStr">
        <is>
          <t>ABCI Securities Company Limited; Livermore Holdings Limited; Tiger Brokers (HK) Global Limited</t>
        </is>
      </c>
      <c r="BK396" s="77">
        <f>HYPERLINK("https://www1.hkexnews.hk/listedco/listconews/sehk/2025/1128/2025112800005.pdf","prospectus")</f>
        <v/>
      </c>
      <c r="BL396" s="77">
        <f>HYPERLINK("https://www1.hkexnews.hk/listedco/listconews/sehk/2025/1205/2025120501787.pdf","allotment")</f>
        <v/>
      </c>
      <c r="BM396" s="63" t="n"/>
      <c r="BN396" s="75" t="n"/>
      <c r="BO396" s="63" t="inlineStr">
        <is>
          <t>greenshoe: no over-allotment option in the offer structure · A/H: no A-share listing · cornerstone list: no cornerstone tranche in this deal · greenshoe size: no over-allotment option in the offer structure</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7" t="n">
        <v>9.289999999999999</v>
      </c>
      <c r="W397" s="63" t="inlineStr">
        <is>
          <t>Center Lab; Zhang Yahong (ߎ2,838,885; Fan Hong (ߎ2,365,735; Zheng Keqing (ڡ222,220; Nie Miao ( ᔗ↿) –; Wang Jufang (ٹ581,930; Cui Hongyan (ᜮ) –; Liu Jintao (ᏹ) –; Huang Haitao ( රऎᏹ); Xu Sumin ( ஢९ઽ) –; Song Aihui ( ҂ฌฯ); Zhao Liping ( Ⴛ஁റ)</t>
        </is>
      </c>
      <c r="X397" s="63" t="inlineStr">
        <is>
          <t>center;zhang-yahong;fan;zheng-keqing;nie;wang-jufang;cui;liu-jintao;huang-haitao;xu-sumin;song-aihui;zhao-liping</t>
        </is>
      </c>
      <c r="Y397" s="67" t="n">
        <v>15</v>
      </c>
      <c r="Z397" s="63" t="n"/>
      <c r="AA397" s="72" t="n">
        <v>138.82</v>
      </c>
      <c r="AB397" s="73" t="n">
        <v>129.34</v>
      </c>
      <c r="AC397" s="73" t="n">
        <v>4.13</v>
      </c>
      <c r="AD397" s="73" t="n">
        <v>173.69</v>
      </c>
      <c r="AE397" s="73" t="n">
        <v>226.76</v>
      </c>
      <c r="AF397" s="73" t="n">
        <v>249.32</v>
      </c>
      <c r="AG397" s="73" t="n">
        <v>14.6</v>
      </c>
      <c r="AH397" s="73" t="n">
        <v>36.82</v>
      </c>
      <c r="AI397" s="73" t="n">
        <v>46.27</v>
      </c>
      <c r="AJ397" s="73" t="n">
        <v>177.04</v>
      </c>
      <c r="AK397" s="73" t="n">
        <v>221.06</v>
      </c>
      <c r="AL397" s="73" t="n">
        <v>245.4</v>
      </c>
      <c r="AM397" s="73" t="n">
        <v>31.2</v>
      </c>
      <c r="AN397" s="73" t="n">
        <v>5.7</v>
      </c>
      <c r="AO397" s="73" t="n">
        <v>5.62</v>
      </c>
      <c r="AP397" s="63" t="inlineStr">
        <is>
          <t>China Biotech ETF (HS biotech proxy)</t>
        </is>
      </c>
      <c r="AQ397" s="73" t="n">
        <v>-39.01</v>
      </c>
      <c r="AR397" s="64" t="inlineStr">
        <is>
          <t>2026-08-20</t>
        </is>
      </c>
      <c r="AS397" s="65" t="n">
        <v>1.6</v>
      </c>
      <c r="AT397" s="68" t="n">
        <v>-184</v>
      </c>
      <c r="AU397" s="63" t="inlineStr">
        <is>
          <t>N</t>
        </is>
      </c>
      <c r="AV397" s="63" t="inlineStr">
        <is>
          <t>n/m</t>
        </is>
      </c>
      <c r="AW397" s="74" t="n"/>
      <c r="AX397" s="74" t="n"/>
      <c r="AY397" s="74" t="n">
        <v>5374.6</v>
      </c>
      <c r="AZ397" s="75" t="inlineStr">
        <is>
          <t>N</t>
        </is>
      </c>
      <c r="BA397" s="76">
        <f>IF('BBG Verify'!K397="","not filed — run on terminal",'BBG Verify'!K397)</f>
        <v/>
      </c>
      <c r="BB397" s="63" t="inlineStr">
        <is>
          <t>N/A</t>
        </is>
      </c>
      <c r="BC397" s="63" t="inlineStr">
        <is>
          <t>N/A</t>
        </is>
      </c>
      <c r="BD397" s="63" t="inlineStr">
        <is>
          <t>N/A</t>
        </is>
      </c>
      <c r="BE397" s="63" t="inlineStr">
        <is>
          <t>N/A</t>
        </is>
      </c>
      <c r="BF397" s="63" t="inlineStr">
        <is>
          <t>N/A</t>
        </is>
      </c>
      <c r="BG397" s="75" t="inlineStr">
        <is>
          <t>CITIC Securities (Hong Kong) Limited; Haitong International Capital Limited</t>
        </is>
      </c>
      <c r="BH397" s="63" t="inlineStr">
        <is>
          <t>Haitong International Capital Limited; CITIC Securities (Hong Kong) Limited</t>
        </is>
      </c>
      <c r="BI397" s="63"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7">
        <f>HYPERLINK("https://www1.hkexnews.hk/listedco/listconews/sehk/2025/1202/2025120200034.pdf","prospectus")</f>
        <v/>
      </c>
      <c r="BL397" s="77">
        <f>HYPERLINK("https://www1.hkexnews.hk/listedco/listconews/sehk/2025/1209/2025120901444.pdf","allotment")</f>
        <v/>
      </c>
      <c r="BM397" s="63" t="n"/>
      <c r="BN397" s="75" t="n"/>
      <c r="BO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7" t="n">
        <v>4.03</v>
      </c>
      <c r="W398" s="63" t="inlineStr">
        <is>
          <t>CPE Investment; IvyRock; CoreView; Schonfeld; Burkehill</t>
        </is>
      </c>
      <c r="X398" s="63" t="inlineStr">
        <is>
          <t>cpe;ivyrock;coreview;schonfeld;burkehill</t>
        </is>
      </c>
      <c r="Y398" s="67" t="n">
        <v>15</v>
      </c>
      <c r="Z398" s="63" t="inlineStr">
        <is>
          <t>partial</t>
        </is>
      </c>
      <c r="AA398" s="72" t="n">
        <v>0</v>
      </c>
      <c r="AB398" s="73" t="n">
        <v>-7.8</v>
      </c>
      <c r="AC398" s="73" t="n">
        <v>8.460000000000001</v>
      </c>
      <c r="AD398" s="73" t="n">
        <v>-1.28</v>
      </c>
      <c r="AE398" s="73" t="n">
        <v>-3.4</v>
      </c>
      <c r="AF398" s="73" t="n">
        <v>-8.44</v>
      </c>
      <c r="AG398" s="73" t="n">
        <v>-1.28</v>
      </c>
      <c r="AH398" s="73" t="n">
        <v>-3.4</v>
      </c>
      <c r="AI398" s="73" t="n">
        <v>-8.44</v>
      </c>
      <c r="AJ398" s="73" t="n">
        <v>1.38</v>
      </c>
      <c r="AK398" s="73" t="n">
        <v>-9.17</v>
      </c>
      <c r="AL398" s="73" t="n">
        <v>-0.1</v>
      </c>
      <c r="AM398" s="73" t="n">
        <v>-9.75</v>
      </c>
      <c r="AN398" s="73" t="n">
        <v>5.77</v>
      </c>
      <c r="AO398" s="73" t="n">
        <v>6.35</v>
      </c>
      <c r="AP398" s="63" t="inlineStr">
        <is>
          <t>HSTECH (Hang Seng TECH ETF)</t>
        </is>
      </c>
      <c r="AQ398" s="73" t="n">
        <v>-10.64</v>
      </c>
      <c r="AR398" s="64" t="inlineStr">
        <is>
          <t>2026-08-20</t>
        </is>
      </c>
      <c r="AS398" s="65" t="n">
        <v>22437.5</v>
      </c>
      <c r="AT398" s="68" t="n">
        <v>837.8</v>
      </c>
      <c r="AU398" s="63" t="inlineStr">
        <is>
          <t>Y</t>
        </is>
      </c>
      <c r="AV398" s="74" t="n">
        <v>49</v>
      </c>
      <c r="AW398" s="74" t="n">
        <v>28.4</v>
      </c>
      <c r="AX398" s="74" t="n">
        <v>10</v>
      </c>
      <c r="AY398" s="74" t="n">
        <v>1.8</v>
      </c>
      <c r="AZ398" s="75" t="inlineStr">
        <is>
          <t>N</t>
        </is>
      </c>
      <c r="BA398" s="76">
        <f>IF('BBG Verify'!K398="","not filed — run on terminal",'BBG Verify'!K398)</f>
        <v/>
      </c>
      <c r="BB398" s="63" t="inlineStr">
        <is>
          <t>N/A</t>
        </is>
      </c>
      <c r="BC398" s="63" t="inlineStr">
        <is>
          <t>N/A</t>
        </is>
      </c>
      <c r="BD398" s="63" t="inlineStr">
        <is>
          <t>N/A</t>
        </is>
      </c>
      <c r="BE398" s="63" t="inlineStr">
        <is>
          <t>N/A</t>
        </is>
      </c>
      <c r="BF398" s="63" t="inlineStr">
        <is>
          <t>N/A</t>
        </is>
      </c>
      <c r="BG398" s="75" t="inlineStr">
        <is>
          <t>Merrill Lynch (Asia Pacific) Limited; UBS Securities Hong Kong Limited; Haitong International Capital Limited; Goldman Sachs (Asia) L.L.C; Haitong International Securities Company Limited</t>
        </is>
      </c>
      <c r="BH398" s="63" t="inlineStr">
        <is>
          <t>Haitong International Capital Limited; UBS Securities Hong Kong Limited; Merrill Lynch (Asia Pacific) Limited; Goldman Sachs (Asia) L.L.C.</t>
        </is>
      </c>
      <c r="BI398" s="63"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7">
        <f>HYPERLINK("https://www1.hkexnews.hk/listedco/listconews/sehk/2025/1203/2025120300086.pdf","prospectus")</f>
        <v/>
      </c>
      <c r="BL398" s="77">
        <f>HYPERLINK("https://www1.hkexnews.hk/listedco/listconews/sehk/2025/1210/2025121001474.pdf","allotment")</f>
        <v/>
      </c>
      <c r="BM398" s="77">
        <f>HYPERLINK("https://www1.hkexnews.hk/listedco/listconews/sehk/2026/0107/2026010701764.pdf","stabilisation")</f>
        <v/>
      </c>
      <c r="BN398" s="75" t="n"/>
      <c r="BO398" s="63"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7" t="n">
        <v>7.66</v>
      </c>
      <c r="W399" s="63" t="inlineStr">
        <is>
          <t>Dreamee HK Fund; RIME Capital Limited</t>
        </is>
      </c>
      <c r="X399" s="63" t="inlineStr">
        <is>
          <t>dreamee;rime</t>
        </is>
      </c>
      <c r="Y399" s="67" t="n">
        <v>15</v>
      </c>
      <c r="Z399" s="63" t="inlineStr">
        <is>
          <t>full</t>
        </is>
      </c>
      <c r="AA399" s="72" t="n">
        <v>117.91</v>
      </c>
      <c r="AB399" s="73" t="n">
        <v>89.05</v>
      </c>
      <c r="AC399" s="73" t="n">
        <v>15.27</v>
      </c>
      <c r="AD399" s="73" t="n">
        <v>107.76</v>
      </c>
      <c r="AE399" s="73" t="n">
        <v>222.39</v>
      </c>
      <c r="AF399" s="73" t="n">
        <v>141.79</v>
      </c>
      <c r="AG399" s="73" t="n">
        <v>-4.66</v>
      </c>
      <c r="AH399" s="73" t="n">
        <v>47.95</v>
      </c>
      <c r="AI399" s="73" t="n">
        <v>10.96</v>
      </c>
      <c r="AJ399" s="73" t="n">
        <v>108.04</v>
      </c>
      <c r="AK399" s="73" t="n">
        <v>217.84</v>
      </c>
      <c r="AL399" s="73" t="n">
        <v>156.26</v>
      </c>
      <c r="AM399" s="73" t="n">
        <v>41.53</v>
      </c>
      <c r="AN399" s="73" t="n">
        <v>4.55</v>
      </c>
      <c r="AO399" s="73" t="n">
        <v>6.42</v>
      </c>
      <c r="AP399" s="63" t="inlineStr">
        <is>
          <t>HSTECH (Hang Seng TECH ETF)</t>
        </is>
      </c>
      <c r="AQ399" s="73" t="n">
        <v>-17.21</v>
      </c>
      <c r="AR399" s="64" t="inlineStr">
        <is>
          <t>2026-08-20</t>
        </is>
      </c>
      <c r="AS399" s="65" t="n">
        <v>1128.2</v>
      </c>
      <c r="AT399" s="68" t="n">
        <v>35</v>
      </c>
      <c r="AU399" s="63" t="inlineStr">
        <is>
          <t>Y</t>
        </is>
      </c>
      <c r="AV399" s="74" t="n">
        <v>260</v>
      </c>
      <c r="AW399" s="74" t="n">
        <v>32</v>
      </c>
      <c r="AX399" s="74" t="n">
        <v>86.8</v>
      </c>
      <c r="AY399" s="74" t="n">
        <v>8.1</v>
      </c>
      <c r="AZ399" s="75" t="inlineStr">
        <is>
          <t>N</t>
        </is>
      </c>
      <c r="BA399" s="76">
        <f>IF('BBG Verify'!K399="","not filed — run on terminal",'BBG Verify'!K399)</f>
        <v/>
      </c>
      <c r="BB399" s="63" t="inlineStr">
        <is>
          <t>N/A</t>
        </is>
      </c>
      <c r="BC399" s="63" t="inlineStr">
        <is>
          <t>N/A</t>
        </is>
      </c>
      <c r="BD399" s="63" t="inlineStr">
        <is>
          <t>N/A</t>
        </is>
      </c>
      <c r="BE399" s="63" t="inlineStr">
        <is>
          <t>N/A</t>
        </is>
      </c>
      <c r="BF399" s="63" t="inlineStr">
        <is>
          <t>N/A</t>
        </is>
      </c>
      <c r="BG399" s="75" t="inlineStr">
        <is>
          <t>China Everbright Capital Limited</t>
        </is>
      </c>
      <c r="BH399" s="63" t="inlineStr">
        <is>
          <t>China Everbright Capital Limited</t>
        </is>
      </c>
      <c r="BI399" s="63"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7">
        <f>HYPERLINK("https://www1.hkexnews.hk/listedco/listconews/sehk/2025/1208/2025120800011.pdf","prospectus")</f>
        <v/>
      </c>
      <c r="BL399" s="77">
        <f>HYPERLINK("https://www1.hkexnews.hk/listedco/listconews/sehk/2025/1215/2025121501608.pdf","allotment")</f>
        <v/>
      </c>
      <c r="BM399" s="77">
        <f>HYPERLINK("https://www1.hkexnews.hk/listedco/listconews/sehk/2026/0109/2026010901587.pdf","stabilisation")</f>
        <v/>
      </c>
      <c r="BN399" s="75" t="n"/>
      <c r="BO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7" t="n">
        <v>5.09</v>
      </c>
      <c r="W400" s="63" t="inlineStr">
        <is>
          <t>Space Z PTE. LTD; Cithara Fund; UBS AM Singapore; Epoch Vantage Limited; Mr. Lu Weiding; XChainX Limited; Black Shadows, L.P; Fidelity Funds; TDR Investment Inc; Tomars Limited</t>
        </is>
      </c>
      <c r="X400" s="63" t="inlineStr">
        <is>
          <t>space;cithara;ubs;epoch;mr-lu;xchainx;black;fidelity;tdr;tomars</t>
        </is>
      </c>
      <c r="Y400" s="67" t="n">
        <v>15</v>
      </c>
      <c r="Z400" s="63" t="inlineStr">
        <is>
          <t>partial</t>
        </is>
      </c>
      <c r="AA400" s="72" t="n">
        <v>-0.15</v>
      </c>
      <c r="AB400" s="73" t="n">
        <v>0.3</v>
      </c>
      <c r="AC400" s="73" t="n">
        <v>-0.45</v>
      </c>
      <c r="AD400" s="73" t="n">
        <v>-14.22</v>
      </c>
      <c r="AE400" s="73" t="n">
        <v>7.34</v>
      </c>
      <c r="AF400" s="73" t="n">
        <v>-29.34</v>
      </c>
      <c r="AG400" s="73" t="n">
        <v>-14.09</v>
      </c>
      <c r="AH400" s="73" t="n">
        <v>7.5</v>
      </c>
      <c r="AI400" s="73" t="n">
        <v>-29.23</v>
      </c>
      <c r="AJ400" s="73" t="n">
        <v>-15.83</v>
      </c>
      <c r="AK400" s="73" t="n">
        <v>2.14</v>
      </c>
      <c r="AL400" s="73" t="n">
        <v>-18.53</v>
      </c>
      <c r="AM400" s="73" t="n">
        <v>3.48</v>
      </c>
      <c r="AN400" s="73" t="n">
        <v>5.2</v>
      </c>
      <c r="AO400" s="73" t="n">
        <v>4.02</v>
      </c>
      <c r="AP400" s="63" t="inlineStr">
        <is>
          <t>HSTECH (Hang Seng TECH ETF)</t>
        </is>
      </c>
      <c r="AQ400" s="73" t="n">
        <v>-58.08</v>
      </c>
      <c r="AR400" s="64" t="inlineStr">
        <is>
          <t>2026-08-20</t>
        </is>
      </c>
      <c r="AS400" s="65" t="n">
        <v>720.7</v>
      </c>
      <c r="AT400" s="68" t="n">
        <v>-1189.6</v>
      </c>
      <c r="AU400" s="63" t="inlineStr">
        <is>
          <t>N</t>
        </is>
      </c>
      <c r="AV400" s="63" t="inlineStr">
        <is>
          <t>n/m</t>
        </is>
      </c>
      <c r="AW400" s="74" t="n"/>
      <c r="AX400" s="74" t="n"/>
      <c r="AY400" s="74" t="n">
        <v>26.5</v>
      </c>
      <c r="AZ400" s="75" t="inlineStr">
        <is>
          <t>N</t>
        </is>
      </c>
      <c r="BA400" s="76">
        <f>IF('BBG Verify'!K400="","not filed — run on terminal",'BBG Verify'!K400)</f>
        <v/>
      </c>
      <c r="BB400" s="63" t="inlineStr">
        <is>
          <t>N/A</t>
        </is>
      </c>
      <c r="BC400" s="63" t="inlineStr">
        <is>
          <t>N/A</t>
        </is>
      </c>
      <c r="BD400" s="63" t="inlineStr">
        <is>
          <t>N/A</t>
        </is>
      </c>
      <c r="BE400" s="63" t="inlineStr">
        <is>
          <t>N/A</t>
        </is>
      </c>
      <c r="BF400" s="63" t="inlineStr">
        <is>
          <t>N/A</t>
        </is>
      </c>
      <c r="BG400" s="75" t="inlineStr">
        <is>
          <t>J.P. Morgan Securities (Far East) Limited; Guotai Junan Capital Limited</t>
        </is>
      </c>
      <c r="BH400" s="63" t="inlineStr">
        <is>
          <t>J.P. Morgan Securities (Far East) Limited; Guotai Junan Capital Limited</t>
        </is>
      </c>
      <c r="BI400" s="63" t="inlineStr">
        <is>
          <t>( in alphabetical order ) CMB International Capital Limited; Tiger Brokers (HK) Global Limited; Victory Securities Company Limited</t>
        </is>
      </c>
      <c r="BJ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7">
        <f>HYPERLINK("https://www1.hkexnews.hk/listedco/listconews/sehk/2025/1209/2025120900025.pdf","prospectus")</f>
        <v/>
      </c>
      <c r="BL400" s="77">
        <f>HYPERLINK("https://www1.hkexnews.hk/listedco/listconews/sehk/2025/1216/2025121601390.pdf","allotment")</f>
        <v/>
      </c>
      <c r="BM400" s="77">
        <f>HYPERLINK("https://www1.hkexnews.hk/listedco/listconews/sehk/2026/0112/2026011200057.pdf","stabilisation")</f>
        <v/>
      </c>
      <c r="BN400" s="75" t="n"/>
      <c r="BO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7" t="n">
        <v>14.81</v>
      </c>
      <c r="W401" s="63" t="inlineStr">
        <is>
          <t>Sparky International Company Limited; GIGA Industries Limited; Enterprises Limited</t>
        </is>
      </c>
      <c r="X401" s="63" t="inlineStr">
        <is>
          <t>sparky;giga;enterprises</t>
        </is>
      </c>
      <c r="Y401" s="67" t="n"/>
      <c r="Z401" s="63" t="n"/>
      <c r="AA401" s="72" t="n">
        <v>90.69</v>
      </c>
      <c r="AB401" s="73" t="n">
        <v>139.47</v>
      </c>
      <c r="AC401" s="73" t="n">
        <v>-20.37</v>
      </c>
      <c r="AD401" s="73" t="n">
        <v>109.31</v>
      </c>
      <c r="AE401" s="73" t="n">
        <v>186.03</v>
      </c>
      <c r="AF401" s="73" t="n">
        <v>212.64</v>
      </c>
      <c r="AG401" s="73" t="n">
        <v>9.76</v>
      </c>
      <c r="AH401" s="73" t="n">
        <v>50</v>
      </c>
      <c r="AI401" s="73" t="n">
        <v>63.95</v>
      </c>
      <c r="AJ401" s="73" t="n">
        <v>108.33</v>
      </c>
      <c r="AK401" s="73" t="n">
        <v>181.75</v>
      </c>
      <c r="AL401" s="73" t="n">
        <v>219.56</v>
      </c>
      <c r="AM401" s="73" t="n">
        <v>46.58</v>
      </c>
      <c r="AN401" s="73" t="n">
        <v>4.28</v>
      </c>
      <c r="AO401" s="73" t="n">
        <v>3.42</v>
      </c>
      <c r="AP401" s="63" t="inlineStr">
        <is>
          <t>Hang Seng Commerce &amp; Industry sub-index</t>
        </is>
      </c>
      <c r="AQ401" s="73" t="n">
        <v>326.16</v>
      </c>
      <c r="AR401" s="64" t="inlineStr">
        <is>
          <t>2026-08-20</t>
        </is>
      </c>
      <c r="AS401" s="65" t="n">
        <v>331.6</v>
      </c>
      <c r="AT401" s="68" t="n">
        <v>69.09999999999999</v>
      </c>
      <c r="AU401" s="63" t="inlineStr">
        <is>
          <t>Y</t>
        </is>
      </c>
      <c r="AV401" s="74" t="n">
        <v>31.8</v>
      </c>
      <c r="AW401" s="74" t="n"/>
      <c r="AX401" s="74" t="n"/>
      <c r="AY401" s="74" t="n">
        <v>6.6</v>
      </c>
      <c r="AZ401" s="75" t="inlineStr">
        <is>
          <t>N</t>
        </is>
      </c>
      <c r="BA401" s="76">
        <f>IF('BBG Verify'!K401="","not filed — run on terminal",'BBG Verify'!K401)</f>
        <v/>
      </c>
      <c r="BB401" s="63" t="inlineStr">
        <is>
          <t>N/A</t>
        </is>
      </c>
      <c r="BC401" s="63" t="inlineStr">
        <is>
          <t>N/A</t>
        </is>
      </c>
      <c r="BD401" s="63" t="inlineStr">
        <is>
          <t>N/A</t>
        </is>
      </c>
      <c r="BE401" s="63" t="inlineStr">
        <is>
          <t>N/A</t>
        </is>
      </c>
      <c r="BF401" s="63" t="inlineStr">
        <is>
          <t>N/A</t>
        </is>
      </c>
      <c r="BG401" s="75" t="inlineStr">
        <is>
          <t>Sinolink Securities (Hong Kong) Company Limited; Maxa Capital Limited</t>
        </is>
      </c>
      <c r="BH401" s="63" t="inlineStr">
        <is>
          <t>Maxa Capital Limited; Sinolink Securities (Hong Kong) Company Limited</t>
        </is>
      </c>
      <c r="BI401" s="63" t="inlineStr">
        <is>
          <t>Sinolink Securities (Hong Kong) Company Limited; Maxa Capital Limited; ABCI Capital Limited; ABCI Securities Company Limited</t>
        </is>
      </c>
      <c r="BJ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7">
        <f>HYPERLINK("https://www1.hkexnews.hk/listedco/listconews/sehk/2025/1211/2025121100043.pdf","prospectus")</f>
        <v/>
      </c>
      <c r="BL401" s="77">
        <f>HYPERLINK("https://www1.hkexnews.hk/listedco/listconews/sehk/2025/1218/2025121801566.pdf","allotment")</f>
        <v/>
      </c>
      <c r="BM401" s="63" t="n"/>
      <c r="BN401" s="75" t="n"/>
      <c r="BO401" s="63"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7" t="n">
        <v>7.61</v>
      </c>
      <c r="W402" s="63" t="inlineStr">
        <is>
          <t>Xiangjiang Zhicheng (Hunan state fund); Zhijia No. 1 (Nanning Ruiyue LP); ICBC UBS Asset Management (International); Qianhai Kaiyuan Qunwei QDII Plan</t>
        </is>
      </c>
      <c r="X402" s="63" t="inlineStr">
        <is>
          <t>xiangjiang;zhijia;icbc;qianhai</t>
        </is>
      </c>
      <c r="Y402" s="67" t="n">
        <v>10</v>
      </c>
      <c r="Z402" s="63" t="inlineStr">
        <is>
          <t>lapsed</t>
        </is>
      </c>
      <c r="AA402" s="72" t="n">
        <v>-13.69</v>
      </c>
      <c r="AB402" s="73" t="n">
        <v>0</v>
      </c>
      <c r="AC402" s="73" t="n">
        <v>-13.69</v>
      </c>
      <c r="AD402" s="73" t="n">
        <v>-15.21</v>
      </c>
      <c r="AE402" s="73" t="n">
        <v>-7.83</v>
      </c>
      <c r="AF402" s="73" t="n">
        <v>-11.79</v>
      </c>
      <c r="AG402" s="73" t="n">
        <v>-1.76</v>
      </c>
      <c r="AH402" s="73" t="n">
        <v>6.79</v>
      </c>
      <c r="AI402" s="73" t="n">
        <v>2.2</v>
      </c>
      <c r="AJ402" s="73" t="n">
        <v>-18.03</v>
      </c>
      <c r="AK402" s="73" t="n">
        <v>-14.04</v>
      </c>
      <c r="AL402" s="73" t="n">
        <v>0.53</v>
      </c>
      <c r="AM402" s="73" t="n">
        <v>1.57</v>
      </c>
      <c r="AN402" s="73" t="n">
        <v>6.21</v>
      </c>
      <c r="AO402" s="73" t="n">
        <v>5.22</v>
      </c>
      <c r="AP402" s="63" t="inlineStr">
        <is>
          <t>HSTECH (Hang Seng TECH ETF)</t>
        </is>
      </c>
      <c r="AQ402" s="73" t="n">
        <v>-27.95</v>
      </c>
      <c r="AR402" s="64" t="inlineStr">
        <is>
          <t>2026-08-24</t>
        </is>
      </c>
      <c r="AS402" s="65" t="n">
        <v>451</v>
      </c>
      <c r="AT402" s="68" t="n">
        <v>-638.8</v>
      </c>
      <c r="AU402" s="63" t="inlineStr">
        <is>
          <t>N</t>
        </is>
      </c>
      <c r="AV402" s="63" t="inlineStr">
        <is>
          <t>n/m</t>
        </is>
      </c>
      <c r="AW402" s="74" t="n"/>
      <c r="AX402" s="74" t="n"/>
      <c r="AY402" s="74" t="n">
        <v>25.5</v>
      </c>
      <c r="AZ402" s="75" t="inlineStr">
        <is>
          <t>N</t>
        </is>
      </c>
      <c r="BA402" s="76">
        <f>IF('BBG Verify'!K402="","not filed — run on terminal",'BBG Verify'!K402)</f>
        <v/>
      </c>
      <c r="BB402" s="63" t="inlineStr">
        <is>
          <t>N/A</t>
        </is>
      </c>
      <c r="BC402" s="63" t="inlineStr">
        <is>
          <t>N/A</t>
        </is>
      </c>
      <c r="BD402" s="63" t="inlineStr">
        <is>
          <t>N/A</t>
        </is>
      </c>
      <c r="BE402" s="63" t="inlineStr">
        <is>
          <t>N/A</t>
        </is>
      </c>
      <c r="BF402" s="63" t="inlineStr">
        <is>
          <t>N/A</t>
        </is>
      </c>
      <c r="BG402" s="75" t="inlineStr">
        <is>
          <t>China International Capital Corporation Hong Kong Securities Limited; Central, Hong Kong China Securities (International) Corporate Finance Company Limited; Central, Hong Kong Ping An of China Capital (Hong Kong) Company Limited</t>
        </is>
      </c>
      <c r="BH402" s="63" t="inlineStr">
        <is>
          <t>China International Capital Corporation Hong Kong Securities Limited; Ping An of China Capital (Hong Kong) Company Limited; China Securities (International) Corporate Finance Company Limited</t>
        </is>
      </c>
      <c r="BI402" s="63"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7">
        <f>HYPERLINK("https://www1.hkexnews.hk/listedco/listconews/sehk/2025/1211/2025121100007.pdf","prospectus")</f>
        <v/>
      </c>
      <c r="BL402" s="77">
        <f>HYPERLINK("https://www1.hkexnews.hk/listedco/listconews/sehk/2025/1218/2025121801904.pdf","allotment")</f>
        <v/>
      </c>
      <c r="BM402" s="77">
        <f>HYPERLINK("https://www1.hkexnews.hk/listedco/listconews/sehk/2026/0116/2026011600161.pdf","stabilisation")</f>
        <v/>
      </c>
      <c r="BN402" s="75" t="n"/>
      <c r="BO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c r="L403" s="66" t="n">
        <v>4.1</v>
      </c>
      <c r="M403" s="66" t="n">
        <v>3.6</v>
      </c>
      <c r="N403" s="63" t="inlineStr">
        <is>
          <t>N</t>
        </is>
      </c>
      <c r="O403" s="67" t="n">
        <v>87.8</v>
      </c>
      <c r="P403" s="67" t="n"/>
      <c r="Q403" s="68" t="n">
        <v>519</v>
      </c>
      <c r="R403" s="63" t="inlineStr">
        <is>
          <t>derived:price x shares upon listing</t>
        </is>
      </c>
      <c r="S403" s="69" t="n">
        <v>3397.48</v>
      </c>
      <c r="T403" s="70" t="n">
        <v>1.91</v>
      </c>
      <c r="U403" s="71" t="n">
        <v>0</v>
      </c>
      <c r="V403" s="67" t="n">
        <v>25.04</v>
      </c>
      <c r="W403" s="63" t="n"/>
      <c r="X403" s="63" t="n"/>
      <c r="Y403" s="67" t="n">
        <v>11.4</v>
      </c>
      <c r="Z403" s="63" t="n"/>
      <c r="AA403" s="72" t="n">
        <v>-35.28</v>
      </c>
      <c r="AB403" s="73" t="n">
        <v>-9.44</v>
      </c>
      <c r="AC403" s="73" t="n">
        <v>-28.53</v>
      </c>
      <c r="AD403" s="73" t="n">
        <v>-41.11</v>
      </c>
      <c r="AE403" s="73" t="n">
        <v>-35.56</v>
      </c>
      <c r="AF403" s="73" t="n">
        <v>-50.28</v>
      </c>
      <c r="AG403" s="73" t="n">
        <v>-9.01</v>
      </c>
      <c r="AH403" s="73" t="n">
        <v>-0.43</v>
      </c>
      <c r="AI403" s="73" t="n">
        <v>-23.18</v>
      </c>
      <c r="AJ403" s="73" t="n">
        <v>-40.88</v>
      </c>
      <c r="AK403" s="73" t="n">
        <v>-39.68</v>
      </c>
      <c r="AL403" s="73" t="n">
        <v>-47.4</v>
      </c>
      <c r="AM403" s="73" t="n">
        <v>-4.1</v>
      </c>
      <c r="AN403" s="73" t="n">
        <v>4.12</v>
      </c>
      <c r="AO403" s="73" t="n">
        <v>3.67</v>
      </c>
      <c r="AP403" s="63" t="inlineStr">
        <is>
          <t>Hang Seng Index</t>
        </is>
      </c>
      <c r="AQ403" s="73" t="n">
        <v>-63.75</v>
      </c>
      <c r="AR403" s="64" t="inlineStr">
        <is>
          <t>2026-08-21</t>
        </is>
      </c>
      <c r="AS403" s="65" t="n">
        <v>150.9</v>
      </c>
      <c r="AT403" s="68" t="n">
        <v>-2.9</v>
      </c>
      <c r="AU403" s="63" t="inlineStr">
        <is>
          <t>N</t>
        </is>
      </c>
      <c r="AV403" s="63" t="inlineStr">
        <is>
          <t>n/m</t>
        </is>
      </c>
      <c r="AW403" s="74" t="n">
        <v>5.6</v>
      </c>
      <c r="AX403" s="74" t="n">
        <v>3.1</v>
      </c>
      <c r="AY403" s="74" t="n">
        <v>3.4</v>
      </c>
      <c r="AZ403" s="75" t="inlineStr">
        <is>
          <t>N</t>
        </is>
      </c>
      <c r="BA403" s="76">
        <f>IF('BBG Verify'!K403="","not filed — run on terminal",'BBG Verify'!K403)</f>
        <v/>
      </c>
      <c r="BB403" s="63" t="inlineStr">
        <is>
          <t>N/A</t>
        </is>
      </c>
      <c r="BC403" s="63" t="inlineStr">
        <is>
          <t>N/A</t>
        </is>
      </c>
      <c r="BD403" s="63" t="inlineStr">
        <is>
          <t>N/A</t>
        </is>
      </c>
      <c r="BE403" s="63" t="inlineStr">
        <is>
          <t>N/A</t>
        </is>
      </c>
      <c r="BF403" s="63" t="inlineStr">
        <is>
          <t>N/A</t>
        </is>
      </c>
      <c r="BG403" s="75" t="inlineStr">
        <is>
          <t>China Industrial Securities International Capital Limited; Halcyon Capital Limited</t>
        </is>
      </c>
      <c r="BH403" s="63" t="inlineStr">
        <is>
          <t>China Industrial Securities International Capital Limited; Halcyon Capital Limited</t>
        </is>
      </c>
      <c r="BI403" s="63" t="inlineStr">
        <is>
          <t>China Industrial Securities International Capital Limited; Halcyon Securities Limited; ABCI Capital Limited; ABCI Securities Company Limited</t>
        </is>
      </c>
      <c r="BJ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7">
        <f>HYPERLINK("https://www1.hkexnews.hk/listedco/listconews/sehk/2025/1212/2025121200055.pdf","prospectus")</f>
        <v/>
      </c>
      <c r="BL403" s="77">
        <f>HYPERLINK("https://www1.hkexnews.hk/listedco/listconews/sehk/2025/1219/2025121901141.pdf","allotment")</f>
        <v/>
      </c>
      <c r="BM403" s="63" t="n"/>
      <c r="BN403" s="75" t="n"/>
      <c r="BO40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7" t="n">
        <v>15</v>
      </c>
      <c r="W404" s="63" t="n"/>
      <c r="X404" s="63" t="n"/>
      <c r="Y404" s="67" t="n">
        <v>15</v>
      </c>
      <c r="Z404" s="63" t="inlineStr">
        <is>
          <t>lapsed (no over-allocation)</t>
        </is>
      </c>
      <c r="AA404" s="72" t="n">
        <v>-29.32</v>
      </c>
      <c r="AB404" s="73" t="n">
        <v>-11.52</v>
      </c>
      <c r="AC404" s="73" t="n">
        <v>-20.12</v>
      </c>
      <c r="AD404" s="73" t="n">
        <v>-57.67</v>
      </c>
      <c r="AE404" s="73" t="n">
        <v>-71.95999999999999</v>
      </c>
      <c r="AF404" s="73" t="n">
        <v>-81.02</v>
      </c>
      <c r="AG404" s="73" t="n">
        <v>-40.11</v>
      </c>
      <c r="AH404" s="73" t="n">
        <v>-60.33</v>
      </c>
      <c r="AI404" s="73" t="n">
        <v>-73.15000000000001</v>
      </c>
      <c r="AJ404" s="73" t="n">
        <v>-53.08</v>
      </c>
      <c r="AK404" s="73" t="n">
        <v>-73.8</v>
      </c>
      <c r="AL404" s="73" t="n">
        <v>-86.11</v>
      </c>
      <c r="AM404" s="73" t="n">
        <v>-63.24</v>
      </c>
      <c r="AN404" s="73" t="n">
        <v>1.84</v>
      </c>
      <c r="AO404" s="73" t="n">
        <v>2.91</v>
      </c>
      <c r="AP404" s="63" t="inlineStr">
        <is>
          <t>China Biotech ETF (HS biotech proxy)</t>
        </is>
      </c>
      <c r="AQ404" s="73" t="n">
        <v>-82.84</v>
      </c>
      <c r="AR404" s="64" t="inlineStr">
        <is>
          <t>2026-08-21</t>
        </is>
      </c>
      <c r="AS404" s="65" t="n">
        <v>0.3</v>
      </c>
      <c r="AT404" s="68" t="n">
        <v>-180.5</v>
      </c>
      <c r="AU404" s="63" t="inlineStr">
        <is>
          <t>N</t>
        </is>
      </c>
      <c r="AV404" s="63" t="inlineStr">
        <is>
          <t>n/m</t>
        </is>
      </c>
      <c r="AW404" s="74" t="n"/>
      <c r="AX404" s="74" t="n"/>
      <c r="AY404" s="74" t="n">
        <v>14981.7</v>
      </c>
      <c r="AZ404" s="75" t="inlineStr">
        <is>
          <t>N</t>
        </is>
      </c>
      <c r="BA404" s="76">
        <f>IF('BBG Verify'!K404="","not filed — run on terminal",'BBG Verify'!K404)</f>
        <v/>
      </c>
      <c r="BB404" s="63" t="inlineStr">
        <is>
          <t>N/A</t>
        </is>
      </c>
      <c r="BC404" s="63" t="inlineStr">
        <is>
          <t>N/A</t>
        </is>
      </c>
      <c r="BD404" s="63" t="inlineStr">
        <is>
          <t>N/A</t>
        </is>
      </c>
      <c r="BE404" s="63" t="inlineStr">
        <is>
          <t>N/A</t>
        </is>
      </c>
      <c r="BF404" s="63" t="inlineStr">
        <is>
          <t>N/A</t>
        </is>
      </c>
      <c r="BG404" s="75" t="inlineStr">
        <is>
          <t>Huatai Financial Holdings (Hong Kong) Limited; Central, Hong Kong CITIC Securities (Hong Kong) Limited</t>
        </is>
      </c>
      <c r="BH404" s="63" t="inlineStr">
        <is>
          <t>Huatai Financial Holdings (Hong Kong) Limited; CITIC Securities (Hong Kong) Limited</t>
        </is>
      </c>
      <c r="BI404" s="63"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7">
        <f>HYPERLINK("https://www1.hkexnews.hk/listedco/listconews/sehk/2025/1212/2025121200081.pdf","prospectus")</f>
        <v/>
      </c>
      <c r="BL404" s="77">
        <f>HYPERLINK("https://www1.hkexnews.hk/listedco/listconews/sehk/2025/1219/2025121901577.pdf","allotment")</f>
        <v/>
      </c>
      <c r="BM404" s="77">
        <f>HYPERLINK("https://www1.hkexnews.hk/listedco/listconews/sehk/2026/0118/2026011800013.pdf","stabilisation")</f>
        <v/>
      </c>
      <c r="BN404" s="75" t="n"/>
      <c r="BO404" s="63" t="inlineStr">
        <is>
          <t>P/E: n/m — loss-making at IPO (use P/S) · range low: cap-only pricing — the filing publishes a Maximum Offer Price and no indicative floor · A/H: no A-share listing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7" t="n">
        <v>10.82</v>
      </c>
      <c r="W405" s="63" t="inlineStr">
        <is>
          <t>Heron Neutron Medical; Cowealth (China); Suzhou Zhanxingtou</t>
        </is>
      </c>
      <c r="X405" s="63" t="inlineStr">
        <is>
          <t>heron;cowealth;suzhou</t>
        </is>
      </c>
      <c r="Y405" s="67" t="n"/>
      <c r="Z405" s="63" t="n"/>
      <c r="AA405" s="72" t="n">
        <v>-49.46</v>
      </c>
      <c r="AB405" s="73" t="n">
        <v>-30.41</v>
      </c>
      <c r="AC405" s="73" t="n">
        <v>-27.37</v>
      </c>
      <c r="AD405" s="73" t="n">
        <v>-56</v>
      </c>
      <c r="AE405" s="73" t="n">
        <v>-56.21</v>
      </c>
      <c r="AF405" s="73" t="n">
        <v>-63.06</v>
      </c>
      <c r="AG405" s="73" t="n">
        <v>-12.94</v>
      </c>
      <c r="AH405" s="73" t="n">
        <v>-13.36</v>
      </c>
      <c r="AI405" s="73" t="n">
        <v>-26.91</v>
      </c>
      <c r="AJ405" s="73" t="n">
        <v>-56.56</v>
      </c>
      <c r="AK405" s="73" t="n">
        <v>-61.99</v>
      </c>
      <c r="AL405" s="73" t="n">
        <v>-50.37</v>
      </c>
      <c r="AM405" s="73" t="n">
        <v>-18.06</v>
      </c>
      <c r="AN405" s="73" t="n">
        <v>5.78</v>
      </c>
      <c r="AO405" s="73" t="n">
        <v>4.7</v>
      </c>
      <c r="AP405" s="63" t="inlineStr">
        <is>
          <t>HSTECH (Hang Seng TECH ETF)</t>
        </is>
      </c>
      <c r="AQ405" s="73" t="n">
        <v>-72.38</v>
      </c>
      <c r="AR405" s="64" t="inlineStr">
        <is>
          <t>2026-08-21</t>
        </is>
      </c>
      <c r="AS405" s="65" t="n">
        <v>2924.9</v>
      </c>
      <c r="AT405" s="68" t="n">
        <v>119.8</v>
      </c>
      <c r="AU405" s="63" t="inlineStr">
        <is>
          <t>Y</t>
        </is>
      </c>
      <c r="AV405" s="74" t="n">
        <v>24.3</v>
      </c>
      <c r="AW405" s="74" t="n">
        <v>11.1</v>
      </c>
      <c r="AX405" s="74" t="n">
        <v>6.2</v>
      </c>
      <c r="AY405" s="74" t="n">
        <v>1</v>
      </c>
      <c r="AZ405" s="75" t="inlineStr">
        <is>
          <t>N</t>
        </is>
      </c>
      <c r="BA405" s="76">
        <f>IF('BBG Verify'!K405="","not filed — run on terminal",'BBG Verify'!K405)</f>
        <v/>
      </c>
      <c r="BB405" s="63" t="inlineStr">
        <is>
          <t>N/A</t>
        </is>
      </c>
      <c r="BC405" s="63" t="inlineStr">
        <is>
          <t>N/A</t>
        </is>
      </c>
      <c r="BD405" s="63" t="inlineStr">
        <is>
          <t>N/A</t>
        </is>
      </c>
      <c r="BE405" s="63" t="inlineStr">
        <is>
          <t>N/A</t>
        </is>
      </c>
      <c r="BF405" s="63" t="inlineStr">
        <is>
          <t>N/A</t>
        </is>
      </c>
      <c r="BG405" s="75" t="n"/>
      <c r="BH405" s="63" t="inlineStr">
        <is>
          <t>China International Capital Corporation Hong Kong Securities Limited; Citigroup Global Markets Asia Limited</t>
        </is>
      </c>
      <c r="BI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7">
        <f>HYPERLINK("https://www1.hkexnews.hk/listedco/listconews/sehk/2025/1212/2025121200057.pdf","prospectus")</f>
        <v/>
      </c>
      <c r="BL405" s="77">
        <f>HYPERLINK("https://www1.hkexnews.hk/listedco/listconews/sehk/2025/1219/2025121901603.pdf","allotment")</f>
        <v/>
      </c>
      <c r="BM405" s="63" t="n"/>
      <c r="BN405" s="75" t="n"/>
      <c r="BO405" s="63" t="inlineStr">
        <is>
          <t>greenshoe: no over-allotment option in the offer structure · A/H: no A-share listing · sponsor: English name not in the filing text; AAStocks 保薦人 shown · greenshoe size: no over-allotment option in the offer structure</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13989.1</v>
      </c>
      <c r="R406" s="63" t="inlineStr">
        <is>
          <t>prospectus:stated market capitalisation</t>
        </is>
      </c>
      <c r="S406" s="69" t="n">
        <v>1.91</v>
      </c>
      <c r="T406" s="70" t="n">
        <v>0.99</v>
      </c>
      <c r="U406" s="71" t="n">
        <v>0</v>
      </c>
      <c r="V406" s="67" t="n">
        <v>9.24</v>
      </c>
      <c r="W406" s="63" t="n"/>
      <c r="X406" s="63" t="n"/>
      <c r="Y406" s="67" t="n">
        <v>5</v>
      </c>
      <c r="Z406" s="63" t="inlineStr">
        <is>
          <t>lapsed (no over-allocation)</t>
        </is>
      </c>
      <c r="AA406" s="72" t="n">
        <v>-24.17</v>
      </c>
      <c r="AB406" s="73" t="n">
        <v>-23.92</v>
      </c>
      <c r="AC406" s="73" t="n">
        <v>-0.33</v>
      </c>
      <c r="AD406" s="73" t="n">
        <v>-17.42</v>
      </c>
      <c r="AE406" s="73" t="n">
        <v>-12.75</v>
      </c>
      <c r="AF406" s="73" t="n">
        <v>-9.5</v>
      </c>
      <c r="AG406" s="73" t="n">
        <v>8.9</v>
      </c>
      <c r="AH406" s="73" t="n">
        <v>15.06</v>
      </c>
      <c r="AI406" s="73" t="n">
        <v>19.35</v>
      </c>
      <c r="AJ406" s="73" t="n">
        <v>-18.24</v>
      </c>
      <c r="AK406" s="73" t="n">
        <v>-16.12</v>
      </c>
      <c r="AL406" s="73" t="n">
        <v>-12.35</v>
      </c>
      <c r="AM406" s="73" t="n">
        <v>12.22</v>
      </c>
      <c r="AN406" s="73" t="n">
        <v>3.37</v>
      </c>
      <c r="AO406" s="73" t="n">
        <v>2.84</v>
      </c>
      <c r="AP406" s="63" t="inlineStr">
        <is>
          <t>Hang Seng Finance sub-index</t>
        </is>
      </c>
      <c r="AQ406" s="73" t="n">
        <v>-21.76</v>
      </c>
      <c r="AR406" s="64" t="inlineStr">
        <is>
          <t>2026-08-24</t>
        </is>
      </c>
      <c r="AS406" s="65" t="n">
        <v>0</v>
      </c>
      <c r="AT406" s="68" t="n">
        <v>503.8</v>
      </c>
      <c r="AU406" s="63" t="inlineStr">
        <is>
          <t>Y</t>
        </is>
      </c>
      <c r="AV406" s="74" t="n">
        <v>27.8</v>
      </c>
      <c r="AW406" s="74" t="n">
        <v>10.9</v>
      </c>
      <c r="AX406" s="74" t="n">
        <v>5.8</v>
      </c>
      <c r="AY406" s="63" t="inlineStr">
        <is>
          <t>pre-rev</t>
        </is>
      </c>
      <c r="AZ406" s="75" t="inlineStr">
        <is>
          <t>Y</t>
        </is>
      </c>
      <c r="BA406" s="63" t="inlineStr">
        <is>
          <t>603093.SS</t>
        </is>
      </c>
      <c r="BB406" s="73" t="n">
        <v>77.34999999999999</v>
      </c>
      <c r="BC406" s="66" t="n">
        <v>21.2816</v>
      </c>
      <c r="BD406" s="80" t="n">
        <v>1.0375</v>
      </c>
      <c r="BE406" s="78">
        <f>IF('BBG Verify'!Q406="","run on terminal",'BBG Verify'!Q406)</f>
        <v/>
      </c>
      <c r="BF406" s="78">
        <f>IF('BBG Verify'!R406="","run on terminal",'BBG Verify'!R406)</f>
        <v/>
      </c>
      <c r="BG406" s="75" t="inlineStr">
        <is>
          <t>CITIC Securities (Hong Kong) Limited</t>
        </is>
      </c>
      <c r="BH406" s="63" t="inlineStr">
        <is>
          <t>CITIC Securities (Hong Kong) Limited</t>
        </is>
      </c>
      <c r="BI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7">
        <f>HYPERLINK("https://www1.hkexnews.hk/listedco/listconews/sehk/2025/1212/2025121200021.pdf","prospectus")</f>
        <v/>
      </c>
      <c r="BL406" s="77">
        <f>HYPERLINK("https://www1.hkexnews.hk/listedco/listconews/sehk/2025/1219/2025121902017.pdf","allotment")</f>
        <v/>
      </c>
      <c r="BM406" s="77">
        <f>HYPERLINK("https://www1.hkexnews.hk/listedco/listconews/sehk/2026/0116/2026011600262.pdf","stabilisation")</f>
        <v/>
      </c>
      <c r="BN406" s="75" t="n"/>
      <c r="BO406" s="63" t="inlineStr">
        <is>
          <t>range low: cap-only pricing — the filing publishes a Maximum Offer Price and no indicative floor · A/H: Dec 2025 H listing (futures broker)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7" t="n">
        <v>10</v>
      </c>
      <c r="W407" s="63" t="n"/>
      <c r="X407" s="63" t="n"/>
      <c r="Y407" s="67" t="n">
        <v>19.6</v>
      </c>
      <c r="Z407" s="63" t="inlineStr">
        <is>
          <t>lapsed (no over-allocation)</t>
        </is>
      </c>
      <c r="AA407" s="72" t="n">
        <v>363.75</v>
      </c>
      <c r="AB407" s="73" t="n">
        <v>299.75</v>
      </c>
      <c r="AC407" s="73" t="n">
        <v>16.01</v>
      </c>
      <c r="AD407" s="73" t="n">
        <v>331.75</v>
      </c>
      <c r="AE407" s="73" t="n">
        <v>388.5</v>
      </c>
      <c r="AF407" s="73" t="n">
        <v>505</v>
      </c>
      <c r="AG407" s="73" t="n">
        <v>-6.9</v>
      </c>
      <c r="AH407" s="73" t="n">
        <v>5.34</v>
      </c>
      <c r="AI407" s="73" t="n">
        <v>30.46</v>
      </c>
      <c r="AJ407" s="73" t="n">
        <v>328.15</v>
      </c>
      <c r="AK407" s="73" t="n">
        <v>384.99</v>
      </c>
      <c r="AL407" s="73" t="n">
        <v>520.24</v>
      </c>
      <c r="AM407" s="73" t="n">
        <v>0.96</v>
      </c>
      <c r="AN407" s="73" t="n">
        <v>3.51</v>
      </c>
      <c r="AO407" s="73" t="n">
        <v>4.38</v>
      </c>
      <c r="AP407" s="63" t="inlineStr">
        <is>
          <t>HSTECH (Hang Seng TECH ETF)</t>
        </is>
      </c>
      <c r="AQ407" s="73" t="n">
        <v>29.37</v>
      </c>
      <c r="AR407" s="64" t="inlineStr">
        <is>
          <t>2026-08-24</t>
        </is>
      </c>
      <c r="AS407" s="65" t="n">
        <v>442.9</v>
      </c>
      <c r="AT407" s="68" t="n">
        <v>126.9</v>
      </c>
      <c r="AU407" s="63" t="inlineStr">
        <is>
          <t>Y</t>
        </is>
      </c>
      <c r="AV407" s="74" t="n">
        <v>23.9</v>
      </c>
      <c r="AW407" s="74" t="n"/>
      <c r="AX407" s="74" t="n"/>
      <c r="AY407" s="74" t="n">
        <v>6.8</v>
      </c>
      <c r="AZ407" s="75" t="inlineStr">
        <is>
          <t>N</t>
        </is>
      </c>
      <c r="BA407" s="76">
        <f>IF('BBG Verify'!K407="","not filed — run on terminal",'BBG Verify'!K407)</f>
        <v/>
      </c>
      <c r="BB407" s="63" t="inlineStr">
        <is>
          <t>N/A</t>
        </is>
      </c>
      <c r="BC407" s="63" t="inlineStr">
        <is>
          <t>N/A</t>
        </is>
      </c>
      <c r="BD407" s="63" t="inlineStr">
        <is>
          <t>N/A</t>
        </is>
      </c>
      <c r="BE407" s="63" t="inlineStr">
        <is>
          <t>N/A</t>
        </is>
      </c>
      <c r="BF407" s="63" t="inlineStr">
        <is>
          <t>N/A</t>
        </is>
      </c>
      <c r="BG407" s="75" t="n"/>
      <c r="BH407" s="63" t="inlineStr">
        <is>
          <t>China International Capital Corporation Hong Kong Securities Limited</t>
        </is>
      </c>
      <c r="BI407" s="63" t="inlineStr">
        <is>
          <t>China International Capital Corporation Hong Kong Securities Limited; Livermore Holdings Limited; Patrons Securities Limited</t>
        </is>
      </c>
      <c r="BJ407" s="63" t="inlineStr">
        <is>
          <t>China International Capital Corporation Hong Kong Securities Limited; Livermore Holdings Limited; Patrons Securities Limited</t>
        </is>
      </c>
      <c r="BK407" s="77">
        <f>HYPERLINK("https://www1.hkexnews.hk/listedco/listconews/sehk/2025/1215/2025121500019.pdf","prospectus")</f>
        <v/>
      </c>
      <c r="BL407" s="77">
        <f>HYPERLINK("https://www1.hkexnews.hk/listedco/listconews/sehk/2025/1222/2025122201578.pdf","allotment")</f>
        <v/>
      </c>
      <c r="BM407" s="77">
        <f>HYPERLINK("https://www1.hkexnews.hk/listedco/listconews/sehk/2026/0119/2026011900805.pdf","stabilisation")</f>
        <v/>
      </c>
      <c r="BN407" s="75" t="n"/>
      <c r="BO407" s="63"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7" t="n">
        <v>12.56</v>
      </c>
      <c r="W408" s="63" t="inlineStr">
        <is>
          <t>Aoqin Heming; Discretionary basis</t>
        </is>
      </c>
      <c r="X408" s="63" t="inlineStr">
        <is>
          <t>aoqin;discretionary</t>
        </is>
      </c>
      <c r="Y408" s="67" t="n">
        <v>13.61</v>
      </c>
      <c r="Z408" s="63" t="inlineStr">
        <is>
          <t>lapsed (no over-allocation)</t>
        </is>
      </c>
      <c r="AA408" s="72" t="n">
        <v>158.82</v>
      </c>
      <c r="AB408" s="73" t="n">
        <v>120.46</v>
      </c>
      <c r="AC408" s="73" t="n">
        <v>17.4</v>
      </c>
      <c r="AD408" s="73" t="n">
        <v>229.37</v>
      </c>
      <c r="AE408" s="73" t="n">
        <v>338.71</v>
      </c>
      <c r="AF408" s="73" t="n">
        <v>592.6799999999999</v>
      </c>
      <c r="AG408" s="73" t="n">
        <v>27.26</v>
      </c>
      <c r="AH408" s="73" t="n">
        <v>69.5</v>
      </c>
      <c r="AI408" s="73" t="n">
        <v>167.63</v>
      </c>
      <c r="AJ408" s="73" t="n">
        <v>226.94</v>
      </c>
      <c r="AK408" s="73" t="n">
        <v>335.11</v>
      </c>
      <c r="AL408" s="73" t="n">
        <v>590.54</v>
      </c>
      <c r="AM408" s="73" t="n">
        <v>66.5</v>
      </c>
      <c r="AN408" s="73" t="n">
        <v>3.6</v>
      </c>
      <c r="AO408" s="73" t="n">
        <v>3</v>
      </c>
      <c r="AP408" s="63" t="inlineStr">
        <is>
          <t>Hang Seng Finance sub-index</t>
        </is>
      </c>
      <c r="AQ408" s="73" t="n">
        <v>-76.65000000000001</v>
      </c>
      <c r="AR408" s="64" t="inlineStr">
        <is>
          <t>2026-08-20</t>
        </is>
      </c>
      <c r="AS408" s="65" t="n">
        <v>1039.5</v>
      </c>
      <c r="AT408" s="68" t="n">
        <v>-0</v>
      </c>
      <c r="AU408" s="63" t="inlineStr">
        <is>
          <t>N</t>
        </is>
      </c>
      <c r="AV408" s="63" t="inlineStr">
        <is>
          <t>n/m</t>
        </is>
      </c>
      <c r="AW408" s="74" t="n"/>
      <c r="AX408" s="74" t="n"/>
      <c r="AY408" s="74" t="n">
        <v>4.5</v>
      </c>
      <c r="AZ408" s="75" t="inlineStr">
        <is>
          <t>N</t>
        </is>
      </c>
      <c r="BA408" s="76">
        <f>IF('BBG Verify'!K408="","not filed — run on terminal",'BBG Verify'!K408)</f>
        <v/>
      </c>
      <c r="BB408" s="63" t="inlineStr">
        <is>
          <t>N/A</t>
        </is>
      </c>
      <c r="BC408" s="63" t="inlineStr">
        <is>
          <t>N/A</t>
        </is>
      </c>
      <c r="BD408" s="63" t="inlineStr">
        <is>
          <t>N/A</t>
        </is>
      </c>
      <c r="BE408" s="63" t="inlineStr">
        <is>
          <t>N/A</t>
        </is>
      </c>
      <c r="BF408" s="63" t="inlineStr">
        <is>
          <t>N/A</t>
        </is>
      </c>
      <c r="BG408" s="75" t="inlineStr">
        <is>
          <t>China International Capital Corporation Hong Kong Securities Limited; China Merchants Securities (HK) Co., Limited</t>
        </is>
      </c>
      <c r="BH408" s="63" t="inlineStr">
        <is>
          <t>China International Capital Corporation Hong Kong Securities Limited; China Merchants Securities (HK) Company Limited</t>
        </is>
      </c>
      <c r="BI408" s="63" t="inlineStr">
        <is>
          <t>China International Capital Corporation Hong Kong Securities Limited; China Merchants Securities (HK) Co., Limited; Futu Securities International (Hong Kong) Limited; SPDB International Capital Limited</t>
        </is>
      </c>
      <c r="BJ408" s="63" t="inlineStr">
        <is>
          <t>China International Capital Corporation Hong Kong Securities Limited; China Merchants Securities (HK) Company Limited; Futu Securities International (Hong Kong) Limited; SPDB International Capital Limited</t>
        </is>
      </c>
      <c r="BK408" s="77">
        <f>HYPERLINK("https://www1.hkexnews.hk/listedco/listconews/sehk/2025/1215/2025121500031.pdf","prospectus")</f>
        <v/>
      </c>
      <c r="BL408" s="77">
        <f>HYPERLINK("https://www1.hkexnews.hk/listedco/listconews/sehk/2025/1222/2025122201716.pdf","allotment")</f>
        <v/>
      </c>
      <c r="BM408" s="77">
        <f>HYPERLINK("https://www1.hkexnews.hk/listedco/listconews/sehk/2026/0118/2026011800009.pdf","stabilisation")</f>
        <v/>
      </c>
      <c r="BN408" s="75" t="n"/>
      <c r="BO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v>15.93</v>
      </c>
      <c r="V409" s="67" t="n">
        <v>11.31</v>
      </c>
      <c r="W409" s="63" t="n"/>
      <c r="X409" s="63" t="n"/>
      <c r="Y409" s="67" t="n">
        <v>9.699999999999999</v>
      </c>
      <c r="Z409" s="63" t="n"/>
      <c r="AA409" s="72" t="n">
        <v>-46.25</v>
      </c>
      <c r="AB409" s="73" t="n">
        <v>-9.69</v>
      </c>
      <c r="AC409" s="73" t="n">
        <v>-40.48</v>
      </c>
      <c r="AD409" s="73" t="n">
        <v>-46.69</v>
      </c>
      <c r="AE409" s="73" t="n">
        <v>-46.97</v>
      </c>
      <c r="AF409" s="73" t="n">
        <v>-3.5</v>
      </c>
      <c r="AG409" s="73" t="n">
        <v>-0.82</v>
      </c>
      <c r="AH409" s="73" t="n">
        <v>-1.34</v>
      </c>
      <c r="AI409" s="73" t="n">
        <v>79.53</v>
      </c>
      <c r="AJ409" s="73" t="n">
        <v>-44.11</v>
      </c>
      <c r="AK409" s="73" t="n">
        <v>-48.39</v>
      </c>
      <c r="AL409" s="73" t="n">
        <v>-9.859999999999999</v>
      </c>
      <c r="AM409" s="73" t="n">
        <v>-3.42</v>
      </c>
      <c r="AN409" s="73" t="n">
        <v>1.42</v>
      </c>
      <c r="AO409" s="73" t="n">
        <v>2.08</v>
      </c>
      <c r="AP409" s="63" t="inlineStr">
        <is>
          <t>China Biotech ETF (HS biotech proxy)</t>
        </is>
      </c>
      <c r="AQ409" s="73" t="n">
        <v>-5.63</v>
      </c>
      <c r="AR409" s="64" t="inlineStr">
        <is>
          <t>2026-08-20</t>
        </is>
      </c>
      <c r="AS409" s="65" t="n">
        <v>0</v>
      </c>
      <c r="AT409" s="68" t="n">
        <v>-128.6</v>
      </c>
      <c r="AU409" s="63" t="inlineStr">
        <is>
          <t>N</t>
        </is>
      </c>
      <c r="AV409" s="63" t="inlineStr">
        <is>
          <t>n/m</t>
        </is>
      </c>
      <c r="AW409" s="74" t="n"/>
      <c r="AX409" s="74" t="n"/>
      <c r="AY409" s="63" t="inlineStr">
        <is>
          <t>pre-rev</t>
        </is>
      </c>
      <c r="AZ409" s="75" t="inlineStr">
        <is>
          <t>N</t>
        </is>
      </c>
      <c r="BA409" s="76">
        <f>IF('BBG Verify'!K409="","not filed — run on terminal",'BBG Verify'!K409)</f>
        <v/>
      </c>
      <c r="BB409" s="63" t="inlineStr">
        <is>
          <t>N/A</t>
        </is>
      </c>
      <c r="BC409" s="63" t="inlineStr">
        <is>
          <t>N/A</t>
        </is>
      </c>
      <c r="BD409" s="63" t="inlineStr">
        <is>
          <t>N/A</t>
        </is>
      </c>
      <c r="BE409" s="63" t="inlineStr">
        <is>
          <t>N/A</t>
        </is>
      </c>
      <c r="BF409" s="63" t="inlineStr">
        <is>
          <t>N/A</t>
        </is>
      </c>
      <c r="BG409" s="75" t="inlineStr">
        <is>
          <t>ICBC International Capital Limited</t>
        </is>
      </c>
      <c r="BH409" s="63" t="inlineStr">
        <is>
          <t>ICBC International Capital Limited</t>
        </is>
      </c>
      <c r="BI409" s="63"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7">
        <f>HYPERLINK("https://www1.hkexnews.hk/listedco/listconews/sehk/2025/1215/2025121500027.pdf","prospectus")</f>
        <v/>
      </c>
      <c r="BL409" s="77">
        <f>HYPERLINK("https://www1.hkexnews.hk/listedco/listconews/sehk/2025/1222/2025122201726.pdf","allotment")</f>
        <v/>
      </c>
      <c r="BM409" s="63" t="n"/>
      <c r="BN409" s="75" t="n"/>
      <c r="BO409" s="63"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no revenue line in the filed P&amp;L (pre-revenue issuer) — no sales multiple can exist; the cell reads pre-rev, not blank</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7" t="n">
        <v>4.42</v>
      </c>
      <c r="W410" s="63" t="inlineStr">
        <is>
          <t>Mr. Wang Wei; Ms. Pan Honglan; Relationship SinoMedia; Relationship WSH</t>
        </is>
      </c>
      <c r="X410" s="63" t="inlineStr">
        <is>
          <t>mr-wang;ms-pan;relationship</t>
        </is>
      </c>
      <c r="Y410" s="67" t="n">
        <v>15</v>
      </c>
      <c r="Z410" s="63" t="inlineStr">
        <is>
          <t>partial</t>
        </is>
      </c>
      <c r="AA410" s="72" t="n">
        <v>1.04</v>
      </c>
      <c r="AB410" s="73" t="n">
        <v>0.04</v>
      </c>
      <c r="AC410" s="73" t="n">
        <v>1</v>
      </c>
      <c r="AD410" s="73" t="n">
        <v>1.54</v>
      </c>
      <c r="AE410" s="73" t="n">
        <v>23.75</v>
      </c>
      <c r="AF410" s="73" t="n">
        <v>313.54</v>
      </c>
      <c r="AG410" s="73" t="n">
        <v>0.49</v>
      </c>
      <c r="AH410" s="73" t="n">
        <v>22.48</v>
      </c>
      <c r="AI410" s="73" t="n">
        <v>309.28</v>
      </c>
      <c r="AJ410" s="73" t="n">
        <v>-3.21</v>
      </c>
      <c r="AK410" s="73" t="n">
        <v>17.42</v>
      </c>
      <c r="AL410" s="73" t="n">
        <v>328.44</v>
      </c>
      <c r="AM410" s="73" t="n">
        <v>17.91</v>
      </c>
      <c r="AN410" s="73" t="n">
        <v>6.33</v>
      </c>
      <c r="AO410" s="73" t="n">
        <v>4.57</v>
      </c>
      <c r="AP410" s="63" t="inlineStr">
        <is>
          <t>HSTECH (Hang Seng TECH ETF)</t>
        </is>
      </c>
      <c r="AQ410" s="73" t="n">
        <v>179.79</v>
      </c>
      <c r="AR410" s="64" t="inlineStr">
        <is>
          <t>2026-08-20</t>
        </is>
      </c>
      <c r="AS410" s="65" t="n">
        <v>695.2</v>
      </c>
      <c r="AT410" s="68" t="n">
        <v>-107.6</v>
      </c>
      <c r="AU410" s="63" t="inlineStr">
        <is>
          <t>N</t>
        </is>
      </c>
      <c r="AV410" s="63" t="inlineStr">
        <is>
          <t>n/m</t>
        </is>
      </c>
      <c r="AW410" s="74" t="n"/>
      <c r="AX410" s="74" t="n"/>
      <c r="AY410" s="74" t="n">
        <v>25.1</v>
      </c>
      <c r="AZ410" s="75" t="inlineStr">
        <is>
          <t>N</t>
        </is>
      </c>
      <c r="BA410" s="76">
        <f>IF('BBG Verify'!K410="","not filed — run on terminal",'BBG Verify'!K410)</f>
        <v/>
      </c>
      <c r="BB410" s="63" t="inlineStr">
        <is>
          <t>N/A</t>
        </is>
      </c>
      <c r="BC410" s="63" t="inlineStr">
        <is>
          <t>N/A</t>
        </is>
      </c>
      <c r="BD410" s="63" t="inlineStr">
        <is>
          <t>N/A</t>
        </is>
      </c>
      <c r="BE410" s="63" t="inlineStr">
        <is>
          <t>N/A</t>
        </is>
      </c>
      <c r="BF410" s="63" t="inlineStr">
        <is>
          <t>N/A</t>
        </is>
      </c>
      <c r="BG410" s="75" t="inlineStr">
        <is>
          <t>Guotai Junan Capital Limited</t>
        </is>
      </c>
      <c r="BH410" s="63" t="inlineStr">
        <is>
          <t>Guotai Junan Capital Limited</t>
        </is>
      </c>
      <c r="BI410" s="63"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7">
        <f>HYPERLINK("https://www1.hkexnews.hk/listedco/listconews/sehk/2025/1218/2025121800027.pdf","prospectus")</f>
        <v/>
      </c>
      <c r="BL410" s="77">
        <f>HYPERLINK("https://www1.hkexnews.hk/listedco/listconews/sehk/2025/1229/2025122902057.pdf","allotment")</f>
        <v/>
      </c>
      <c r="BM410" s="77">
        <f>HYPERLINK("https://www1.hkexnews.hk/listedco/listconews/sehk/2026/0123/2026012300001.pdf","stabilisation")</f>
        <v/>
      </c>
      <c r="BN410" s="75" t="n"/>
      <c r="BO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7" t="n">
        <v>1.27</v>
      </c>
      <c r="W411" s="63" t="inlineStr">
        <is>
          <t>Loyal Valley Capital; SynerSuccess Capital Ltd; Mega Prime Development Limited; Tulip Fund, L.P; Dajia Life Insurance Co., Ltd; Mr. Sun Laichun; FIL Investment; Duckling Fund, L.P; SS Capital; Yield Royal Investment; Mr. Sun Fuchun –; Youngor Fashion –; Toutoushidao –</t>
        </is>
      </c>
      <c r="X411" s="63" t="inlineStr">
        <is>
          <t>loyal;synersuccess;mega;tulip;dajia;mr-sun;fil;duckling;ss;yield;youngor;toutoushidao</t>
        </is>
      </c>
      <c r="Y411" s="67" t="n">
        <v>11.33</v>
      </c>
      <c r="Z411" s="63" t="n"/>
      <c r="AA411" s="72" t="n">
        <v>9.300000000000001</v>
      </c>
      <c r="AB411" s="73" t="n">
        <v>9.300000000000001</v>
      </c>
      <c r="AC411" s="73" t="n">
        <v>0</v>
      </c>
      <c r="AD411" s="73" t="n">
        <v>6.72</v>
      </c>
      <c r="AE411" s="73" t="n">
        <v>3.64</v>
      </c>
      <c r="AF411" s="73" t="n">
        <v>-18.28</v>
      </c>
      <c r="AG411" s="73" t="n">
        <v>-2.36</v>
      </c>
      <c r="AH411" s="73" t="n">
        <v>-5.18</v>
      </c>
      <c r="AI411" s="73" t="n">
        <v>-25.23</v>
      </c>
      <c r="AJ411" s="73" t="n">
        <v>3.48</v>
      </c>
      <c r="AK411" s="73" t="n">
        <v>-4.82</v>
      </c>
      <c r="AL411" s="73" t="n">
        <v>-11.47</v>
      </c>
      <c r="AM411" s="73" t="n">
        <v>-12.41</v>
      </c>
      <c r="AN411" s="73" t="n">
        <v>8.460000000000001</v>
      </c>
      <c r="AO411" s="73" t="n">
        <v>7.23</v>
      </c>
      <c r="AP411" s="63" t="inlineStr">
        <is>
          <t>Hang Seng Commerce &amp; Industry sub-index</t>
        </is>
      </c>
      <c r="AQ411" s="73" t="n">
        <v>-30.56</v>
      </c>
      <c r="AR411" s="64" t="inlineStr">
        <is>
          <t>2026-08-20</t>
        </is>
      </c>
      <c r="AS411" s="65" t="n">
        <v>1330.6</v>
      </c>
      <c r="AT411" s="68" t="n">
        <v>-0.1</v>
      </c>
      <c r="AU411" s="63" t="inlineStr">
        <is>
          <t>N</t>
        </is>
      </c>
      <c r="AV411" s="63" t="inlineStr">
        <is>
          <t>n/m</t>
        </is>
      </c>
      <c r="AW411" s="74" t="n">
        <v>6.8</v>
      </c>
      <c r="AX411" s="74" t="n">
        <v>5.5</v>
      </c>
      <c r="AY411" s="74" t="n">
        <v>8.199999999999999</v>
      </c>
      <c r="AZ411" s="75" t="inlineStr">
        <is>
          <t>N</t>
        </is>
      </c>
      <c r="BA411" s="76">
        <f>IF('BBG Verify'!K411="","not filed — run on terminal",'BBG Verify'!K411)</f>
        <v/>
      </c>
      <c r="BB411" s="63" t="inlineStr">
        <is>
          <t>N/A</t>
        </is>
      </c>
      <c r="BC411" s="63" t="inlineStr">
        <is>
          <t>N/A</t>
        </is>
      </c>
      <c r="BD411" s="63" t="inlineStr">
        <is>
          <t>N/A</t>
        </is>
      </c>
      <c r="BE411" s="63" t="inlineStr">
        <is>
          <t>N/A</t>
        </is>
      </c>
      <c r="BF411" s="63" t="inlineStr">
        <is>
          <t>N/A</t>
        </is>
      </c>
      <c r="BG411" s="75" t="inlineStr">
        <is>
          <t>CITIC Securities (Hong Kong) Limited; Huatai Financial Holdings (Hong Kong) Limited</t>
        </is>
      </c>
      <c r="BH411" s="63" t="inlineStr">
        <is>
          <t>Huatai Financial Holdings (Hong Kong) Limited; CITIC Securities (Hong Kong) Limited</t>
        </is>
      </c>
      <c r="BI411" s="63" t="inlineStr">
        <is>
          <t>CLSA Limited; Huatai Financial Holdings (Hong Kong) Limited; Futu Securities International (Hong Kong) Limited; Tiger Brokers (HK) Global Limited</t>
        </is>
      </c>
      <c r="BJ411" s="63" t="inlineStr">
        <is>
          <t>CLSA Limited; Futu Securities International (Hong Kong) Limited; Huatai Financial Holdings (Hong Kong) Limited; Tiger Brokers (HK) Global Limited</t>
        </is>
      </c>
      <c r="BK411" s="77">
        <f>HYPERLINK("https://www1.hkexnews.hk/listedco/listconews/sehk/2025/1218/2025121800221.pdf","prospectus")</f>
        <v/>
      </c>
      <c r="BL411" s="77">
        <f>HYPERLINK("https://www1.hkexnews.hk/listedco/listconews/sehk/2025/1229/2025122902127.pdf","allotment")</f>
        <v/>
      </c>
      <c r="BM411" s="63" t="n"/>
      <c r="BN411" s="75" t="n"/>
      <c r="BO411" s="63" t="inlineStr">
        <is>
          <t>P/E: n/m — loss-making at IPO (use P/S) · greenshoe: end-of-stabilisation notice not located · range low: cap-only pricing — the filing publishes a Maximum Offer Price and no indicative floor · A/H: no A-share listing</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7" t="n">
        <v>15.74</v>
      </c>
      <c r="W412" s="63" t="inlineStr">
        <is>
          <t>Colorful Cloud; Tiny Jade; Mr. Wu Xing Hua; Logic Selective</t>
        </is>
      </c>
      <c r="X412" s="63" t="inlineStr">
        <is>
          <t>colorful;tiny;mr-wu;logic</t>
        </is>
      </c>
      <c r="Y412" s="67" t="n">
        <v>14.4</v>
      </c>
      <c r="Z412" s="63" t="n"/>
      <c r="AA412" s="72" t="n">
        <v>7.61</v>
      </c>
      <c r="AB412" s="73" t="n">
        <v>15.63</v>
      </c>
      <c r="AC412" s="73" t="n">
        <v>-6.94</v>
      </c>
      <c r="AD412" s="73" t="n">
        <v>4.23</v>
      </c>
      <c r="AE412" s="73" t="n">
        <v>-29.58</v>
      </c>
      <c r="AF412" s="73" t="n">
        <v>-42.25</v>
      </c>
      <c r="AG412" s="73" t="n">
        <v>-3.14</v>
      </c>
      <c r="AH412" s="73" t="n">
        <v>-34.56</v>
      </c>
      <c r="AI412" s="73" t="n">
        <v>-46.33</v>
      </c>
      <c r="AJ412" s="73" t="n">
        <v>0.99</v>
      </c>
      <c r="AK412" s="73" t="n">
        <v>-38.04</v>
      </c>
      <c r="AL412" s="73" t="n">
        <v>-35.44</v>
      </c>
      <c r="AM412" s="73" t="n">
        <v>-41.79</v>
      </c>
      <c r="AN412" s="73" t="n">
        <v>8.460000000000001</v>
      </c>
      <c r="AO412" s="73" t="n">
        <v>7.23</v>
      </c>
      <c r="AP412" s="63" t="inlineStr">
        <is>
          <t>Hang Seng Commerce &amp; Industry sub-index</t>
        </is>
      </c>
      <c r="AQ412" s="73" t="n">
        <v>-29.58</v>
      </c>
      <c r="AR412" s="64" t="inlineStr">
        <is>
          <t>2026-08-20</t>
        </is>
      </c>
      <c r="AS412" s="65" t="n"/>
      <c r="AT412" s="68" t="n"/>
      <c r="AU412" s="63" t="inlineStr">
        <is>
          <t>Y</t>
        </is>
      </c>
      <c r="AV412" s="74" t="n">
        <v>5.4</v>
      </c>
      <c r="AW412" s="74" t="n">
        <v>5.4</v>
      </c>
      <c r="AX412" s="74" t="n">
        <v>6.3</v>
      </c>
      <c r="AY412" s="74" t="n"/>
      <c r="AZ412" s="75" t="inlineStr">
        <is>
          <t>N</t>
        </is>
      </c>
      <c r="BA412" s="76">
        <f>IF('BBG Verify'!K412="","not filed — run on terminal",'BBG Verify'!K412)</f>
        <v/>
      </c>
      <c r="BB412" s="63" t="inlineStr">
        <is>
          <t>N/A</t>
        </is>
      </c>
      <c r="BC412" s="63" t="inlineStr">
        <is>
          <t>N/A</t>
        </is>
      </c>
      <c r="BD412" s="63" t="inlineStr">
        <is>
          <t>N/A</t>
        </is>
      </c>
      <c r="BE412" s="63" t="inlineStr">
        <is>
          <t>N/A</t>
        </is>
      </c>
      <c r="BF412" s="63" t="inlineStr">
        <is>
          <t>N/A</t>
        </is>
      </c>
      <c r="BG412" s="75" t="inlineStr">
        <is>
          <t>Shenwan Hongyuan Capital (H.K.) Limited</t>
        </is>
      </c>
      <c r="BH412" s="63" t="inlineStr">
        <is>
          <t>Shenwan Hongyuan Capital (H.K.) Limited</t>
        </is>
      </c>
      <c r="BI412" s="63" t="inlineStr">
        <is>
          <t>Shenwan Hongyuan Securities (H.K.) Limited; ABCI Capital Limited; BOCI Asia Limited; Patrons Securities Limited; SPDB International Capital Limited; TradeGo Markets Limited</t>
        </is>
      </c>
      <c r="BJ412" s="63" t="inlineStr">
        <is>
          <t>ABCI Securities Company Limited; BOCI Asia Limited; Patrons Securities Limited; Shenwan Hongyuan Securities (H.K.) Limited; SPDB International Capital Limited; TradeGo Markets Limited</t>
        </is>
      </c>
      <c r="BK412" s="77">
        <f>HYPERLINK("https://www1.hkexnews.hk/listedco/listconews/sehk/2025/1218/2025121800035.pdf","prospectus")</f>
        <v/>
      </c>
      <c r="BL412" s="77">
        <f>HYPERLINK("https://www1.hkexnews.hk/listedco/listconews/sehk/2025/1229/2025122902215.pdf","allotment")</f>
        <v/>
      </c>
      <c r="BM412" s="63" t="n"/>
      <c r="BN412" s="75" t="n"/>
      <c r="BO412" s="63"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7" t="n">
        <v>10.31</v>
      </c>
      <c r="W413" s="63" t="inlineStr">
        <is>
          <t>Tencent; Oaktree; Schroders; China AMC; E Fund Management Co., Ltd; Fullgoal Fund; Harvest; Taikang Life; Infini; Taibai Investments Pte. Ltd; UBS AM Singapore</t>
        </is>
      </c>
      <c r="X413" s="63" t="inlineStr">
        <is>
          <t>tencent;oaktree;schroders;amc;fund-management;fullgoal;harvest;taikang;infini;taibai;ubs</t>
        </is>
      </c>
      <c r="Y413" s="67" t="n">
        <v>15</v>
      </c>
      <c r="Z413" s="63" t="inlineStr">
        <is>
          <t>full</t>
        </is>
      </c>
      <c r="AA413" s="72" t="n">
        <v>24.66</v>
      </c>
      <c r="AB413" s="73" t="n">
        <v>45.53</v>
      </c>
      <c r="AC413" s="73" t="n">
        <v>-14.34</v>
      </c>
      <c r="AD413" s="73" t="n">
        <v>68.40000000000001</v>
      </c>
      <c r="AE413" s="73" t="n">
        <v>172.35</v>
      </c>
      <c r="AF413" s="73" t="n">
        <v>138.05</v>
      </c>
      <c r="AG413" s="73" t="n">
        <v>35.09</v>
      </c>
      <c r="AH413" s="73" t="n">
        <v>118.47</v>
      </c>
      <c r="AI413" s="73" t="n">
        <v>90.95999999999999</v>
      </c>
      <c r="AJ413" s="73" t="n">
        <v>63.65</v>
      </c>
      <c r="AK413" s="73" t="n">
        <v>166.02</v>
      </c>
      <c r="AL413" s="73" t="n">
        <v>152.95</v>
      </c>
      <c r="AM413" s="73" t="n">
        <v>113.9</v>
      </c>
      <c r="AN413" s="73" t="n">
        <v>6.33</v>
      </c>
      <c r="AO413" s="73" t="n">
        <v>4.57</v>
      </c>
      <c r="AP413" s="63" t="inlineStr">
        <is>
          <t>HSTECH (Hang Seng TECH ETF)</t>
        </is>
      </c>
      <c r="AQ413" s="73" t="n">
        <v>83.78</v>
      </c>
      <c r="AR413" s="64" t="inlineStr">
        <is>
          <t>2026-08-20</t>
        </is>
      </c>
      <c r="AS413" s="65" t="n">
        <v>669.5</v>
      </c>
      <c r="AT413" s="68" t="n">
        <v>-133.3</v>
      </c>
      <c r="AU413" s="63" t="inlineStr">
        <is>
          <t>N</t>
        </is>
      </c>
      <c r="AV413" s="63" t="inlineStr">
        <is>
          <t>n/m</t>
        </is>
      </c>
      <c r="AW413" s="74" t="n"/>
      <c r="AX413" s="74" t="n"/>
      <c r="AY413" s="74" t="n">
        <v>20</v>
      </c>
      <c r="AZ413" s="75" t="inlineStr">
        <is>
          <t>N</t>
        </is>
      </c>
      <c r="BA413" s="76">
        <f>IF('BBG Verify'!K413="","not filed — run on terminal",'BBG Verify'!K413)</f>
        <v/>
      </c>
      <c r="BB413" s="63" t="inlineStr">
        <is>
          <t>N/A</t>
        </is>
      </c>
      <c r="BC413" s="63" t="inlineStr">
        <is>
          <t>N/A</t>
        </is>
      </c>
      <c r="BD413" s="63" t="inlineStr">
        <is>
          <t>N/A</t>
        </is>
      </c>
      <c r="BE413" s="63" t="inlineStr">
        <is>
          <t>N/A</t>
        </is>
      </c>
      <c r="BF413" s="63" t="inlineStr">
        <is>
          <t>N/A</t>
        </is>
      </c>
      <c r="BG413" s="75" t="inlineStr">
        <is>
          <t>Morgan Stanley Asia Limited; China International Capital Corporation Hong Kong Securities Limited; GF Capital (Hong Kong) Limited</t>
        </is>
      </c>
      <c r="BH413" s="63" t="inlineStr">
        <is>
          <t>China International Capital Corporation Hong Kong Securities Limited; Morgan Stanley Asia Limited; GF Capital (Hong Kong) Limited</t>
        </is>
      </c>
      <c r="BI413" s="63" t="inlineStr">
        <is>
          <t>Morgan Stanley Asia Limited; GF Securities (Hong Kong) Brokerage Limited; BNP Paribas Securities (Asia) Limited; Sinolink Securities (Hong Kong) Company Limited; BOCI Asia Limited</t>
        </is>
      </c>
      <c r="BJ413" s="63" t="inlineStr">
        <is>
          <t>BNP Paribas Securities (Asia) Limited; BOCI Asia Limited; China International Capital Corporation Hong Kong Securities Limited; GF Securities (Hong Kong) Brokerage Limited; Morgan Stanley Asia Limited; Sinolink Securities (Hong Kong) Company Limited</t>
        </is>
      </c>
      <c r="BK413" s="77">
        <f>HYPERLINK("https://www1.hkexnews.hk/listedco/listconews/sehk/2025/1218/2025121800031.pdf","prospectus")</f>
        <v/>
      </c>
      <c r="BL413" s="77">
        <f>HYPERLINK("https://www1.hkexnews.hk/listedco/listconews/sehk/2025/1229/2025122902395.pdf","allotment")</f>
        <v/>
      </c>
      <c r="BM413" s="77">
        <f>HYPERLINK("https://www1.hkexnews.hk/listedco/listconews/sehk/2026/0122/2026012201223.pdf","stabilisation")</f>
        <v/>
      </c>
      <c r="BN413" s="75" t="n"/>
      <c r="BO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7" t="n"/>
      <c r="W414" s="63" t="inlineStr">
        <is>
          <t>Mr. Li Yi</t>
        </is>
      </c>
      <c r="X414" s="63" t="inlineStr">
        <is>
          <t>mr-li</t>
        </is>
      </c>
      <c r="Y414" s="67" t="n">
        <v>16.3</v>
      </c>
      <c r="Z414" s="63" t="inlineStr">
        <is>
          <t>lapsed (no over-allocation)</t>
        </is>
      </c>
      <c r="AA414" s="72" t="n">
        <v>29.9</v>
      </c>
      <c r="AB414" s="73" t="n">
        <v>14.75</v>
      </c>
      <c r="AC414" s="73" t="n">
        <v>13.2</v>
      </c>
      <c r="AD414" s="73" t="n">
        <v>51.48</v>
      </c>
      <c r="AE414" s="73" t="n">
        <v>212.46</v>
      </c>
      <c r="AF414" s="73" t="n">
        <v>18.82</v>
      </c>
      <c r="AG414" s="73" t="n">
        <v>16.61</v>
      </c>
      <c r="AH414" s="73" t="n">
        <v>140.54</v>
      </c>
      <c r="AI414" s="73" t="n">
        <v>-8.529999999999999</v>
      </c>
      <c r="AJ414" s="73" t="n">
        <v>46.73</v>
      </c>
      <c r="AK414" s="73" t="n">
        <v>206.13</v>
      </c>
      <c r="AL414" s="73" t="n">
        <v>33.72</v>
      </c>
      <c r="AM414" s="73" t="n">
        <v>135.97</v>
      </c>
      <c r="AN414" s="73" t="n">
        <v>6.33</v>
      </c>
      <c r="AO414" s="73" t="n">
        <v>4.57</v>
      </c>
      <c r="AP414" s="63" t="inlineStr">
        <is>
          <t>HSTECH (Hang Seng TECH ETF)</t>
        </is>
      </c>
      <c r="AQ414" s="73" t="n">
        <v>100.82</v>
      </c>
      <c r="AR414" s="64" t="inlineStr">
        <is>
          <t>2026-08-20</t>
        </is>
      </c>
      <c r="AS414" s="65" t="n">
        <v>316.1</v>
      </c>
      <c r="AT414" s="68" t="n">
        <v>-86.90000000000001</v>
      </c>
      <c r="AU414" s="63" t="inlineStr">
        <is>
          <t>N</t>
        </is>
      </c>
      <c r="AV414" s="63" t="inlineStr">
        <is>
          <t>n/m</t>
        </is>
      </c>
      <c r="AW414" s="74" t="n"/>
      <c r="AX414" s="74" t="n"/>
      <c r="AY414" s="74" t="n">
        <v>39.2</v>
      </c>
      <c r="AZ414" s="75" t="inlineStr">
        <is>
          <t>N</t>
        </is>
      </c>
      <c r="BA414" s="76">
        <f>IF('BBG Verify'!K414="","not filed — run on terminal",'BBG Verify'!K414)</f>
        <v/>
      </c>
      <c r="BB414" s="63" t="inlineStr">
        <is>
          <t>N/A</t>
        </is>
      </c>
      <c r="BC414" s="63" t="inlineStr">
        <is>
          <t>N/A</t>
        </is>
      </c>
      <c r="BD414" s="63" t="inlineStr">
        <is>
          <t>N/A</t>
        </is>
      </c>
      <c r="BE414" s="63" t="inlineStr">
        <is>
          <t>N/A</t>
        </is>
      </c>
      <c r="BF414" s="63" t="inlineStr">
        <is>
          <t>N/A</t>
        </is>
      </c>
      <c r="BG414" s="75" t="inlineStr">
        <is>
          <t>and Sponsor-OCs China International Capital Corporation Hong Kong Securities Limited; Huatai Financial Holdings (Hong Kong) Limited</t>
        </is>
      </c>
      <c r="BH414" s="63" t="inlineStr">
        <is>
          <t>China International Capital Corporation Hong Kong Securities Limited; Huatai Financial Holdings (Hong Kong) Limited</t>
        </is>
      </c>
      <c r="BI414" s="63"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7">
        <f>HYPERLINK("https://www1.hkexnews.hk/listedco/listconews/sehk/2025/1218/2025121800029.pdf","prospectus")</f>
        <v/>
      </c>
      <c r="BL414" s="77">
        <f>HYPERLINK("https://www1.hkexnews.hk/listedco/listconews/sehk/2025/1229/2025122902393.pdf","allotment")</f>
        <v/>
      </c>
      <c r="BM414" s="77">
        <f>HYPERLINK("https://www1.hkexnews.hk/listedco/listconews/sehk/2026/0122/2026012200344.pdf","stabilisation")</f>
        <v/>
      </c>
      <c r="BN414" s="75" t="n"/>
      <c r="BO414" s="63" t="inlineStr">
        <is>
          <t>P/E: n/m — loss-making at IPO (use P/S) · range low: cap-only pricing — the filing publishes a Maximum Offer Price and no indicative floor · A/H: no A-share listing · cornerstone %: cornerstone aggregate not stated in the filing</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81</v>
      </c>
      <c r="M415" s="66" t="n">
        <v>73.8</v>
      </c>
      <c r="N415" s="63" t="inlineStr">
        <is>
          <t>N</t>
        </is>
      </c>
      <c r="O415" s="67" t="n">
        <v>91.09999999999999</v>
      </c>
      <c r="P415" s="67" t="n"/>
      <c r="Q415" s="68" t="n">
        <v>16400</v>
      </c>
      <c r="R415" s="63" t="inlineStr">
        <is>
          <t>derived:price x shares upon listing</t>
        </is>
      </c>
      <c r="S415" s="69" t="n">
        <v>254.5</v>
      </c>
      <c r="T415" s="70" t="n">
        <v>8.9</v>
      </c>
      <c r="U415" s="71" t="n">
        <v>50</v>
      </c>
      <c r="V415" s="67" t="n">
        <v>5</v>
      </c>
      <c r="W415" s="63" t="n"/>
      <c r="X415" s="63" t="n"/>
      <c r="Y415" s="67" t="n">
        <v>15</v>
      </c>
      <c r="Z415" s="63" t="n"/>
      <c r="AA415" s="72" t="n">
        <v>0.07000000000000001</v>
      </c>
      <c r="AB415" s="73" t="n">
        <v>0</v>
      </c>
      <c r="AC415" s="73" t="n">
        <v>0.07000000000000001</v>
      </c>
      <c r="AD415" s="73" t="n">
        <v>40.24</v>
      </c>
      <c r="AE415" s="73" t="n">
        <v>129.27</v>
      </c>
      <c r="AF415" s="73" t="n">
        <v>33.4</v>
      </c>
      <c r="AG415" s="73" t="n">
        <v>40.14</v>
      </c>
      <c r="AH415" s="73" t="n">
        <v>129.11</v>
      </c>
      <c r="AI415" s="73" t="n">
        <v>33.31</v>
      </c>
      <c r="AJ415" s="73" t="n">
        <v>35.49</v>
      </c>
      <c r="AK415" s="73" t="n">
        <v>122.94</v>
      </c>
      <c r="AL415" s="73" t="n">
        <v>48.3</v>
      </c>
      <c r="AM415" s="73" t="n">
        <v>124.54</v>
      </c>
      <c r="AN415" s="73" t="n">
        <v>6.33</v>
      </c>
      <c r="AO415" s="73" t="n">
        <v>4.57</v>
      </c>
      <c r="AP415" s="63" t="inlineStr">
        <is>
          <t>HSTECH (Hang Seng TECH ETF)</t>
        </is>
      </c>
      <c r="AQ415" s="73" t="n">
        <v>-20.39</v>
      </c>
      <c r="AR415" s="64" t="inlineStr">
        <is>
          <t>2026-08-20</t>
        </is>
      </c>
      <c r="AS415" s="65" t="n">
        <v>670.9</v>
      </c>
      <c r="AT415" s="68" t="n">
        <v>-3.4</v>
      </c>
      <c r="AU415" s="63" t="inlineStr">
        <is>
          <t>N</t>
        </is>
      </c>
      <c r="AV415" s="63" t="inlineStr">
        <is>
          <t>n/m</t>
        </is>
      </c>
      <c r="AW415" s="74" t="n"/>
      <c r="AX415" s="74" t="n"/>
      <c r="AY415" s="74" t="n">
        <v>24.4</v>
      </c>
      <c r="AZ415" s="75" t="inlineStr">
        <is>
          <t>N</t>
        </is>
      </c>
      <c r="BA415" s="76">
        <f>IF('BBG Verify'!K415="","not filed — run on terminal",'BBG Verify'!K415)</f>
        <v/>
      </c>
      <c r="BB415" s="63" t="inlineStr">
        <is>
          <t>N/A</t>
        </is>
      </c>
      <c r="BC415" s="63" t="inlineStr">
        <is>
          <t>N/A</t>
        </is>
      </c>
      <c r="BD415" s="63" t="inlineStr">
        <is>
          <t>N/A</t>
        </is>
      </c>
      <c r="BE415" s="63" t="inlineStr">
        <is>
          <t>N/A</t>
        </is>
      </c>
      <c r="BF415" s="63" t="inlineStr">
        <is>
          <t>N/A</t>
        </is>
      </c>
      <c r="BG415" s="75" t="inlineStr">
        <is>
          <t>Guotai Junan Capital Limited; Huatai Financial Holdings (Hong Kong) Limited; Guotai Junan Securities (Hong Kong) Limited</t>
        </is>
      </c>
      <c r="BH415" s="63" t="inlineStr">
        <is>
          <t>Huatai Financial Holdings (Hong Kong) Limited; Guotai Junan Capital Limited</t>
        </is>
      </c>
      <c r="BI415" s="63" t="inlineStr">
        <is>
          <t>Guotai Junan Securities (Hong Kong) Limited; Huatai Financial Holdings (Hong Kong) Limited; Co., Limited; BOCI Asia Limited; Futu Securities International (Hong Kong) Limited</t>
        </is>
      </c>
      <c r="BJ415" s="63" t="inlineStr">
        <is>
          <t>BOCI Asia Limited; China Galaxy International Securities (Hong Kong) Company Limited; Futu Securities International (Hong Kong) Limited; Guotai Junan Securities (Hong Kong) Limited; Huatai Financial Holdings (Hong Kong) Limited</t>
        </is>
      </c>
      <c r="BK415" s="77">
        <f>HYPERLINK("https://www1.hkexnews.hk/listedco/listconews/sehk/2025/1218/2025121800167.pdf","prospectus")</f>
        <v/>
      </c>
      <c r="BL415" s="77">
        <f>HYPERLINK("https://www1.hkexnews.hk/listedco/listconews/sehk/2025/1229/2025122902399.pdf","allotment")</f>
        <v/>
      </c>
      <c r="BM415" s="63" t="n"/>
      <c r="BN415" s="75" t="n"/>
      <c r="BO415" s="63"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7" t="n">
        <v>6.69</v>
      </c>
      <c r="W416" s="63" t="inlineStr">
        <is>
          <t>Qiming Venture Partners; Aspex Master Fund; Hao Great China Focus Fund; Master Fund, L.P; 有限公司)</t>
        </is>
      </c>
      <c r="X416" s="63" t="inlineStr">
        <is>
          <t>qiming;aspex;hao;master-fund;有限公司</t>
        </is>
      </c>
      <c r="Y416" s="67" t="n">
        <v>15</v>
      </c>
      <c r="Z416" s="63" t="inlineStr">
        <is>
          <t>full</t>
        </is>
      </c>
      <c r="AA416" s="72" t="n">
        <v>75.81999999999999</v>
      </c>
      <c r="AB416" s="73" t="n">
        <v>82.14</v>
      </c>
      <c r="AC416" s="73" t="n">
        <v>-3.47</v>
      </c>
      <c r="AD416" s="73" t="n">
        <v>73.78</v>
      </c>
      <c r="AE416" s="73" t="n">
        <v>67.34999999999999</v>
      </c>
      <c r="AF416" s="73" t="n">
        <v>75.31</v>
      </c>
      <c r="AG416" s="73" t="n">
        <v>-1.16</v>
      </c>
      <c r="AH416" s="73" t="n">
        <v>-4.82</v>
      </c>
      <c r="AI416" s="73" t="n">
        <v>-0.29</v>
      </c>
      <c r="AJ416" s="73" t="n">
        <v>70.53</v>
      </c>
      <c r="AK416" s="73" t="n">
        <v>67.16</v>
      </c>
      <c r="AL416" s="73" t="n">
        <v>87.84999999999999</v>
      </c>
      <c r="AM416" s="73" t="n">
        <v>-1.08</v>
      </c>
      <c r="AN416" s="73" t="n">
        <v>0.19</v>
      </c>
      <c r="AO416" s="73" t="n">
        <v>-3.74</v>
      </c>
      <c r="AP416" s="63" t="inlineStr">
        <is>
          <t>HSTECH (Hang Seng TECH ETF)</t>
        </is>
      </c>
      <c r="AQ416" s="73" t="n">
        <v>92.55</v>
      </c>
      <c r="AR416" s="64" t="inlineStr">
        <is>
          <t>2026-08-21</t>
        </is>
      </c>
      <c r="AS416" s="65" t="n">
        <v>370.5</v>
      </c>
      <c r="AT416" s="68" t="n">
        <v>-1691.9</v>
      </c>
      <c r="AU416" s="63" t="inlineStr">
        <is>
          <t>N</t>
        </is>
      </c>
      <c r="AV416" s="63" t="inlineStr">
        <is>
          <t>n/m</t>
        </is>
      </c>
      <c r="AW416" s="74" t="n"/>
      <c r="AX416" s="74" t="n"/>
      <c r="AY416" s="74" t="n">
        <v>108.2</v>
      </c>
      <c r="AZ416" s="75" t="inlineStr">
        <is>
          <t>N</t>
        </is>
      </c>
      <c r="BA416" s="76">
        <f>IF('BBG Verify'!K416="","not filed — run on terminal",'BBG Verify'!K416)</f>
        <v/>
      </c>
      <c r="BB416" s="63" t="inlineStr">
        <is>
          <t>N/A</t>
        </is>
      </c>
      <c r="BC416" s="63" t="inlineStr">
        <is>
          <t>N/A</t>
        </is>
      </c>
      <c r="BD416" s="63" t="inlineStr">
        <is>
          <t>N/A</t>
        </is>
      </c>
      <c r="BE416" s="63" t="inlineStr">
        <is>
          <t>N/A</t>
        </is>
      </c>
      <c r="BF416" s="63" t="inlineStr">
        <is>
          <t>N/A</t>
        </is>
      </c>
      <c r="BG416" s="75" t="inlineStr">
        <is>
          <t>China International Capital Corporation Hong Kong Securities Limited; Ping An of China Capital (Hong Kong) Company Limited; BOCI Asia Limited; Ping An Securities (Hong Kong) Company Limited</t>
        </is>
      </c>
      <c r="BH416" s="63" t="inlineStr">
        <is>
          <t>China International Capital Corporation Hong Kong Securities Limited; Ping An of China Capital (Hong Kong) Company Limited; BOCI Asia Limited</t>
        </is>
      </c>
      <c r="BI416" s="63"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7">
        <f>HYPERLINK("https://www1.hkexnews.hk/listedco/listconews/sehk/2025/1222/2025122200019.pdf","prospectus")</f>
        <v/>
      </c>
      <c r="BL416" s="77">
        <f>HYPERLINK("https://www1.hkexnews.hk/listedco/listconews/sehk/2025/1231/2025123102783.pdf","allotment")</f>
        <v/>
      </c>
      <c r="BM416" s="77">
        <f>HYPERLINK("https://www1.hkexnews.hk/listedco/listconews/sehk/2026/0128/2026012800772.pdf","stabilisation")</f>
        <v/>
      </c>
      <c r="BN416" s="75" t="n"/>
      <c r="BO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7" t="n">
        <v>3.03</v>
      </c>
      <c r="W417" s="63" t="inlineStr">
        <is>
          <t>Taikang Life; GF Fund</t>
        </is>
      </c>
      <c r="X417" s="63" t="inlineStr">
        <is>
          <t>taikang;gf</t>
        </is>
      </c>
      <c r="Y417" s="67" t="n">
        <v>15</v>
      </c>
      <c r="Z417" s="63" t="inlineStr">
        <is>
          <t>full</t>
        </is>
      </c>
      <c r="AA417" s="72" t="n">
        <v>13.17</v>
      </c>
      <c r="AB417" s="73" t="n">
        <v>3.27</v>
      </c>
      <c r="AC417" s="73" t="n">
        <v>9.59</v>
      </c>
      <c r="AD417" s="73" t="n">
        <v>107.4</v>
      </c>
      <c r="AE417" s="73" t="n">
        <v>74.87</v>
      </c>
      <c r="AF417" s="73" t="n">
        <v>646.13</v>
      </c>
      <c r="AG417" s="73" t="n">
        <v>83.26000000000001</v>
      </c>
      <c r="AH417" s="73" t="n">
        <v>54.52</v>
      </c>
      <c r="AI417" s="73" t="n">
        <v>559.3</v>
      </c>
      <c r="AJ417" s="73" t="n">
        <v>105.98</v>
      </c>
      <c r="AK417" s="73" t="n">
        <v>81.89</v>
      </c>
      <c r="AL417" s="73" t="n">
        <v>660.55</v>
      </c>
      <c r="AM417" s="73" t="n">
        <v>60.37</v>
      </c>
      <c r="AN417" s="73" t="n">
        <v>-7.02</v>
      </c>
      <c r="AO417" s="73" t="n">
        <v>-5.85</v>
      </c>
      <c r="AP417" s="63" t="inlineStr">
        <is>
          <t>HSTECH (Hang Seng TECH ETF)</t>
        </is>
      </c>
      <c r="AQ417" s="73" t="n">
        <v>780.38</v>
      </c>
      <c r="AR417" s="64" t="inlineStr">
        <is>
          <t>2026-08-20</t>
        </is>
      </c>
      <c r="AS417" s="65" t="n">
        <v>343.7</v>
      </c>
      <c r="AT417" s="68" t="n">
        <v>-2110.3</v>
      </c>
      <c r="AU417" s="63" t="inlineStr">
        <is>
          <t>N</t>
        </is>
      </c>
      <c r="AV417" s="63" t="inlineStr">
        <is>
          <t>n/m</t>
        </is>
      </c>
      <c r="AW417" s="74" t="n"/>
      <c r="AX417" s="74" t="n"/>
      <c r="AY417" s="74" t="n">
        <v>131.1</v>
      </c>
      <c r="AZ417" s="75" t="inlineStr">
        <is>
          <t>N</t>
        </is>
      </c>
      <c r="BA417" s="76">
        <f>IF('BBG Verify'!K417="","not filed — run on terminal",'BBG Verify'!K417)</f>
        <v/>
      </c>
      <c r="BB417" s="63" t="inlineStr">
        <is>
          <t>N/A</t>
        </is>
      </c>
      <c r="BC417" s="63" t="inlineStr">
        <is>
          <t>N/A</t>
        </is>
      </c>
      <c r="BD417" s="63" t="inlineStr">
        <is>
          <t>N/A</t>
        </is>
      </c>
      <c r="BE417" s="63" t="inlineStr">
        <is>
          <t>N/A</t>
        </is>
      </c>
      <c r="BF417" s="63" t="inlineStr">
        <is>
          <t>N/A</t>
        </is>
      </c>
      <c r="BG417" s="75" t="inlineStr">
        <is>
          <t>CICC</t>
        </is>
      </c>
      <c r="BH417" s="63" t="inlineStr">
        <is>
          <t>China International Capital Corporation Hong Kong Securities Limited</t>
        </is>
      </c>
      <c r="BI417" s="63"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7">
        <f>HYPERLINK("https://www1.hkexnews.hk/listedco/listconews/sehk/2025/1230/2025123000017.pdf","prospectus")</f>
        <v/>
      </c>
      <c r="BL417" s="77">
        <f>HYPERLINK("https://www1.hkexnews.hk/listedco/listconews/sehk/2026/0107/2026010701798.pdf","allotment")</f>
        <v/>
      </c>
      <c r="BM417" s="77">
        <f>HYPERLINK("https://www1.hkexnews.hk/listedco/listconews/sehk/2026/0204/2026020402110.pdf","stabilisation")</f>
        <v/>
      </c>
      <c r="BN417" s="75" t="n"/>
      <c r="BO417" s="63" t="inlineStr">
        <is>
          <t>P/E: n/m — loss-making at IPO (use P/S) · price range: fixed-price offering (no indicative range)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7" t="n">
        <v>5.7</v>
      </c>
      <c r="W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3" t="inlineStr">
        <is>
          <t>wind;alphahill;cmb;xn;huatai;engine;duckling;deeproot;orient;cfig;york</t>
        </is>
      </c>
      <c r="Y418" s="67" t="n"/>
      <c r="Z418" s="63" t="n"/>
      <c r="AA418" s="72" t="n">
        <v>8.44</v>
      </c>
      <c r="AB418" s="73" t="n">
        <v>31.54</v>
      </c>
      <c r="AC418" s="73" t="n">
        <v>-17.56</v>
      </c>
      <c r="AD418" s="73" t="n">
        <v>21.72</v>
      </c>
      <c r="AE418" s="73" t="n">
        <v>14.25</v>
      </c>
      <c r="AF418" s="73" t="n">
        <v>156.57</v>
      </c>
      <c r="AG418" s="73" t="n">
        <v>12.25</v>
      </c>
      <c r="AH418" s="73" t="n">
        <v>5.36</v>
      </c>
      <c r="AI418" s="73" t="n">
        <v>136.6</v>
      </c>
      <c r="AJ418" s="73" t="n">
        <v>20.3</v>
      </c>
      <c r="AK418" s="73" t="n">
        <v>21.27</v>
      </c>
      <c r="AL418" s="73" t="n">
        <v>170.99</v>
      </c>
      <c r="AM418" s="73" t="n">
        <v>11.21</v>
      </c>
      <c r="AN418" s="73" t="n">
        <v>-7.02</v>
      </c>
      <c r="AO418" s="73" t="n">
        <v>-5.85</v>
      </c>
      <c r="AP418" s="63" t="inlineStr">
        <is>
          <t>HSTECH (Hang Seng TECH ETF)</t>
        </is>
      </c>
      <c r="AQ418" s="73" t="n">
        <v>164.18</v>
      </c>
      <c r="AR418" s="64" t="inlineStr">
        <is>
          <t>2026-08-20</t>
        </is>
      </c>
      <c r="AS418" s="65" t="n">
        <v>593.5</v>
      </c>
      <c r="AT418" s="68" t="n">
        <v>-1104</v>
      </c>
      <c r="AU418" s="63" t="inlineStr">
        <is>
          <t>N</t>
        </is>
      </c>
      <c r="AV418" s="63" t="inlineStr">
        <is>
          <t>n/m</t>
        </is>
      </c>
      <c r="AW418" s="74" t="n"/>
      <c r="AX418" s="74" t="n"/>
      <c r="AY418" s="74" t="n">
        <v>62</v>
      </c>
      <c r="AZ418" s="75" t="inlineStr">
        <is>
          <t>N</t>
        </is>
      </c>
      <c r="BA418" s="76">
        <f>IF('BBG Verify'!K418="","not filed — run on terminal",'BBG Verify'!K418)</f>
        <v/>
      </c>
      <c r="BB418" s="63" t="inlineStr">
        <is>
          <t>N/A</t>
        </is>
      </c>
      <c r="BC418" s="63" t="inlineStr">
        <is>
          <t>N/A</t>
        </is>
      </c>
      <c r="BD418" s="63" t="inlineStr">
        <is>
          <t>N/A</t>
        </is>
      </c>
      <c r="BE418" s="63" t="inlineStr">
        <is>
          <t>N/A</t>
        </is>
      </c>
      <c r="BF418" s="63" t="inlineStr">
        <is>
          <t>N/A</t>
        </is>
      </c>
      <c r="BG418" s="75" t="inlineStr">
        <is>
          <t>Huatai Financial Holdings (Hong Kong) Limited</t>
        </is>
      </c>
      <c r="BH418" s="63" t="inlineStr">
        <is>
          <t>Huatai Financial Holdings (Hong Kong) Limited</t>
        </is>
      </c>
      <c r="BI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7">
        <f>HYPERLINK("https://www1.hkexnews.hk/listedco/listconews/sehk/2025/1230/2025123000019.pdf","prospectus")</f>
        <v/>
      </c>
      <c r="BL418" s="77">
        <f>HYPERLINK("https://www1.hkexnews.hk/listedco/listconews/sehk/2026/0107/2026010701802.pdf","allotment")</f>
        <v/>
      </c>
      <c r="BM418" s="63" t="n"/>
      <c r="BN418" s="75" t="n"/>
      <c r="BO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7" t="n">
        <v>3.67</v>
      </c>
      <c r="W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3" t="inlineStr">
        <is>
          <t>abu;orbimed;huang-river;lyfe;poly;mega;china-asset;alpha;tekful;integrated;sage;panjing;infini</t>
        </is>
      </c>
      <c r="Y419" s="67" t="n">
        <v>15</v>
      </c>
      <c r="Z419" s="63" t="inlineStr">
        <is>
          <t>full</t>
        </is>
      </c>
      <c r="AA419" s="72" t="n">
        <v>30.9</v>
      </c>
      <c r="AB419" s="73" t="n">
        <v>36.45</v>
      </c>
      <c r="AC419" s="73" t="n">
        <v>-4.07</v>
      </c>
      <c r="AD419" s="73" t="n">
        <v>55.53</v>
      </c>
      <c r="AE419" s="73" t="n">
        <v>37.72</v>
      </c>
      <c r="AF419" s="73" t="n">
        <v>24.88</v>
      </c>
      <c r="AG419" s="73" t="n">
        <v>18.82</v>
      </c>
      <c r="AH419" s="73" t="n">
        <v>5.21</v>
      </c>
      <c r="AI419" s="73" t="n">
        <v>-4.6</v>
      </c>
      <c r="AJ419" s="73" t="n">
        <v>54.65</v>
      </c>
      <c r="AK419" s="73" t="n">
        <v>44.87</v>
      </c>
      <c r="AL419" s="73" t="n">
        <v>14.69</v>
      </c>
      <c r="AM419" s="73" t="n">
        <v>11.68</v>
      </c>
      <c r="AN419" s="73" t="n">
        <v>-7.15</v>
      </c>
      <c r="AO419" s="73" t="n">
        <v>-6.47</v>
      </c>
      <c r="AP419" s="63" t="inlineStr">
        <is>
          <t>China Biotech ETF (HS biotech proxy)</t>
        </is>
      </c>
      <c r="AQ419" s="73" t="n">
        <v>-15.36</v>
      </c>
      <c r="AR419" s="64" t="inlineStr">
        <is>
          <t>2026-08-20</t>
        </is>
      </c>
      <c r="AS419" s="65" t="n">
        <v>33.3</v>
      </c>
      <c r="AT419" s="68" t="n">
        <v>-145.8</v>
      </c>
      <c r="AU419" s="63" t="inlineStr">
        <is>
          <t>N</t>
        </is>
      </c>
      <c r="AV419" s="63" t="inlineStr">
        <is>
          <t>n/m</t>
        </is>
      </c>
      <c r="AW419" s="74" t="n"/>
      <c r="AX419" s="74" t="n"/>
      <c r="AY419" s="74" t="n">
        <v>503.5</v>
      </c>
      <c r="AZ419" s="75" t="inlineStr">
        <is>
          <t>N</t>
        </is>
      </c>
      <c r="BA419" s="76">
        <f>IF('BBG Verify'!K419="","not filed — run on terminal",'BBG Verify'!K419)</f>
        <v/>
      </c>
      <c r="BB419" s="63" t="inlineStr">
        <is>
          <t>N/A</t>
        </is>
      </c>
      <c r="BC419" s="63" t="inlineStr">
        <is>
          <t>N/A</t>
        </is>
      </c>
      <c r="BD419" s="63" t="inlineStr">
        <is>
          <t>N/A</t>
        </is>
      </c>
      <c r="BE419" s="63" t="inlineStr">
        <is>
          <t>N/A</t>
        </is>
      </c>
      <c r="BF419" s="63" t="inlineStr">
        <is>
          <t>N/A</t>
        </is>
      </c>
      <c r="BG419" s="75" t="inlineStr">
        <is>
          <t>Morgan Stanley Asia Limited; GF Capital (Hong Kong) Limited</t>
        </is>
      </c>
      <c r="BH419" s="63" t="inlineStr">
        <is>
          <t>Morgan Stanley Asia Limited; GF Capital (Hong Kong) Limited</t>
        </is>
      </c>
      <c r="BI419" s="63" t="inlineStr">
        <is>
          <t>China International Capital Corporation Hong Kong Securities Limited; CLSA Limited; CMBC Securities Company Limited; GF Securities (Hong Kong) Brokerage Limited; Morgan Stanley Asia Limited</t>
        </is>
      </c>
      <c r="BJ419" s="63" t="inlineStr">
        <is>
          <t>China International Capital Corporation Hong Kong Securities Limited; CLSA Limited; CMBC Securities Company Limited; GF Securities (Hong Kong) Brokerage Limited; Morgan Stanley Asia Limited</t>
        </is>
      </c>
      <c r="BK419" s="77">
        <f>HYPERLINK("https://www1.hkexnews.hk/listedco/listconews/sehk/2025/1230/2025123000029.pdf","prospectus")</f>
        <v/>
      </c>
      <c r="BL419" s="77">
        <f>HYPERLINK("https://www1.hkexnews.hk/listedco/listconews/sehk/2026/0107/2026010701900.pdf","allotment")</f>
        <v/>
      </c>
      <c r="BM419" s="77">
        <f>HYPERLINK("https://www1.hkexnews.hk/listedco/listconews/sehk/2026/0204/2026020402144.pdf","stabilisation")</f>
        <v/>
      </c>
      <c r="BN419" s="75" t="n"/>
      <c r="BO419" s="63"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v>151</v>
      </c>
      <c r="L420" s="66" t="n">
        <v>165</v>
      </c>
      <c r="M420" s="66" t="n">
        <v>165</v>
      </c>
      <c r="N420" s="63" t="inlineStr">
        <is>
          <t>Y</t>
        </is>
      </c>
      <c r="O420" s="67" t="n">
        <v>100</v>
      </c>
      <c r="P420" s="67" t="n">
        <v>100</v>
      </c>
      <c r="Q420" s="68" t="n">
        <v>51251.1</v>
      </c>
      <c r="R420" s="63" t="inlineStr">
        <is>
          <t>derived:deal size / offer % of enlarged capital</t>
        </is>
      </c>
      <c r="S420" s="69" t="n">
        <v>1837.17</v>
      </c>
      <c r="T420" s="70" t="n">
        <v>36.76</v>
      </c>
      <c r="U420" s="71" t="n">
        <v>56.53</v>
      </c>
      <c r="V420" s="67" t="n">
        <v>4.09</v>
      </c>
      <c r="W420" s="63" t="inlineStr">
        <is>
          <t>Authority; Aspex Master Fund; Abstract Enigma Limited; Universal (HK)); Martis Fund, L.P; MPC VII Pte. Ltd; (Perseverance; Alisoft China</t>
        </is>
      </c>
      <c r="X420" s="63" t="inlineStr">
        <is>
          <t>authority;aspex;abstract;universal;martis;mpc;perseverance;alisoft</t>
        </is>
      </c>
      <c r="Y420" s="67" t="n">
        <v>15</v>
      </c>
      <c r="Z420" s="63" t="n"/>
      <c r="AA420" s="72" t="n">
        <v>109.09</v>
      </c>
      <c r="AB420" s="73" t="n">
        <v>42.67</v>
      </c>
      <c r="AC420" s="73" t="n">
        <v>46.55</v>
      </c>
      <c r="AD420" s="73" t="n">
        <v>165.45</v>
      </c>
      <c r="AE420" s="73" t="n">
        <v>212.12</v>
      </c>
      <c r="AF420" s="73" t="n">
        <v>445.76</v>
      </c>
      <c r="AG420" s="73" t="n">
        <v>26.95</v>
      </c>
      <c r="AH420" s="73" t="n">
        <v>49.28</v>
      </c>
      <c r="AI420" s="73" t="n">
        <v>161.02</v>
      </c>
      <c r="AJ420" s="73" t="n">
        <v>162.84</v>
      </c>
      <c r="AK420" s="73" t="n">
        <v>216.71</v>
      </c>
      <c r="AL420" s="73" t="n">
        <v>455.86</v>
      </c>
      <c r="AM420" s="73" t="n">
        <v>54.04</v>
      </c>
      <c r="AN420" s="73" t="n">
        <v>-4.59</v>
      </c>
      <c r="AO420" s="73" t="n">
        <v>-4.76</v>
      </c>
      <c r="AP420" s="63" t="inlineStr">
        <is>
          <t>HSTECH (Hang Seng TECH ETF)</t>
        </is>
      </c>
      <c r="AQ420" s="73" t="n">
        <v>88.12</v>
      </c>
      <c r="AR420" s="64" t="inlineStr">
        <is>
          <t>2026-08-20</t>
        </is>
      </c>
      <c r="AS420" s="65" t="n">
        <v>616.2</v>
      </c>
      <c r="AT420" s="68" t="n">
        <v>-14598.6</v>
      </c>
      <c r="AU420" s="63" t="inlineStr">
        <is>
          <t>N</t>
        </is>
      </c>
      <c r="AV420" s="63" t="inlineStr">
        <is>
          <t>n/m</t>
        </is>
      </c>
      <c r="AW420" s="74" t="n"/>
      <c r="AX420" s="74" t="n"/>
      <c r="AY420" s="74" t="n">
        <v>83.2</v>
      </c>
      <c r="AZ420" s="75" t="inlineStr">
        <is>
          <t>N</t>
        </is>
      </c>
      <c r="BA420" s="76">
        <f>IF('BBG Verify'!K420="","not filed — run on terminal",'BBG Verify'!K420)</f>
        <v/>
      </c>
      <c r="BB420" s="63" t="inlineStr">
        <is>
          <t>N/A</t>
        </is>
      </c>
      <c r="BC420" s="63" t="inlineStr">
        <is>
          <t>N/A</t>
        </is>
      </c>
      <c r="BD420" s="63" t="inlineStr">
        <is>
          <t>N/A</t>
        </is>
      </c>
      <c r="BE420" s="63" t="inlineStr">
        <is>
          <t>N/A</t>
        </is>
      </c>
      <c r="BF420" s="63" t="inlineStr">
        <is>
          <t>N/A</t>
        </is>
      </c>
      <c r="BG420" s="75" t="inlineStr">
        <is>
          <t>China International Capital Corporation Hong Kong Securities Limited; UBS Securities Hong Kong Limited</t>
        </is>
      </c>
      <c r="BH420" s="63" t="inlineStr">
        <is>
          <t>China International Capital Corporation Hong Kong Securities Limited; UBS Securities Hong Kong Limited</t>
        </is>
      </c>
      <c r="BI420" s="63" t="inlineStr">
        <is>
          <t>China International Capital Corporation Hong Kong Securities Limited; UBS AG Hong Kong Branch; Goldman Sachs (Asia) L.L.C; Morgan Stanley Asia Limited; Futu Securities International (Hong Kong) Limited; Tiger Brokers (HK) Global Limited</t>
        </is>
      </c>
      <c r="BJ420" s="63" t="inlineStr">
        <is>
          <t>China International Capital Corporation Hong Kong Securities Limited; Futu Securities International (Hong Kong) Limited; Goldman Sachs (Asia) L.L.C.; Morgan Stanley Asia Limited; Tiger Brokers (HK) Global Limited; UBS AG Hong Kong Branch</t>
        </is>
      </c>
      <c r="BK420" s="77">
        <f>HYPERLINK("https://www1.hkexnews.hk/listedco/listconews/sehk/2025/1231/2025123100025.pdf","prospectus")</f>
        <v/>
      </c>
      <c r="BL420" s="77">
        <f>HYPERLINK("https://www1.hkexnews.hk/listedco/listconews/sehk/2026/0108/2026010801342.pdf","allotment")</f>
        <v/>
      </c>
      <c r="BM420" s="63" t="n"/>
      <c r="BN420" s="75" t="n"/>
      <c r="BO420" s="63" t="inlineStr">
        <is>
          <t>P/E: n/m — loss-making at IPO (use P/S) · greenshoe: end-of-stabilisation notice not located · A/H: no A line; closest listed proxy {'code': '300418.SZ', 'name': 'Kunlun Tech', 'rationale': 'Owns the in-house Skywork/Tiangong LLM family — the nearest A-share to a pure LLM-developer exposure.'}</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7" t="n">
        <v>11.24</v>
      </c>
      <c r="W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3" t="inlineStr">
        <is>
          <t>arc;bright;china-asset;erik;himension;mingxin;springs;taikang;william;worldstar;blue;agricultural;icbc;fullgoal;wise</t>
        </is>
      </c>
      <c r="Y421" s="67" t="n">
        <v>15</v>
      </c>
      <c r="Z421" s="63" t="inlineStr">
        <is>
          <t>full</t>
        </is>
      </c>
      <c r="AA421" s="72" t="n">
        <v>41.62</v>
      </c>
      <c r="AB421" s="73" t="n">
        <v>29.38</v>
      </c>
      <c r="AC421" s="73" t="n">
        <v>9.460000000000001</v>
      </c>
      <c r="AD421" s="73" t="n">
        <v>30.76</v>
      </c>
      <c r="AE421" s="73" t="n">
        <v>18.25</v>
      </c>
      <c r="AF421" s="73" t="n">
        <v>14.63</v>
      </c>
      <c r="AG421" s="73" t="n">
        <v>-7.67</v>
      </c>
      <c r="AH421" s="73" t="n">
        <v>-16.5</v>
      </c>
      <c r="AI421" s="73" t="n">
        <v>-19.06</v>
      </c>
      <c r="AJ421" s="73" t="n">
        <v>29.59</v>
      </c>
      <c r="AK421" s="73" t="n">
        <v>23.78</v>
      </c>
      <c r="AL421" s="73" t="n">
        <v>2.94</v>
      </c>
      <c r="AM421" s="73" t="n">
        <v>-9.67</v>
      </c>
      <c r="AN421" s="73" t="n">
        <v>-5.53</v>
      </c>
      <c r="AO421" s="73" t="n">
        <v>-6.83</v>
      </c>
      <c r="AP421" s="63" t="inlineStr">
        <is>
          <t>China Biotech ETF (HS biotech proxy)</t>
        </is>
      </c>
      <c r="AQ421" s="73" t="n">
        <v>-11.16</v>
      </c>
      <c r="AR421" s="64" t="inlineStr">
        <is>
          <t>2026-08-20</t>
        </is>
      </c>
      <c r="AS421" s="65" t="n">
        <v>72.90000000000001</v>
      </c>
      <c r="AT421" s="68" t="n">
        <v>-155.7</v>
      </c>
      <c r="AU421" s="63" t="inlineStr">
        <is>
          <t>N</t>
        </is>
      </c>
      <c r="AV421" s="63" t="inlineStr">
        <is>
          <t>n/m</t>
        </is>
      </c>
      <c r="AW421" s="74" t="n"/>
      <c r="AX421" s="74" t="n"/>
      <c r="AY421" s="74" t="n">
        <v>128.6</v>
      </c>
      <c r="AZ421" s="75" t="inlineStr">
        <is>
          <t>N</t>
        </is>
      </c>
      <c r="BA421" s="76">
        <f>IF('BBG Verify'!K421="","not filed — run on terminal",'BBG Verify'!K421)</f>
        <v/>
      </c>
      <c r="BB421" s="63" t="inlineStr">
        <is>
          <t>N/A</t>
        </is>
      </c>
      <c r="BC421" s="63" t="inlineStr">
        <is>
          <t>N/A</t>
        </is>
      </c>
      <c r="BD421" s="63" t="inlineStr">
        <is>
          <t>N/A</t>
        </is>
      </c>
      <c r="BE421" s="63" t="inlineStr">
        <is>
          <t>N/A</t>
        </is>
      </c>
      <c r="BF421" s="63" t="inlineStr">
        <is>
          <t>N/A</t>
        </is>
      </c>
      <c r="BG421" s="75" t="inlineStr">
        <is>
          <t>Citigroup Global Markets Asia Limited</t>
        </is>
      </c>
      <c r="BH421" s="63" t="inlineStr">
        <is>
          <t>China International Capital Corporation Hong Kong Securities Limited; Citigroup Global Markets Asia Limited</t>
        </is>
      </c>
      <c r="BI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7">
        <f>HYPERLINK("https://www1.hkexnews.hk/listedco/listconews/sehk/2025/1231/2025123100037.pdf","prospectus")</f>
        <v/>
      </c>
      <c r="BL421" s="77">
        <f>HYPERLINK("https://www1.hkexnews.hk/listedco/listconews/sehk/2026/0108/2026010801352.pdf","allotment")</f>
        <v/>
      </c>
      <c r="BM421" s="77">
        <f>HYPERLINK("https://www1.hkexnews.hk/listedco/listconews/sehk/2026/0205/2026020502414.pdf","stabilisation")</f>
        <v/>
      </c>
      <c r="BN421" s="75" t="n"/>
      <c r="BO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68" t="n">
        <v>3981.8</v>
      </c>
      <c r="R422" s="63" t="inlineStr">
        <is>
          <t>derived:deal size / offer % of enlarged capital</t>
        </is>
      </c>
      <c r="S422" s="69" t="n">
        <v>143.46</v>
      </c>
      <c r="T422" s="70" t="n">
        <v>12.78</v>
      </c>
      <c r="U422" s="71" t="n">
        <v>42.5</v>
      </c>
      <c r="V422" s="67" t="n">
        <v>15.93</v>
      </c>
      <c r="W422" s="63" t="inlineStr">
        <is>
          <t>Glencore International AG; Stoneylake Global Alpha Fund; Zhengxin Group Investment Limited; China Asset Management (Hong Kong) Limited; New Asia Ferrell Asset Management Limited; Bridge Zone Group Limited</t>
        </is>
      </c>
      <c r="X422" s="63" t="inlineStr">
        <is>
          <t>glencore;stoneylake;zhengxin;china-asset;new-ferrell;bridge</t>
        </is>
      </c>
      <c r="Y422" s="67" t="n">
        <v>15</v>
      </c>
      <c r="Z422" s="63" t="n"/>
      <c r="AA422" s="72" t="n">
        <v>26</v>
      </c>
      <c r="AB422" s="73" t="n">
        <v>26.67</v>
      </c>
      <c r="AC422" s="73" t="n">
        <v>-0.53</v>
      </c>
      <c r="AD422" s="73" t="n">
        <v>31.27</v>
      </c>
      <c r="AE422" s="73" t="n">
        <v>25.53</v>
      </c>
      <c r="AF422" s="73" t="n">
        <v>-12.67</v>
      </c>
      <c r="AG422" s="73" t="n">
        <v>4.18</v>
      </c>
      <c r="AH422" s="73" t="n">
        <v>-0.37</v>
      </c>
      <c r="AI422" s="73" t="n">
        <v>-30.69</v>
      </c>
      <c r="AJ422" s="73" t="n">
        <v>28.08</v>
      </c>
      <c r="AK422" s="73" t="n">
        <v>24.65</v>
      </c>
      <c r="AL422" s="73" t="n">
        <v>-9.619999999999999</v>
      </c>
      <c r="AM422" s="73" t="n">
        <v>-0.86</v>
      </c>
      <c r="AN422" s="73" t="n">
        <v>0.88</v>
      </c>
      <c r="AO422" s="73" t="n">
        <v>0.49</v>
      </c>
      <c r="AP422" s="63" t="inlineStr">
        <is>
          <t>Hang Seng Commerce &amp; Industry sub-index</t>
        </is>
      </c>
      <c r="AQ422" s="73" t="n">
        <v>-38.83</v>
      </c>
      <c r="AR422" s="64" t="inlineStr">
        <is>
          <t>2026-08-20</t>
        </is>
      </c>
      <c r="AS422" s="65" t="n">
        <v>1946.8</v>
      </c>
      <c r="AT422" s="68" t="n">
        <v>222.7</v>
      </c>
      <c r="AU422" s="63" t="inlineStr">
        <is>
          <t>Y</t>
        </is>
      </c>
      <c r="AV422" s="74" t="n">
        <v>17.9</v>
      </c>
      <c r="AW422" s="74" t="n">
        <v>11.4</v>
      </c>
      <c r="AX422" s="74" t="n">
        <v>5</v>
      </c>
      <c r="AY422" s="74" t="n">
        <v>2</v>
      </c>
      <c r="AZ422" s="75" t="inlineStr">
        <is>
          <t>N</t>
        </is>
      </c>
      <c r="BA422" s="76">
        <f>IF('BBG Verify'!K422="","not filed — run on terminal",'BBG Verify'!K422)</f>
        <v/>
      </c>
      <c r="BB422" s="63" t="inlineStr">
        <is>
          <t>N/A</t>
        </is>
      </c>
      <c r="BC422" s="63" t="inlineStr">
        <is>
          <t>N/A</t>
        </is>
      </c>
      <c r="BD422" s="63" t="inlineStr">
        <is>
          <t>N/A</t>
        </is>
      </c>
      <c r="BE422" s="63" t="inlineStr">
        <is>
          <t>N/A</t>
        </is>
      </c>
      <c r="BF422" s="63" t="inlineStr">
        <is>
          <t>N/A</t>
        </is>
      </c>
      <c r="BG422" s="75" t="inlineStr">
        <is>
          <t>Huatai Financial Holdings (Hong Kong) Limited</t>
        </is>
      </c>
      <c r="BH422" s="63" t="inlineStr">
        <is>
          <t>Huatai Financial Holdings (Hong Kong) Limited</t>
        </is>
      </c>
      <c r="BI422" s="63" t="inlineStr">
        <is>
          <t>ABCI Capital Limited; ABCI Securities Company Limited</t>
        </is>
      </c>
      <c r="BJ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7">
        <f>HYPERLINK("https://www1.hkexnews.hk/listedco/listconews/sehk/2025/1231/2025123100041.pdf","prospectus")</f>
        <v/>
      </c>
      <c r="BL422" s="77">
        <f>HYPERLINK("https://www1.hkexnews.hk/listedco/listconews/sehk/2026/0108/2026010801368.pdf","allotment")</f>
        <v/>
      </c>
      <c r="BM422" s="63" t="n"/>
      <c r="BN422" s="75" t="n"/>
      <c r="BO422" s="63" t="inlineStr">
        <is>
          <t>greenshoe: end-of-stabilisation notice not located · range low: cap-only pricing — the filing publishes a Maximum Offer Price and no indicative floor · A/H: no A-share listing</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115103.1</v>
      </c>
      <c r="R423" s="63" t="inlineStr">
        <is>
          <t>derived:deal size / offer % of enlarged capital</t>
        </is>
      </c>
      <c r="S423" s="69" t="n">
        <v>9.279999999999999</v>
      </c>
      <c r="T423" s="70" t="n">
        <v>9.73</v>
      </c>
      <c r="U423" s="71" t="n">
        <v>45.28</v>
      </c>
      <c r="V423" s="67" t="n">
        <v>2.28</v>
      </c>
      <c r="W423" s="63" t="inlineStr">
        <is>
          <t>Boyu Capital; UBS Asset Management; UG Investment; Huaqin (HK); OPPO (Tiantian Trading); Dajia Life Insurance Co., Ltd; China Post Wealth Management; Ghisallo</t>
        </is>
      </c>
      <c r="X423" s="63" t="inlineStr">
        <is>
          <t>boyu;ubs;ug;huaqin;oppo;dajia;post;ghisallo</t>
        </is>
      </c>
      <c r="Y423" s="67" t="n">
        <v>5.91</v>
      </c>
      <c r="Z423" s="63" t="n"/>
      <c r="AA423" s="72" t="n">
        <v>16.22</v>
      </c>
      <c r="AB423" s="73" t="n">
        <v>3.05</v>
      </c>
      <c r="AC423" s="73" t="n">
        <v>12.78</v>
      </c>
      <c r="AD423" s="73" t="n">
        <v>11.16</v>
      </c>
      <c r="AE423" s="73" t="n">
        <v>-0.1</v>
      </c>
      <c r="AF423" s="73" t="n">
        <v>-25.05</v>
      </c>
      <c r="AG423" s="73" t="n">
        <v>-4.35</v>
      </c>
      <c r="AH423" s="73" t="n">
        <v>-14.04</v>
      </c>
      <c r="AI423" s="73" t="n">
        <v>-35.51</v>
      </c>
      <c r="AJ423" s="73" t="n">
        <v>9.99</v>
      </c>
      <c r="AK423" s="73" t="n">
        <v>4.21</v>
      </c>
      <c r="AL423" s="73" t="n">
        <v>-13.75</v>
      </c>
      <c r="AM423" s="73" t="n">
        <v>-6.82</v>
      </c>
      <c r="AN423" s="73" t="n">
        <v>-4.31</v>
      </c>
      <c r="AO423" s="73" t="n">
        <v>-7.22</v>
      </c>
      <c r="AP423" s="63" t="inlineStr">
        <is>
          <t>HSTECH (Hang Seng TECH ETF)</t>
        </is>
      </c>
      <c r="AQ423" s="73" t="n">
        <v>-30.68</v>
      </c>
      <c r="AR423" s="64" t="inlineStr">
        <is>
          <t>2026-08-24</t>
        </is>
      </c>
      <c r="AS423" s="65" t="n">
        <v>28277.5</v>
      </c>
      <c r="AT423" s="68" t="n">
        <v>4450</v>
      </c>
      <c r="AU423" s="63" t="inlineStr">
        <is>
          <t>Y</t>
        </is>
      </c>
      <c r="AV423" s="74" t="n">
        <v>25.9</v>
      </c>
      <c r="AW423" s="74" t="n"/>
      <c r="AX423" s="74" t="n"/>
      <c r="AY423" s="74" t="n">
        <v>4.1</v>
      </c>
      <c r="AZ423" s="75" t="inlineStr">
        <is>
          <t>Y</t>
        </is>
      </c>
      <c r="BA423" s="63" t="inlineStr">
        <is>
          <t>603501.SS</t>
        </is>
      </c>
      <c r="BB423" s="73" t="n">
        <v>40</v>
      </c>
      <c r="BC423" s="66" t="n">
        <v>146.7186</v>
      </c>
      <c r="BD423" s="80" t="n">
        <v>0.3247</v>
      </c>
      <c r="BE423" s="78">
        <f>IF('BBG Verify'!Q423="","run on terminal",'BBG Verify'!Q423)</f>
        <v/>
      </c>
      <c r="BF423" s="78">
        <f>IF('BBG Verify'!R423="","run on terminal",'BBG Verify'!R423)</f>
        <v/>
      </c>
      <c r="BG423" s="75" t="inlineStr">
        <is>
          <t>UBS Securities Hong Kong Limited; China International Capital Corporation Hong Kong Securities Limited; Ping An of China Capital (Hong Kong) Company Limited; GF Capital (Hong Kong) Limited</t>
        </is>
      </c>
      <c r="BH423" s="63" t="inlineStr">
        <is>
          <t>China International Capital Corporation Hong Kong Securities Limited; UBS Securities Hong Kong Limited; GF Capital (Hong Kong) Limited; Ping An of China Capital (Hong Kong) Company Limited</t>
        </is>
      </c>
      <c r="BI423" s="63" t="inlineStr">
        <is>
          <t>UBS AG Hong Kong Branch; China International Capital Corporation Hong Kong Securities Limited; Ping An Securities (Hong Kong) Company Limited; GF Securities (Hong Kong) Brokerage Limited; Haitong International Securities Company Limited; CLSA Limited</t>
        </is>
      </c>
      <c r="BJ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7">
        <f>HYPERLINK("https://www1.hkexnews.hk/listedco/listconews/sehk/2025/1231/2025123100089.pdf","prospectus")</f>
        <v/>
      </c>
      <c r="BL423" s="77">
        <f>HYPERLINK("https://www1.hkexnews.hk/listedco/listconews/sehk/2026/0109/2026010901581.pdf","allotment")</f>
        <v/>
      </c>
      <c r="BM423" s="63" t="n"/>
      <c r="BN423" s="75" t="n"/>
      <c r="BO423" s="63" t="inlineStr">
        <is>
          <t>greenshoe: end-of-stabilisation notice not located · range low: cap-only pricing — the filing publishes a Maximum Offer Price and no indicative floor · A/H: Jan 2026, US$616m offering; rose on debut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7" t="n">
        <v>21.86</v>
      </c>
      <c r="W424" s="63" t="inlineStr">
        <is>
          <t>FUHUIDA HK; Huang Fusheng (黃福生); Cheng Yan (成燕); Luo Tiexing (羅鐵興); Li Changxiao (李昌孝); Kong Yu (孔昱); Zou Songqiu (鄒松球); Li Zhenbin (李振斌); Li Zhenwu (李振武); Li Dengyun (李登雲); Zhang Ying (張穎)</t>
        </is>
      </c>
      <c r="X424" s="63" t="inlineStr">
        <is>
          <t>fuhuida;huang-fusheng;cheng-yan;luo-tiexing;li-changxiao;yu;zou;li-zhenbin;li-zhenwu;li-dengyun;zhang-ying</t>
        </is>
      </c>
      <c r="Y424" s="67" t="n">
        <v>15</v>
      </c>
      <c r="Z424" s="63" t="n"/>
      <c r="AA424" s="72" t="n">
        <v>0.33</v>
      </c>
      <c r="AB424" s="73" t="n">
        <v>59.71</v>
      </c>
      <c r="AC424" s="73" t="n">
        <v>-37.18</v>
      </c>
      <c r="AD424" s="73" t="n">
        <v>-18.76</v>
      </c>
      <c r="AE424" s="73" t="n">
        <v>-30.51</v>
      </c>
      <c r="AF424" s="73" t="n">
        <v>-42.09</v>
      </c>
      <c r="AG424" s="73" t="n">
        <v>-19.03</v>
      </c>
      <c r="AH424" s="73" t="n">
        <v>-30.74</v>
      </c>
      <c r="AI424" s="73" t="n">
        <v>-42.28</v>
      </c>
      <c r="AJ424" s="73" t="n">
        <v>-17.31</v>
      </c>
      <c r="AK424" s="73" t="n">
        <v>-30.22</v>
      </c>
      <c r="AL424" s="73" t="n">
        <v>-36.03</v>
      </c>
      <c r="AM424" s="73" t="n">
        <v>-29.76</v>
      </c>
      <c r="AN424" s="73" t="n">
        <v>-0.29</v>
      </c>
      <c r="AO424" s="73" t="n">
        <v>-0.98</v>
      </c>
      <c r="AP424" s="63" t="inlineStr">
        <is>
          <t>Hang Seng Commerce &amp; Industry sub-index</t>
        </is>
      </c>
      <c r="AQ424" s="73" t="n">
        <v>-66.15000000000001</v>
      </c>
      <c r="AR424" s="64" t="inlineStr">
        <is>
          <t>2026-08-20</t>
        </is>
      </c>
      <c r="AS424" s="65" t="n">
        <v>256.9</v>
      </c>
      <c r="AT424" s="68" t="n">
        <v>91.2</v>
      </c>
      <c r="AU424" s="63" t="inlineStr">
        <is>
          <t>Y</t>
        </is>
      </c>
      <c r="AV424" s="74" t="n">
        <v>13.2</v>
      </c>
      <c r="AW424" s="74" t="n">
        <v>10.8</v>
      </c>
      <c r="AX424" s="74" t="n">
        <v>3.5</v>
      </c>
      <c r="AY424" s="74" t="n">
        <v>4.7</v>
      </c>
      <c r="AZ424" s="75" t="inlineStr">
        <is>
          <t>N</t>
        </is>
      </c>
      <c r="BA424" s="76">
        <f>IF('BBG Verify'!K424="","not filed — run on terminal",'BBG Verify'!K424)</f>
        <v/>
      </c>
      <c r="BB424" s="63" t="inlineStr">
        <is>
          <t>N/A</t>
        </is>
      </c>
      <c r="BC424" s="63" t="inlineStr">
        <is>
          <t>N/A</t>
        </is>
      </c>
      <c r="BD424" s="63" t="inlineStr">
        <is>
          <t>N/A</t>
        </is>
      </c>
      <c r="BE424" s="63" t="inlineStr">
        <is>
          <t>N/A</t>
        </is>
      </c>
      <c r="BF424" s="63" t="inlineStr">
        <is>
          <t>N/A</t>
        </is>
      </c>
      <c r="BG424" s="75" t="inlineStr">
        <is>
          <t>CCB International Capital Limited; ABCI Capital Limited</t>
        </is>
      </c>
      <c r="BH424" s="63" t="inlineStr">
        <is>
          <t>CCB International Capital Limited; ABCI Capital Limited</t>
        </is>
      </c>
      <c r="BI424" s="63"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7">
        <f>HYPERLINK("https://www1.hkexnews.hk/listedco/listconews/sehk/2025/1231/2025123100085.pdf","prospectus")</f>
        <v/>
      </c>
      <c r="BL424" s="77">
        <f>HYPERLINK("https://www1.hkexnews.hk/listedco/listconews/sehk/2026/0112/2026011201301.pdf","allotment")</f>
        <v/>
      </c>
      <c r="BM424" s="63" t="n"/>
      <c r="BN424" s="75" t="n"/>
      <c r="BO424" s="63" t="inlineStr">
        <is>
          <t>greenshoe: end-of-stabilisation notice not located · range low: cap-only pricing — the filing publishes a Maximum Offer Price and no indicative floor · A/H: no A-share listing</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7" t="n">
        <v>2.07</v>
      </c>
      <c r="W425" s="63" t="inlineStr">
        <is>
          <t>Yunfeng Capital; Xiaomi; TCL Industries; Huaqin Technology; China Pinnacle Equity Management Limited; Greenwoods (Jinglin)</t>
        </is>
      </c>
      <c r="X425" s="63" t="inlineStr">
        <is>
          <t>yunfeng;xiaomi;tcl;huaqin;pinnacle;greenwoods</t>
        </is>
      </c>
      <c r="Y425" s="67" t="n">
        <v>15</v>
      </c>
      <c r="Z425" s="63" t="inlineStr">
        <is>
          <t>full</t>
        </is>
      </c>
      <c r="AA425" s="72" t="n">
        <v>37.53</v>
      </c>
      <c r="AB425" s="73" t="n">
        <v>45.06</v>
      </c>
      <c r="AC425" s="73" t="n">
        <v>-5.19</v>
      </c>
      <c r="AD425" s="73" t="n">
        <v>88.89</v>
      </c>
      <c r="AE425" s="73" t="n">
        <v>82.72</v>
      </c>
      <c r="AF425" s="73" t="n">
        <v>161.11</v>
      </c>
      <c r="AG425" s="73" t="n">
        <v>37.34</v>
      </c>
      <c r="AH425" s="73" t="n">
        <v>32.86</v>
      </c>
      <c r="AI425" s="73" t="n">
        <v>89.86</v>
      </c>
      <c r="AJ425" s="73" t="n">
        <v>91.94</v>
      </c>
      <c r="AK425" s="73" t="n">
        <v>88.98999999999999</v>
      </c>
      <c r="AL425" s="73" t="n">
        <v>174.87</v>
      </c>
      <c r="AM425" s="73" t="n">
        <v>39.13</v>
      </c>
      <c r="AN425" s="73" t="n">
        <v>-6.27</v>
      </c>
      <c r="AO425" s="73" t="n">
        <v>-6.27</v>
      </c>
      <c r="AP425" s="63" t="inlineStr">
        <is>
          <t>HSTECH (Hang Seng TECH ETF)</t>
        </is>
      </c>
      <c r="AQ425" s="73" t="n">
        <v>202.59</v>
      </c>
      <c r="AR425" s="64" t="inlineStr">
        <is>
          <t>2026-08-20</t>
        </is>
      </c>
      <c r="AS425" s="65" t="n">
        <v>8091.6</v>
      </c>
      <c r="AT425" s="68" t="n">
        <v>1211</v>
      </c>
      <c r="AU425" s="63" t="inlineStr">
        <is>
          <t>Y</t>
        </is>
      </c>
      <c r="AV425" s="74" t="n">
        <v>93.8</v>
      </c>
      <c r="AW425" s="74" t="n">
        <v>80.3</v>
      </c>
      <c r="AX425" s="74" t="n">
        <v>191.8</v>
      </c>
      <c r="AY425" s="74" t="n">
        <v>14</v>
      </c>
      <c r="AZ425" s="75" t="inlineStr">
        <is>
          <t>Y</t>
        </is>
      </c>
      <c r="BA425" s="63" t="inlineStr">
        <is>
          <t>603986.SS</t>
        </is>
      </c>
      <c r="BB425" s="73" t="n">
        <v>80.54000000000001</v>
      </c>
      <c r="BC425" s="66" t="n">
        <v>292.4683</v>
      </c>
      <c r="BD425" s="80" t="n">
        <v>-0.0548</v>
      </c>
      <c r="BE425" s="78">
        <f>IF('BBG Verify'!Q425="","run on terminal",'BBG Verify'!Q425)</f>
        <v/>
      </c>
      <c r="BF425" s="78">
        <f>IF('BBG Verify'!R425="","run on terminal",'BBG Verify'!R425)</f>
        <v/>
      </c>
      <c r="BG425" s="75" t="inlineStr">
        <is>
          <t>China International Capital Corporation Hong Kong Securities Limited; Huatai Financial Holdings (Hong Kong) Limited</t>
        </is>
      </c>
      <c r="BH425" s="63" t="inlineStr">
        <is>
          <t>China International Capital Corporation Hong Kong Securities Limited; Huatai Financial Holdings (Hong Kong) Limited</t>
        </is>
      </c>
      <c r="BI425" s="63" t="inlineStr">
        <is>
          <t>China International Capital Corporation Hong Kong Securities Limited; Huatai Financial Holdings (Hong Kong) Limited</t>
        </is>
      </c>
      <c r="BJ425" s="63" t="inlineStr">
        <is>
          <t>China International Capital Corporation Hong Kong Securities Limited; Huatai Financial Holdings (Hong Kong) Limited</t>
        </is>
      </c>
      <c r="BK425" s="77">
        <f>HYPERLINK("https://www1.hkexnews.hk/listedco/listconews/sehk/2025/1231/2025123100035.pdf","prospectus")</f>
        <v/>
      </c>
      <c r="BL425" s="77">
        <f>HYPERLINK("https://www1.hkexnews.hk/listedco/listconews/sehk/2026/0112/2026011201539.pdf","allotment")</f>
        <v/>
      </c>
      <c r="BM425" s="77">
        <f>HYPERLINK("https://www1.hkexnews.hk/listedco/listconews/sehk/2026/0208/2026020800007.pdf","stabilisation")</f>
        <v/>
      </c>
      <c r="BN425" s="75" t="n"/>
      <c r="BO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25813.8</v>
      </c>
      <c r="R426" s="63" t="inlineStr">
        <is>
          <t>prospectus:stated market capitalisation</t>
        </is>
      </c>
      <c r="S426" s="69" t="n">
        <v>1149.76</v>
      </c>
      <c r="T426" s="70" t="n">
        <v>9.02</v>
      </c>
      <c r="U426" s="71" t="n">
        <v>27.17</v>
      </c>
      <c r="V426" s="67" t="n">
        <v>4.57</v>
      </c>
      <c r="W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3" t="inlineStr">
        <is>
          <t>guokong;endless;qualcomm;yuto;fullgoal;huatai;agricultural;gf;fund-management;galaxy;guotai</t>
        </is>
      </c>
      <c r="Y426" s="67" t="n">
        <v>15</v>
      </c>
      <c r="Z426" s="63" t="inlineStr">
        <is>
          <t>lapsed</t>
        </is>
      </c>
      <c r="AA426" s="72" t="n">
        <v>3.55</v>
      </c>
      <c r="AB426" s="73" t="n">
        <v>12.9</v>
      </c>
      <c r="AC426" s="73" t="n">
        <v>-8.279999999999999</v>
      </c>
      <c r="AD426" s="73" t="n">
        <v>-1.61</v>
      </c>
      <c r="AE426" s="73" t="n">
        <v>-3.68</v>
      </c>
      <c r="AF426" s="73" t="n">
        <v>-29.1</v>
      </c>
      <c r="AG426" s="73" t="n">
        <v>-4.98</v>
      </c>
      <c r="AH426" s="73" t="n">
        <v>-6.98</v>
      </c>
      <c r="AI426" s="73" t="n">
        <v>-31.53</v>
      </c>
      <c r="AJ426" s="73" t="n">
        <v>-3.21</v>
      </c>
      <c r="AK426" s="73" t="n">
        <v>4.86</v>
      </c>
      <c r="AL426" s="73" t="n">
        <v>-14.69</v>
      </c>
      <c r="AM426" s="73" t="n">
        <v>1.89</v>
      </c>
      <c r="AN426" s="73" t="n">
        <v>-8.539999999999999</v>
      </c>
      <c r="AO426" s="73" t="n">
        <v>-8.869999999999999</v>
      </c>
      <c r="AP426" s="63" t="inlineStr">
        <is>
          <t>HSTECH (Hang Seng TECH ETF)</t>
        </is>
      </c>
      <c r="AQ426" s="73" t="n">
        <v>-26.19</v>
      </c>
      <c r="AR426" s="64" t="inlineStr">
        <is>
          <t>2026-08-20</t>
        </is>
      </c>
      <c r="AS426" s="65" t="n">
        <v>51020.7</v>
      </c>
      <c r="AT426" s="68" t="n">
        <v>542.7</v>
      </c>
      <c r="AU426" s="63" t="inlineStr">
        <is>
          <t>Y</t>
        </is>
      </c>
      <c r="AV426" s="74" t="n">
        <v>47.6</v>
      </c>
      <c r="AW426" s="74" t="n">
        <v>22.6</v>
      </c>
      <c r="AX426" s="74" t="n">
        <v>16.3</v>
      </c>
      <c r="AY426" s="74" t="n">
        <v>0.5</v>
      </c>
      <c r="AZ426" s="75" t="inlineStr">
        <is>
          <t>Y</t>
        </is>
      </c>
      <c r="BA426" s="63" t="inlineStr">
        <is>
          <t>603341.SS</t>
        </is>
      </c>
      <c r="BB426" s="73" t="n">
        <v>75.63</v>
      </c>
      <c r="BC426" s="66" t="n">
        <v>54.4441</v>
      </c>
      <c r="BD426" s="80" t="n">
        <v>0.8943</v>
      </c>
      <c r="BE426" s="78">
        <f>IF('BBG Verify'!Q426="","run on terminal",'BBG Verify'!Q426)</f>
        <v/>
      </c>
      <c r="BF426" s="78">
        <f>IF('BBG Verify'!R426="","run on terminal",'BBG Verify'!R426)</f>
        <v/>
      </c>
      <c r="BG426" s="75" t="inlineStr">
        <is>
          <t>Citigroup Global Markets Asia Limited; Haitong International Capital Limited; Guotai Junan Capital Limited</t>
        </is>
      </c>
      <c r="BH426" s="63" t="inlineStr">
        <is>
          <t>Haitong International Capital Limited; Guotai Junan Capital Limited; Citigroup Global Markets Asia Limited</t>
        </is>
      </c>
      <c r="BI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7">
        <f>HYPERLINK("https://www1.hkexnews.hk/listedco/listconews/sehk/2026/0114/2026011400011.pdf","prospectus")</f>
        <v/>
      </c>
      <c r="BL426" s="77">
        <f>HYPERLINK("https://www1.hkexnews.hk/listedco/listconews/sehk/2026/0121/2026012101145.pdf","allotment")</f>
        <v/>
      </c>
      <c r="BM426" s="77">
        <f>HYPERLINK("https://www1.hkexnews.hk/listedco/listconews/sehk/2026/0223/2026022300424.pdf","stabilisation")</f>
        <v/>
      </c>
      <c r="BN426" s="75" t="n"/>
      <c r="BO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7" t="n">
        <v>3.92</v>
      </c>
      <c r="W427" s="63" t="inlineStr">
        <is>
          <t>Mr. Zhao; Changsha Xunmang; Changsha Jianmang; Changsha Lingmang; Changsha Zhongmang; Shanghai Bird Nest; Yichun Yikouniao; HongShan Hanchen; Gaorong LKZN; Discounter Seed; HongShan Yaheng; Shanghai Yihai; Xiamen Black Ant</t>
        </is>
      </c>
      <c r="X427" s="63" t="inlineStr">
        <is>
          <t>mr-zhao;changsha;shanghai-bird;yichun;hongshan;gaorong;discounter;shanghai-yihai;xiamen</t>
        </is>
      </c>
      <c r="Y427" s="67" t="n">
        <v>15</v>
      </c>
      <c r="Z427" s="63" t="n"/>
      <c r="AA427" s="72" t="n">
        <v>69.06</v>
      </c>
      <c r="AB427" s="73" t="n">
        <v>88.08</v>
      </c>
      <c r="AC427" s="73" t="n">
        <v>-10.11</v>
      </c>
      <c r="AD427" s="73" t="n">
        <v>68.81</v>
      </c>
      <c r="AE427" s="73" t="n">
        <v>65.17</v>
      </c>
      <c r="AF427" s="73" t="n">
        <v>84.11</v>
      </c>
      <c r="AG427" s="73" t="n">
        <v>-0.15</v>
      </c>
      <c r="AH427" s="73" t="n">
        <v>-2.3</v>
      </c>
      <c r="AI427" s="73" t="n">
        <v>8.9</v>
      </c>
      <c r="AJ427" s="73" t="n">
        <v>72.29000000000001</v>
      </c>
      <c r="AK427" s="73" t="n">
        <v>73.93000000000001</v>
      </c>
      <c r="AL427" s="73" t="n">
        <v>92.84999999999999</v>
      </c>
      <c r="AM427" s="73" t="n">
        <v>8.77</v>
      </c>
      <c r="AN427" s="73" t="n">
        <v>-8.76</v>
      </c>
      <c r="AO427" s="73" t="n">
        <v>-11.07</v>
      </c>
      <c r="AP427" s="63" t="inlineStr">
        <is>
          <t>Hang Seng Commerce &amp; Industry sub-index</t>
        </is>
      </c>
      <c r="AQ427" s="73" t="n">
        <v>69.06</v>
      </c>
      <c r="AR427" s="64" t="inlineStr">
        <is>
          <t>2026-08-20</t>
        </is>
      </c>
      <c r="AS427" s="65" t="n">
        <v>43277.9</v>
      </c>
      <c r="AT427" s="68" t="n">
        <v>912.1</v>
      </c>
      <c r="AU427" s="63" t="inlineStr">
        <is>
          <t>Y</t>
        </is>
      </c>
      <c r="AV427" s="74" t="n">
        <v>55.9</v>
      </c>
      <c r="AW427" s="74" t="n"/>
      <c r="AX427" s="74" t="n"/>
      <c r="AY427" s="74" t="n">
        <v>1.2</v>
      </c>
      <c r="AZ427" s="75" t="inlineStr">
        <is>
          <t>N</t>
        </is>
      </c>
      <c r="BA427" s="76">
        <f>IF('BBG Verify'!K427="","not filed — run on terminal",'BBG Verify'!K427)</f>
        <v/>
      </c>
      <c r="BB427" s="63" t="inlineStr">
        <is>
          <t>N/A</t>
        </is>
      </c>
      <c r="BC427" s="63" t="inlineStr">
        <is>
          <t>N/A</t>
        </is>
      </c>
      <c r="BD427" s="63" t="inlineStr">
        <is>
          <t>N/A</t>
        </is>
      </c>
      <c r="BE427" s="63" t="inlineStr">
        <is>
          <t>N/A</t>
        </is>
      </c>
      <c r="BF427" s="63" t="inlineStr">
        <is>
          <t>N/A</t>
        </is>
      </c>
      <c r="BG427" s="75" t="inlineStr">
        <is>
          <t>Goldman Sachs (Asia) L.L.C; Huatai Financial Holdings (Hong Kong) Limited</t>
        </is>
      </c>
      <c r="BH427" s="63" t="inlineStr">
        <is>
          <t>Goldman Sachs (Asia) L.L.C.; Huatai Financial Holdings (Hong Kong) Limited</t>
        </is>
      </c>
      <c r="BI427" s="63" t="inlineStr">
        <is>
          <t>Goldman Sachs (Asia) L.L.C; Huatai Financial Holdings (Hong Kong) Limited; Deutsche Bank AG, Hong Kong Branch; Haitong International Securities Company Limited; Futu Securities International (Hong Kong) Limited</t>
        </is>
      </c>
      <c r="BJ427" s="63" t="inlineStr">
        <is>
          <t>Deutsche Bank AG; Hong Kong Branch; Futu Securities International (Hong Kong) Limited; Goldman Sachs (Asia) L.L.C.; Huatai Financial Holdings (Hong Kong) Limited; Haitong International Securities Company Limited; SPDB International Capital Limited</t>
        </is>
      </c>
      <c r="BK427" s="77">
        <f>HYPERLINK("https://www1.hkexnews.hk/listedco/listconews/sehk/2026/0120/2026012000025.pdf","prospectus")</f>
        <v/>
      </c>
      <c r="BL427" s="77">
        <f>HYPERLINK("https://www1.hkexnews.hk/listedco/listconews/sehk/2026/0127/2026012701713.pdf","allotment")</f>
        <v/>
      </c>
      <c r="BM427" s="63" t="n"/>
      <c r="BN427" s="75" t="n"/>
      <c r="BO427" s="63" t="inlineStr">
        <is>
          <t>greenshoe: end-of-stabilisation notice not located · range low: cap-only pricing — the filing publishes a Maximum Offer Price and no indicative floor · A/H: no A-share listing</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122324.5</v>
      </c>
      <c r="R428" s="63" t="inlineStr">
        <is>
          <t>derived:deal size / offer % of enlarged capital</t>
        </is>
      </c>
      <c r="S428" s="69" t="n">
        <v>57.46</v>
      </c>
      <c r="T428" s="70" t="n">
        <v>15.6</v>
      </c>
      <c r="U428" s="71" t="n">
        <v>49.2</v>
      </c>
      <c r="V428" s="67" t="n">
        <v>4.21</v>
      </c>
      <c r="W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3" t="inlineStr">
        <is>
          <t>al;taibai;true;huang-river;hsg;azure;taikang;investments-limited;velmar;pinpoint;amazing;phase</t>
        </is>
      </c>
      <c r="Y428" s="67" t="n">
        <v>7.29</v>
      </c>
      <c r="Z428" s="63" t="inlineStr">
        <is>
          <t>partial</t>
        </is>
      </c>
      <c r="AA428" s="72" t="n">
        <v>1.53</v>
      </c>
      <c r="AB428" s="73" t="n">
        <v>0</v>
      </c>
      <c r="AC428" s="73" t="n">
        <v>1.53</v>
      </c>
      <c r="AD428" s="73" t="n">
        <v>0.8100000000000001</v>
      </c>
      <c r="AE428" s="73" t="n">
        <v>-13.87</v>
      </c>
      <c r="AF428" s="73" t="n">
        <v>-12.46</v>
      </c>
      <c r="AG428" s="73" t="n">
        <v>-0.71</v>
      </c>
      <c r="AH428" s="73" t="n">
        <v>-15.17</v>
      </c>
      <c r="AI428" s="73" t="n">
        <v>-13.78</v>
      </c>
      <c r="AJ428" s="73" t="n">
        <v>-0.05</v>
      </c>
      <c r="AK428" s="73" t="n">
        <v>-7.17</v>
      </c>
      <c r="AL428" s="73" t="n">
        <v>-6.91</v>
      </c>
      <c r="AM428" s="73" t="n">
        <v>-8.83</v>
      </c>
      <c r="AN428" s="73" t="n">
        <v>-6.7</v>
      </c>
      <c r="AO428" s="73" t="n">
        <v>-6.34</v>
      </c>
      <c r="AP428" s="63" t="inlineStr">
        <is>
          <t>Hang Seng Commerce &amp; Industry sub-index</t>
        </is>
      </c>
      <c r="AQ428" s="73" t="n">
        <v>-38.04</v>
      </c>
      <c r="AR428" s="64" t="inlineStr">
        <is>
          <t>2026-08-24</t>
        </is>
      </c>
      <c r="AS428" s="65" t="n">
        <v>17413.4</v>
      </c>
      <c r="AT428" s="68" t="n">
        <v>3659.1</v>
      </c>
      <c r="AU428" s="63" t="inlineStr">
        <is>
          <t>Y</t>
        </is>
      </c>
      <c r="AV428" s="74" t="n">
        <v>33.4</v>
      </c>
      <c r="AW428" s="74" t="n">
        <v>26.3</v>
      </c>
      <c r="AX428" s="74" t="n">
        <v>14.4</v>
      </c>
      <c r="AY428" s="74" t="n">
        <v>7</v>
      </c>
      <c r="AZ428" s="75" t="inlineStr">
        <is>
          <t>Y</t>
        </is>
      </c>
      <c r="BA428" s="63" t="inlineStr">
        <is>
          <t>605499.SS</t>
        </is>
      </c>
      <c r="BB428" s="73" t="n">
        <v>16.43</v>
      </c>
      <c r="BC428" s="66" t="n">
        <v>288.7582</v>
      </c>
      <c r="BD428" s="80" t="n">
        <v>0.194</v>
      </c>
      <c r="BE428" s="78">
        <f>IF('BBG Verify'!Q428="","run on terminal",'BBG Verify'!Q428)</f>
        <v/>
      </c>
      <c r="BF428" s="78">
        <f>IF('BBG Verify'!R428="","run on terminal",'BBG Verify'!R428)</f>
        <v/>
      </c>
      <c r="BG428" s="75" t="inlineStr">
        <is>
          <t>Huatai Financial Holdings (Hong Kong) Limited; Morgan Stanley Asia Limited; UBS Securities Hong Kong Limited</t>
        </is>
      </c>
      <c r="BH428" s="63" t="inlineStr">
        <is>
          <t>Morgan Stanley Asia Limited; UBS Securities Hong Kong Limited; Huatai Financial Holdings (Hong Kong) Limited</t>
        </is>
      </c>
      <c r="BI428" s="63" t="inlineStr">
        <is>
          <t>Huatai Financial Holdings (Hong Kong) Limited; Morgan Stanley Asia Limited; UBS AG Hong Kong Branch</t>
        </is>
      </c>
      <c r="BJ428" s="63" t="inlineStr">
        <is>
          <t>Huatai Financial Holdings (Hong Kong) Limited; Morgan Stanley Asia Limited; UBS AG Hong Kong Branch</t>
        </is>
      </c>
      <c r="BK428" s="77">
        <f>HYPERLINK("https://www1.hkexnews.hk/listedco/listconews/sehk/2026/0126/2026012600003.pdf","prospectus")</f>
        <v/>
      </c>
      <c r="BL428" s="77">
        <f>HYPERLINK("https://www1.hkexnews.hk/listedco/listconews/sehk/2026/0202/2026020203212.pdf","allotment")</f>
        <v/>
      </c>
      <c r="BM428" s="77">
        <f>HYPERLINK("https://www1.hkexnews.hk/listedco/listconews/sehk/2026/0301/2026030100013.pdf","stabilisation")</f>
        <v/>
      </c>
      <c r="BN428" s="75" t="n"/>
      <c r="BO428" s="63" t="inlineStr">
        <is>
          <t>range low: cap-only pricing — the filing publishes a Maximum Offer Price and no indicative floor · A/H: Feb 2026, ~HK$10.1bn at HK$248/sh — largest HK IPO of early 2026</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v>34</v>
      </c>
      <c r="L429" s="66" t="n">
        <v>42</v>
      </c>
      <c r="M429" s="66" t="n">
        <v>36</v>
      </c>
      <c r="N429" s="63" t="inlineStr">
        <is>
          <t>N</t>
        </is>
      </c>
      <c r="O429" s="67" t="n">
        <v>85.7</v>
      </c>
      <c r="P429" s="67" t="n">
        <v>25</v>
      </c>
      <c r="Q429" s="68" t="n">
        <v>10845</v>
      </c>
      <c r="R429" s="63" t="inlineStr">
        <is>
          <t>derived:price x shares upon listing</t>
        </is>
      </c>
      <c r="S429" s="69" t="n">
        <v>2251.85</v>
      </c>
      <c r="T429" s="70" t="n">
        <v>10.03</v>
      </c>
      <c r="U429" s="71" t="n">
        <v>25.3</v>
      </c>
      <c r="V429" s="67" t="n">
        <v>7.44</v>
      </c>
      <c r="W429" s="63" t="inlineStr">
        <is>
          <t>Nice First; SLD International; Cheng A International; Shenwan Hongyuan Securities; First Seafront Fund Series SPC; New Harvest; Luminous Horizon; Fullgoal HK</t>
        </is>
      </c>
      <c r="X429" s="63" t="inlineStr">
        <is>
          <t>nice;sld;cheng;shenwan;first-seafront;new-harvest;luminous;fullgoal</t>
        </is>
      </c>
      <c r="Y429" s="67" t="n">
        <v>15</v>
      </c>
      <c r="Z429" s="63" t="n"/>
      <c r="AA429" s="72" t="n">
        <v>11.56</v>
      </c>
      <c r="AB429" s="73" t="n">
        <v>25</v>
      </c>
      <c r="AC429" s="73" t="n">
        <v>-10.75</v>
      </c>
      <c r="AD429" s="73" t="n">
        <v>27.22</v>
      </c>
      <c r="AE429" s="73" t="n">
        <v>33.22</v>
      </c>
      <c r="AF429" s="73" t="n">
        <v>43.75</v>
      </c>
      <c r="AG429" s="73" t="n">
        <v>14.04</v>
      </c>
      <c r="AH429" s="73" t="n">
        <v>19.42</v>
      </c>
      <c r="AI429" s="73" t="n">
        <v>28.85</v>
      </c>
      <c r="AJ429" s="73" t="n">
        <v>26.57</v>
      </c>
      <c r="AK429" s="73" t="n">
        <v>40.68</v>
      </c>
      <c r="AL429" s="73" t="n">
        <v>50.43</v>
      </c>
      <c r="AM429" s="73" t="n">
        <v>25.2</v>
      </c>
      <c r="AN429" s="73" t="n">
        <v>-7.46</v>
      </c>
      <c r="AO429" s="73" t="n">
        <v>-5.78</v>
      </c>
      <c r="AP429" s="63" t="inlineStr">
        <is>
          <t>HSTECH (Hang Seng TECH ETF)</t>
        </is>
      </c>
      <c r="AQ429" s="73" t="n">
        <v>39.94</v>
      </c>
      <c r="AR429" s="64" t="inlineStr">
        <is>
          <t>2026-08-24</t>
        </is>
      </c>
      <c r="AS429" s="65" t="n">
        <v>21106.3</v>
      </c>
      <c r="AT429" s="68" t="n">
        <v>792.6</v>
      </c>
      <c r="AU429" s="63" t="inlineStr">
        <is>
          <t>Y</t>
        </is>
      </c>
      <c r="AV429" s="74" t="n">
        <v>13.7</v>
      </c>
      <c r="AW429" s="74" t="n">
        <v>11.2</v>
      </c>
      <c r="AX429" s="74" t="n">
        <v>16.5</v>
      </c>
      <c r="AY429" s="74" t="n">
        <v>0.5</v>
      </c>
      <c r="AZ429" s="75" t="inlineStr">
        <is>
          <t>Y</t>
        </is>
      </c>
      <c r="BA429" s="63" t="inlineStr">
        <is>
          <t>002768.SZ</t>
        </is>
      </c>
      <c r="BB429" s="73" t="n">
        <v>74.11</v>
      </c>
      <c r="BC429" s="66" t="n">
        <v>62.6783</v>
      </c>
      <c r="BD429" s="80" t="n">
        <v>1.0576</v>
      </c>
      <c r="BE429" s="78">
        <f>IF('BBG Verify'!Q429="","run on terminal",'BBG Verify'!Q429)</f>
        <v/>
      </c>
      <c r="BF429" s="78">
        <f>IF('BBG Verify'!R429="","run on terminal",'BBG Verify'!R429)</f>
        <v/>
      </c>
      <c r="BG429" s="75" t="inlineStr">
        <is>
          <t>China Merchants Securities (HK) Co., Limited</t>
        </is>
      </c>
      <c r="BH429" s="63" t="inlineStr">
        <is>
          <t>China Merchants Securities (HK) Company Limited</t>
        </is>
      </c>
      <c r="BI429" s="63" t="inlineStr">
        <is>
          <t>China Merchants Securities (HK) Co., Limited; CLSA Limited; China International Capital Corporation Hong Kong Securities Limited; Tiger Brokers (HK) Global Limited; Livermore Holdings Limited</t>
        </is>
      </c>
      <c r="BJ429" s="63" t="inlineStr">
        <is>
          <t>China International Capital Corporation Hong Kong Securities Limited; CLSA Limited; CMB International Capital Limited; China Merchants Securities (HK) Company Limited; Livermore Holdings Limited; Tiger Brokers (HK) Global Limited</t>
        </is>
      </c>
      <c r="BK429" s="77">
        <f>HYPERLINK("https://www1.hkexnews.hk/listedco/listconews/sehk/2026/0127/2026012700009.pdf","prospectus")</f>
        <v/>
      </c>
      <c r="BL429" s="77">
        <f>HYPERLINK("https://www1.hkexnews.hk/listedco/listconews/sehk/2026/0203/2026020302602.pdf","allotment")</f>
        <v/>
      </c>
      <c r="BM429" s="63" t="n"/>
      <c r="BN429" s="75" t="n"/>
      <c r="BO429" s="63" t="inlineStr">
        <is>
          <t>greenshoe: end-of-stabilisation notice not located · A/H: Feb 2026 H listing (polymer materials)</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7" t="n">
        <v>5.24</v>
      </c>
      <c r="W430" s="63" t="inlineStr">
        <is>
          <t>Health Vision Hong Kong Limited; KingMed Diagnostics (Hong Kong) Limited (ਹᏨ᜕ (ಥ)ʮ̡; Mininglamp Technology; Galaxy Dynasty Limited</t>
        </is>
      </c>
      <c r="X430" s="63" t="inlineStr">
        <is>
          <t>health;kingmed;mininglamp;galaxy</t>
        </is>
      </c>
      <c r="Y430" s="67" t="n">
        <v>15</v>
      </c>
      <c r="Z430" s="63" t="inlineStr">
        <is>
          <t>partial</t>
        </is>
      </c>
      <c r="AA430" s="72" t="n">
        <v>13.36</v>
      </c>
      <c r="AB430" s="73" t="n">
        <v>35.23</v>
      </c>
      <c r="AC430" s="73" t="n">
        <v>-16.17</v>
      </c>
      <c r="AD430" s="73" t="n">
        <v>-3.17</v>
      </c>
      <c r="AE430" s="73" t="n">
        <v>9.1</v>
      </c>
      <c r="AF430" s="73" t="n">
        <v>-54.49</v>
      </c>
      <c r="AG430" s="73" t="n">
        <v>-14.58</v>
      </c>
      <c r="AH430" s="73" t="n">
        <v>-3.76</v>
      </c>
      <c r="AI430" s="73" t="n">
        <v>-59.85</v>
      </c>
      <c r="AJ430" s="73" t="n">
        <v>-4.64</v>
      </c>
      <c r="AK430" s="73" t="n">
        <v>14.97</v>
      </c>
      <c r="AL430" s="73" t="n">
        <v>-61.12</v>
      </c>
      <c r="AM430" s="73" t="n">
        <v>2.14</v>
      </c>
      <c r="AN430" s="73" t="n">
        <v>-5.87</v>
      </c>
      <c r="AO430" s="73" t="n">
        <v>-5.9</v>
      </c>
      <c r="AP430" s="63" t="inlineStr">
        <is>
          <t>China Biotech ETF (HS biotech proxy)</t>
        </is>
      </c>
      <c r="AQ430" s="73" t="n">
        <v>-58.46</v>
      </c>
      <c r="AR430" s="64" t="inlineStr">
        <is>
          <t>2026-08-20</t>
        </is>
      </c>
      <c r="AS430" s="65" t="n">
        <v>1054.4</v>
      </c>
      <c r="AT430" s="68" t="n">
        <v>88.2</v>
      </c>
      <c r="AU430" s="63" t="inlineStr">
        <is>
          <t>Y</t>
        </is>
      </c>
      <c r="AV430" s="74" t="n">
        <v>43.7</v>
      </c>
      <c r="AW430" s="74" t="n"/>
      <c r="AX430" s="74" t="n"/>
      <c r="AY430" s="74" t="n">
        <v>3.7</v>
      </c>
      <c r="AZ430" s="75" t="inlineStr">
        <is>
          <t>N</t>
        </is>
      </c>
      <c r="BA430" s="76">
        <f>IF('BBG Verify'!K430="","not filed — run on terminal",'BBG Verify'!K430)</f>
        <v/>
      </c>
      <c r="BB430" s="63" t="inlineStr">
        <is>
          <t>N/A</t>
        </is>
      </c>
      <c r="BC430" s="63" t="inlineStr">
        <is>
          <t>N/A</t>
        </is>
      </c>
      <c r="BD430" s="63" t="inlineStr">
        <is>
          <t>N/A</t>
        </is>
      </c>
      <c r="BE430" s="63" t="inlineStr">
        <is>
          <t>N/A</t>
        </is>
      </c>
      <c r="BF430" s="63" t="inlineStr">
        <is>
          <t>N/A</t>
        </is>
      </c>
      <c r="BG430" s="75" t="inlineStr">
        <is>
          <t>Haitong International Capital Limited; SPDB International Capital Limited; Haitong International Securities Company Limited</t>
        </is>
      </c>
      <c r="BH430" s="63" t="inlineStr">
        <is>
          <t>Haitong International Capital Limited; SPDB International Capital Limited</t>
        </is>
      </c>
      <c r="BI430" s="63"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7">
        <f>HYPERLINK("https://www1.hkexnews.hk/listedco/listconews/sehk/2026/0129/2026012900021.pdf","prospectus")</f>
        <v/>
      </c>
      <c r="BL430" s="77">
        <f>HYPERLINK("https://www1.hkexnews.hk/listedco/listconews/sehk/2026/0205/2026020501800.pdf","allotment")</f>
        <v/>
      </c>
      <c r="BM430" s="77">
        <f>HYPERLINK("https://www1.hkexnews.hk/listedco/listconews/sehk/2026/0305/2026030502008.pdf","stabilisation")</f>
        <v/>
      </c>
      <c r="BN430" s="75" t="n"/>
      <c r="BO430" s="63" t="inlineStr">
        <is>
          <t>A/H: no A-share listing</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7" t="n">
        <v>6</v>
      </c>
      <c r="W431" s="63" t="inlineStr">
        <is>
          <t>Schroders; HHLR Advisors (Hillhouse); Limited, Morgan Stanley Asia Limited; Fullgoal Fund; Hongxing International; OmniVision HK; Industrial Bank WM</t>
        </is>
      </c>
      <c r="X431" s="63" t="inlineStr">
        <is>
          <t>schroders;hhlr;morgan;fullgoal;hongxing;omnivision;industrial</t>
        </is>
      </c>
      <c r="Y431" s="67" t="n">
        <v>15</v>
      </c>
      <c r="Z431" s="63" t="inlineStr">
        <is>
          <t>full</t>
        </is>
      </c>
      <c r="AA431" s="72" t="n">
        <v>14.82</v>
      </c>
      <c r="AB431" s="73" t="n">
        <v>10.65</v>
      </c>
      <c r="AC431" s="73" t="n">
        <v>3.77</v>
      </c>
      <c r="AD431" s="73" t="n">
        <v>17.54</v>
      </c>
      <c r="AE431" s="73" t="n">
        <v>21.92</v>
      </c>
      <c r="AF431" s="73" t="n">
        <v>69.42</v>
      </c>
      <c r="AG431" s="73" t="n">
        <v>2.37</v>
      </c>
      <c r="AH431" s="73" t="n">
        <v>6.18</v>
      </c>
      <c r="AI431" s="73" t="n">
        <v>47.55</v>
      </c>
      <c r="AJ431" s="73" t="n">
        <v>18.24</v>
      </c>
      <c r="AK431" s="73" t="n">
        <v>26.5</v>
      </c>
      <c r="AL431" s="73" t="n">
        <v>76.59999999999999</v>
      </c>
      <c r="AM431" s="73" t="n">
        <v>9.92</v>
      </c>
      <c r="AN431" s="73" t="n">
        <v>-4.58</v>
      </c>
      <c r="AO431" s="73" t="n">
        <v>-3.74</v>
      </c>
      <c r="AP431" s="63" t="inlineStr">
        <is>
          <t>Hang Seng Commerce &amp; Industry sub-index</t>
        </is>
      </c>
      <c r="AQ431" s="73" t="n">
        <v>9.390000000000001</v>
      </c>
      <c r="AR431" s="64" t="inlineStr">
        <is>
          <t>2026-08-20</t>
        </is>
      </c>
      <c r="AS431" s="65" t="n">
        <v>3677.4</v>
      </c>
      <c r="AT431" s="68" t="n">
        <v>329.5</v>
      </c>
      <c r="AU431" s="63" t="inlineStr">
        <is>
          <t>Y</t>
        </is>
      </c>
      <c r="AV431" s="74" t="n">
        <v>122.2</v>
      </c>
      <c r="AW431" s="74" t="n">
        <v>50.1</v>
      </c>
      <c r="AX431" s="74" t="n">
        <v>50.2</v>
      </c>
      <c r="AY431" s="74" t="n">
        <v>11</v>
      </c>
      <c r="AZ431" s="75" t="inlineStr">
        <is>
          <t>Y</t>
        </is>
      </c>
      <c r="BA431" s="63" t="inlineStr">
        <is>
          <t>301200.SZ</t>
        </is>
      </c>
      <c r="BB431" s="73" t="n">
        <v>84.04000000000001</v>
      </c>
      <c r="BC431" s="66" t="n">
        <v>176.3149</v>
      </c>
      <c r="BD431" s="80" t="n">
        <v>2.3146</v>
      </c>
      <c r="BE431" s="78">
        <f>IF('BBG Verify'!Q431="","run on terminal",'BBG Verify'!Q431)</f>
        <v/>
      </c>
      <c r="BF431" s="78">
        <f>IF('BBG Verify'!R431="","run on terminal",'BBG Verify'!R431)</f>
        <v/>
      </c>
      <c r="BG431" s="75" t="inlineStr">
        <is>
          <t>China International Capital Corporation Hong Kong Securities Limited</t>
        </is>
      </c>
      <c r="BH431" s="63" t="inlineStr">
        <is>
          <t>China International Capital Corporation Hong Kong Securities Limited</t>
        </is>
      </c>
      <c r="BI431" s="63" t="inlineStr">
        <is>
          <t>China International Capital Corporation Hong Kong Securities Limited; Deutsche Bank AG, Hong Kong Branch; Sinolink Securities (Hong Kong) Company Limited; SDIC Securities (Hong Kong) Limited; ABCI Capital Limited</t>
        </is>
      </c>
      <c r="BJ431" s="63" t="inlineStr">
        <is>
          <t>ABCI Securities Company Limited; China International Capital Corporation Hong Kong Securities Limited; Deutsche Bank AG, Hong Kong Branch; SDIC Securities (Hong Kong) Limited; Sinolink Securities (Hong Kong) Company Limited</t>
        </is>
      </c>
      <c r="BK431" s="77">
        <f>HYPERLINK("https://www1.hkexnews.hk/listedco/listconews/sehk/2026/0129/2026012900019.pdf","prospectus")</f>
        <v/>
      </c>
      <c r="BL431" s="77">
        <f>HYPERLINK("https://www1.hkexnews.hk/listedco/listconews/sehk/2026/0205/2026020502290.pdf","allotment")</f>
        <v/>
      </c>
      <c r="BM431" s="77">
        <f>HYPERLINK("https://www1.hkexnews.hk/listedco/listconews/sehk/2026/0305/2026030501746.pdf","stabilisation")</f>
        <v/>
      </c>
      <c r="BN431" s="75" t="n"/>
      <c r="BO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7" t="n">
        <v>1.87</v>
      </c>
      <c r="W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3" t="inlineStr">
        <is>
          <t>charoen;wii;hpry;sinochem;henan;fil;rbc;perseverance;shanghai-gaoyi;ping;dajia;ubs;midea;integrated;jane</t>
        </is>
      </c>
      <c r="Y432" s="67" t="n">
        <v>15</v>
      </c>
      <c r="Z432" s="63" t="inlineStr">
        <is>
          <t>partial</t>
        </is>
      </c>
      <c r="AA432" s="72" t="n">
        <v>3.9</v>
      </c>
      <c r="AB432" s="73" t="n">
        <v>0</v>
      </c>
      <c r="AC432" s="73" t="n">
        <v>3.9</v>
      </c>
      <c r="AD432" s="73" t="n">
        <v>0.51</v>
      </c>
      <c r="AE432" s="73" t="n">
        <v>19.69</v>
      </c>
      <c r="AF432" s="73" t="n">
        <v>0.67</v>
      </c>
      <c r="AG432" s="73" t="n">
        <v>-3.26</v>
      </c>
      <c r="AH432" s="73" t="n">
        <v>15.2</v>
      </c>
      <c r="AI432" s="73" t="n">
        <v>-3.11</v>
      </c>
      <c r="AJ432" s="73" t="n">
        <v>1.21</v>
      </c>
      <c r="AK432" s="73" t="n">
        <v>24.27</v>
      </c>
      <c r="AL432" s="73" t="n">
        <v>7.85</v>
      </c>
      <c r="AM432" s="73" t="n">
        <v>18.94</v>
      </c>
      <c r="AN432" s="73" t="n">
        <v>-4.58</v>
      </c>
      <c r="AO432" s="73" t="n">
        <v>-3.74</v>
      </c>
      <c r="AP432" s="63" t="inlineStr">
        <is>
          <t>Hang Seng Commerce &amp; Industry sub-index</t>
        </is>
      </c>
      <c r="AQ432" s="73" t="n">
        <v>-8.970000000000001</v>
      </c>
      <c r="AR432" s="64" t="inlineStr">
        <is>
          <t>2026-08-20</t>
        </is>
      </c>
      <c r="AS432" s="65" t="n">
        <v>158559.5</v>
      </c>
      <c r="AT432" s="68" t="n">
        <v>16992.9</v>
      </c>
      <c r="AU432" s="63" t="inlineStr">
        <is>
          <t>Y</t>
        </is>
      </c>
      <c r="AV432" s="74" t="n">
        <v>16.8</v>
      </c>
      <c r="AW432" s="74" t="n">
        <v>12.5</v>
      </c>
      <c r="AX432" s="74" t="n">
        <v>9.9</v>
      </c>
      <c r="AY432" s="74" t="n">
        <v>1.8</v>
      </c>
      <c r="AZ432" s="75" t="inlineStr">
        <is>
          <t>Y</t>
        </is>
      </c>
      <c r="BA432" s="63" t="inlineStr">
        <is>
          <t>002714.SZ</t>
        </is>
      </c>
      <c r="BB432" s="73" t="n">
        <v>34.91</v>
      </c>
      <c r="BC432" s="66" t="n">
        <v>52.613</v>
      </c>
      <c r="BD432" s="80" t="n">
        <v>0.3801</v>
      </c>
      <c r="BE432" s="78">
        <f>IF('BBG Verify'!Q432="","run on terminal",'BBG Verify'!Q432)</f>
        <v/>
      </c>
      <c r="BF432" s="78">
        <f>IF('BBG Verify'!R432="","run on terminal",'BBG Verify'!R432)</f>
        <v/>
      </c>
      <c r="BG432" s="75" t="inlineStr">
        <is>
          <t>Morgan Stanley Asia Limited; CITIC Securities (Hong Kong) Limited; Goldman Sachs (Asia) L.L.C</t>
        </is>
      </c>
      <c r="BH432" s="63" t="inlineStr">
        <is>
          <t>Morgan Stanley Asia Limited; Goldman Sachs (Asia) L.L.C.; CITIC Securities (Hong Kong) Limited</t>
        </is>
      </c>
      <c r="BI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7">
        <f>HYPERLINK("https://www1.hkexnews.hk/listedco/listconews/sehk/2026/0129/2026012900023.pdf","prospectus")</f>
        <v/>
      </c>
      <c r="BL432" s="77">
        <f>HYPERLINK("https://www1.hkexnews.hk/listedco/listconews/sehk/2026/0205/2026020502402.pdf","allotment")</f>
        <v/>
      </c>
      <c r="BM432" s="77">
        <f>HYPERLINK("https://www1.hkexnews.hk/listedco/listconews/sehk/2026/0305/2026030501974.pdf","stabilisation")</f>
        <v/>
      </c>
      <c r="BN432" s="75" t="n"/>
      <c r="BO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7" t="n">
        <v>3.11</v>
      </c>
      <c r="W433" s="63" t="inlineStr">
        <is>
          <t>J.P. Morgan Asset Management; UBS Asset Management; Yunfeng Capital; Alibaba (Alisoft China); Aspex Management; Janchor Partners; Huaqin Technology</t>
        </is>
      </c>
      <c r="X433" s="63" t="inlineStr">
        <is>
          <t>morgan;ubs;yunfeng;alibaba;aspex;janchor;huaqin</t>
        </is>
      </c>
      <c r="Y433" s="67" t="n">
        <v>15</v>
      </c>
      <c r="Z433" s="63" t="inlineStr">
        <is>
          <t>full</t>
        </is>
      </c>
      <c r="AA433" s="72" t="n">
        <v>63.72</v>
      </c>
      <c r="AB433" s="73" t="n">
        <v>57.17</v>
      </c>
      <c r="AC433" s="73" t="n">
        <v>4.17</v>
      </c>
      <c r="AD433" s="73" t="n">
        <v>97.40000000000001</v>
      </c>
      <c r="AE433" s="73" t="n">
        <v>64.19</v>
      </c>
      <c r="AF433" s="73" t="n">
        <v>312.39</v>
      </c>
      <c r="AG433" s="73" t="n">
        <v>20.57</v>
      </c>
      <c r="AH433" s="73" t="n">
        <v>0.29</v>
      </c>
      <c r="AI433" s="73" t="n">
        <v>151.89</v>
      </c>
      <c r="AJ433" s="73" t="n">
        <v>97.02</v>
      </c>
      <c r="AK433" s="73" t="n">
        <v>71.06999999999999</v>
      </c>
      <c r="AL433" s="73" t="n">
        <v>321.84</v>
      </c>
      <c r="AM433" s="73" t="n">
        <v>8.4</v>
      </c>
      <c r="AN433" s="73" t="n">
        <v>-6.88</v>
      </c>
      <c r="AO433" s="73" t="n">
        <v>-8.109999999999999</v>
      </c>
      <c r="AP433" s="63" t="inlineStr">
        <is>
          <t>HSTECH (Hang Seng TECH ETF)</t>
        </is>
      </c>
      <c r="AQ433" s="73" t="n">
        <v>154.47</v>
      </c>
      <c r="AR433" s="64" t="inlineStr">
        <is>
          <t>2026-08-21</t>
        </is>
      </c>
      <c r="AS433" s="65" t="n">
        <v>4002.8</v>
      </c>
      <c r="AT433" s="68" t="n">
        <v>1474.8</v>
      </c>
      <c r="AU433" s="63" t="inlineStr">
        <is>
          <t>Y</t>
        </is>
      </c>
      <c r="AV433" s="74" t="n">
        <v>77</v>
      </c>
      <c r="AW433" s="74" t="n">
        <v>79.09999999999999</v>
      </c>
      <c r="AX433" s="74" t="n">
        <v>136.4</v>
      </c>
      <c r="AY433" s="74" t="n">
        <v>28.4</v>
      </c>
      <c r="AZ433" s="75" t="inlineStr">
        <is>
          <t>Y</t>
        </is>
      </c>
      <c r="BA433" s="63" t="inlineStr">
        <is>
          <t>688008.SS</t>
        </is>
      </c>
      <c r="BB433" s="73" t="n">
        <v>72.29000000000001</v>
      </c>
      <c r="BC433" s="66" t="n">
        <v>184.1562</v>
      </c>
      <c r="BD433" s="80" t="n">
        <v>-0.1049</v>
      </c>
      <c r="BE433" s="78">
        <f>IF('BBG Verify'!Q433="","run on terminal",'BBG Verify'!Q433)</f>
        <v/>
      </c>
      <c r="BF433" s="78">
        <f>IF('BBG Verify'!R433="","run on terminal",'BBG Verify'!R433)</f>
        <v/>
      </c>
      <c r="BG433" s="75" t="inlineStr">
        <is>
          <t>China International Capital Corporation Hong Kong Securities Limited; Morgan Stanley Asia Limited; UBS Securities Hong Kong Limited</t>
        </is>
      </c>
      <c r="BH433" s="63" t="inlineStr">
        <is>
          <t>China International Capital Corporation Hong Kong Securities Limited; Morgan Stanley Asia Limited; UBS Securities Hong Kong Limited</t>
        </is>
      </c>
      <c r="BI433" s="63" t="inlineStr">
        <is>
          <t>China International Capital Corporation Hong Kong Securities Limited; Morgan Stanley Asia Limited; UBS AG Hong Kong Branch</t>
        </is>
      </c>
      <c r="BJ433" s="63" t="inlineStr">
        <is>
          <t>China International Capital Corporation Hong Kong Securities Limited; CLSA Limited; Goldman Sachs (Asia) L.L.C.; Morgan Stanley Asia Limited; UBS AG Hong Kong Branch</t>
        </is>
      </c>
      <c r="BK433" s="77">
        <f>HYPERLINK("https://www1.hkexnews.hk/listedco/listconews/sehk/2026/0130/2026013000007.pdf","prospectus")</f>
        <v/>
      </c>
      <c r="BL433" s="77">
        <f>HYPERLINK("https://www1.hkexnews.hk/listedco/listconews/sehk/2026/0206/2026020601350.pdf","allotment")</f>
        <v/>
      </c>
      <c r="BM433" s="77">
        <f>HYPERLINK("https://www1.hkexnews.hk/listedco/listconews/sehk/2026/0306/2026030600629.pdf","stabilisation")</f>
        <v/>
      </c>
      <c r="BN433" s="75" t="n"/>
      <c r="BO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c r="L434" s="66" t="n">
        <v>12.25</v>
      </c>
      <c r="M434" s="66" t="n">
        <v>12.25</v>
      </c>
      <c r="N434" s="63" t="inlineStr">
        <is>
          <t>Y</t>
        </is>
      </c>
      <c r="O434" s="67" t="n">
        <v>100</v>
      </c>
      <c r="P434" s="67" t="n"/>
      <c r="Q434" s="68" t="n">
        <v>1570.5</v>
      </c>
      <c r="R434" s="63" t="inlineStr">
        <is>
          <t>derived:price x shares upon listing</t>
        </is>
      </c>
      <c r="S434" s="69" t="n">
        <v>3654.23</v>
      </c>
      <c r="T434" s="70" t="n">
        <v>2.94</v>
      </c>
      <c r="U434" s="71" t="n">
        <v>37.62</v>
      </c>
      <c r="V434" s="67" t="n">
        <v>13.72</v>
      </c>
      <c r="W434" s="63" t="inlineStr">
        <is>
          <t>Mr. Yang; GreatCast; Taihong; Outrider Partnership; Orbit VC; Huangshan Dejun</t>
        </is>
      </c>
      <c r="X434" s="63" t="inlineStr">
        <is>
          <t>mr-yang;greatcast;taihong;outrider;orbit;huangshan</t>
        </is>
      </c>
      <c r="Y434" s="67" t="n"/>
      <c r="Z434" s="63" t="n"/>
      <c r="AA434" s="72" t="n">
        <v>102.29</v>
      </c>
      <c r="AB434" s="73" t="n">
        <v>96.08</v>
      </c>
      <c r="AC434" s="73" t="n">
        <v>3.17</v>
      </c>
      <c r="AD434" s="73" t="n">
        <v>124.49</v>
      </c>
      <c r="AE434" s="73" t="n">
        <v>112.24</v>
      </c>
      <c r="AF434" s="73" t="n">
        <v>100.82</v>
      </c>
      <c r="AG434" s="73" t="n">
        <v>10.97</v>
      </c>
      <c r="AH434" s="73" t="n">
        <v>4.92</v>
      </c>
      <c r="AI434" s="73" t="n">
        <v>-0.73</v>
      </c>
      <c r="AJ434" s="73" t="n">
        <v>126.89</v>
      </c>
      <c r="AK434" s="73" t="n">
        <v>116.15</v>
      </c>
      <c r="AL434" s="73" t="n">
        <v>108.97</v>
      </c>
      <c r="AM434" s="73" t="n">
        <v>9.609999999999999</v>
      </c>
      <c r="AN434" s="73" t="n">
        <v>-3.91</v>
      </c>
      <c r="AO434" s="73" t="n">
        <v>-4.69</v>
      </c>
      <c r="AP434" s="63" t="inlineStr">
        <is>
          <t>Hang Seng Commerce &amp; Industry sub-index</t>
        </is>
      </c>
      <c r="AQ434" s="73" t="n">
        <v>91.51000000000001</v>
      </c>
      <c r="AR434" s="64" t="inlineStr">
        <is>
          <t>2026-08-20</t>
        </is>
      </c>
      <c r="AS434" s="65" t="n">
        <v>630.8</v>
      </c>
      <c r="AT434" s="68" t="n">
        <v>65.3</v>
      </c>
      <c r="AU434" s="63" t="inlineStr">
        <is>
          <t>Y</t>
        </is>
      </c>
      <c r="AV434" s="74" t="n">
        <v>24.1</v>
      </c>
      <c r="AW434" s="74" t="n"/>
      <c r="AX434" s="74" t="n"/>
      <c r="AY434" s="74" t="n">
        <v>2.5</v>
      </c>
      <c r="AZ434" s="75" t="inlineStr">
        <is>
          <t>N</t>
        </is>
      </c>
      <c r="BA434" s="76">
        <f>IF('BBG Verify'!K434="","not filed — run on terminal",'BBG Verify'!K434)</f>
        <v/>
      </c>
      <c r="BB434" s="63" t="inlineStr">
        <is>
          <t>N/A</t>
        </is>
      </c>
      <c r="BC434" s="63" t="inlineStr">
        <is>
          <t>N/A</t>
        </is>
      </c>
      <c r="BD434" s="63" t="inlineStr">
        <is>
          <t>N/A</t>
        </is>
      </c>
      <c r="BE434" s="63" t="inlineStr">
        <is>
          <t>N/A</t>
        </is>
      </c>
      <c r="BF434" s="63" t="inlineStr">
        <is>
          <t>N/A</t>
        </is>
      </c>
      <c r="BG434" s="75" t="inlineStr">
        <is>
          <t>China International Capital Corporation Hong Kong Securities Limited</t>
        </is>
      </c>
      <c r="BH434" s="63" t="inlineStr">
        <is>
          <t>China International Capital Corporation Hong Kong Securities Limited</t>
        </is>
      </c>
      <c r="BI434" s="63" t="inlineStr">
        <is>
          <t>China International Capital Corporation Hong Kong Securities Limited; Futu Securities International (Hong Kong) Limited; Fuze Securities (International) Limited</t>
        </is>
      </c>
      <c r="BJ434" s="63" t="inlineStr">
        <is>
          <t>China International Capital Corporation Hong Kong Securities Limited; Futu Securities International (Hong Kong) Limited; FUZE SECURITIES (INTERNATIONAL) LIMITED</t>
        </is>
      </c>
      <c r="BK434" s="77">
        <f>HYPERLINK("https://www1.hkexnews.hk/listedco/listconews/sehk/2026/0130/2026013002014.pdf","prospectus")</f>
        <v/>
      </c>
      <c r="BL434" s="77">
        <f>HYPERLINK("https://www1.hkexnews.hk/listedco/listconews/sehk/2026/0209/2026020901096.pdf","allotment")</f>
        <v/>
      </c>
      <c r="BM434" s="63" t="n"/>
      <c r="BN434" s="75" t="n"/>
      <c r="BO434" s="63"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4000</v>
      </c>
      <c r="R435" s="63" t="inlineStr">
        <is>
          <t>prospectus:stated market capitalisation</t>
        </is>
      </c>
      <c r="S435" s="69" t="n">
        <v>104.82</v>
      </c>
      <c r="T435" s="70" t="n">
        <v>6.8</v>
      </c>
      <c r="U435" s="71" t="n">
        <v>48.76</v>
      </c>
      <c r="V435" s="67" t="n">
        <v>37.9</v>
      </c>
      <c r="W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3" t="inlineStr">
        <is>
          <t>ngs;factorial;hel;alphahill;jupiter;nonaverse;jinyi;omnivision;xin;desay;valliance</t>
        </is>
      </c>
      <c r="Y435" s="67" t="n">
        <v>6</v>
      </c>
      <c r="Z435" s="63" t="n"/>
      <c r="AA435" s="72" t="n">
        <v>0</v>
      </c>
      <c r="AB435" s="73" t="n">
        <v>0</v>
      </c>
      <c r="AC435" s="73" t="n">
        <v>0</v>
      </c>
      <c r="AD435" s="73" t="n">
        <v>20.21</v>
      </c>
      <c r="AE435" s="73" t="n">
        <v>-11.21</v>
      </c>
      <c r="AF435" s="73" t="n">
        <v>-28.01</v>
      </c>
      <c r="AG435" s="73" t="n">
        <v>20.21</v>
      </c>
      <c r="AH435" s="73" t="n">
        <v>-11.21</v>
      </c>
      <c r="AI435" s="73" t="n">
        <v>-28.01</v>
      </c>
      <c r="AJ435" s="73" t="n">
        <v>23.89</v>
      </c>
      <c r="AK435" s="73" t="n">
        <v>-5.51</v>
      </c>
      <c r="AL435" s="73" t="n">
        <v>-17.82</v>
      </c>
      <c r="AM435" s="73" t="n">
        <v>-5.07</v>
      </c>
      <c r="AN435" s="73" t="n">
        <v>-5.7</v>
      </c>
      <c r="AO435" s="73" t="n">
        <v>-6.14</v>
      </c>
      <c r="AP435" s="63" t="inlineStr">
        <is>
          <t>HSTECH (Hang Seng TECH ETF)</t>
        </is>
      </c>
      <c r="AQ435" s="73" t="n">
        <v>-51.28</v>
      </c>
      <c r="AR435" s="64" t="inlineStr">
        <is>
          <t>2026-08-20</t>
        </is>
      </c>
      <c r="AS435" s="65" t="n">
        <v>520.2</v>
      </c>
      <c r="AT435" s="68" t="n">
        <v>-249.7</v>
      </c>
      <c r="AU435" s="63" t="inlineStr">
        <is>
          <t>N</t>
        </is>
      </c>
      <c r="AV435" s="63" t="inlineStr">
        <is>
          <t>n/m</t>
        </is>
      </c>
      <c r="AW435" s="74" t="n"/>
      <c r="AX435" s="74" t="n"/>
      <c r="AY435" s="74" t="n">
        <v>7.7</v>
      </c>
      <c r="AZ435" s="75" t="inlineStr">
        <is>
          <t>N</t>
        </is>
      </c>
      <c r="BA435" s="76">
        <f>IF('BBG Verify'!K435="","not filed — run on terminal",'BBG Verify'!K435)</f>
        <v/>
      </c>
      <c r="BB435" s="63" t="inlineStr">
        <is>
          <t>N/A</t>
        </is>
      </c>
      <c r="BC435" s="63" t="inlineStr">
        <is>
          <t>N/A</t>
        </is>
      </c>
      <c r="BD435" s="63" t="inlineStr">
        <is>
          <t>N/A</t>
        </is>
      </c>
      <c r="BE435" s="63" t="inlineStr">
        <is>
          <t>N/A</t>
        </is>
      </c>
      <c r="BF435" s="63" t="inlineStr">
        <is>
          <t>N/A</t>
        </is>
      </c>
      <c r="BG435" s="75" t="inlineStr">
        <is>
          <t>China International Capital Corporation Hong Kong Securities Limited; Guotai Junan Capital Limited; BOCOM International (Asia) Limited</t>
        </is>
      </c>
      <c r="BH435" s="63" t="inlineStr">
        <is>
          <t>China International Capital Corporation Hong Kong Securities Limited; BOCOM International (Asia) Limited; Guotai Junan Capital Limited</t>
        </is>
      </c>
      <c r="BI435" s="63"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3" t="inlineStr">
        <is>
          <t>BOCOM International Securities Limited; China International Capital Corporation Hong Kong Securities Limited; Guotai Junan Securities (Hong Kong) Limited</t>
        </is>
      </c>
      <c r="BK435" s="77">
        <f>HYPERLINK("https://www1.hkexnews.hk/listedco/listconews/sehk/2026/0130/2026013000009.pdf","prospectus")</f>
        <v/>
      </c>
      <c r="BL435" s="77">
        <f>HYPERLINK("https://www1.hkexnews.hk/listedco/listconews/sehk/2026/0209/2026020901278.pdf","allotment")</f>
        <v/>
      </c>
      <c r="BM435" s="63" t="n"/>
      <c r="BN435" s="75" t="n"/>
      <c r="BO435" s="63"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275463.7</v>
      </c>
      <c r="R436" s="63" t="inlineStr">
        <is>
          <t>derived:deal size / offer % of enlarged capital</t>
        </is>
      </c>
      <c r="S436" s="69" t="n">
        <v>79.54000000000001</v>
      </c>
      <c r="T436" s="79">
        <f>IF('BBG Verify'!E436="","not filed — run on terminal",'BBG Verify'!E436)</f>
        <v/>
      </c>
      <c r="U436" s="71" t="n">
        <v>43.5</v>
      </c>
      <c r="V436" s="67" t="n">
        <v>1.01</v>
      </c>
      <c r="W436" s="63" t="inlineStr">
        <is>
          <t>Pinpoint; Offshore SP3; Ovata Capital; Millennium ICSA; Oaktree; MY Asian</t>
        </is>
      </c>
      <c r="X436" s="63" t="inlineStr">
        <is>
          <t>pinpoint;offshore;ovata;millennium;oaktree;my</t>
        </is>
      </c>
      <c r="Y436" s="67" t="n">
        <v>15</v>
      </c>
      <c r="Z436" s="63" t="inlineStr">
        <is>
          <t>partial</t>
        </is>
      </c>
      <c r="AA436" s="72" t="n">
        <v>0</v>
      </c>
      <c r="AB436" s="73" t="n">
        <v>1</v>
      </c>
      <c r="AC436" s="73" t="n">
        <v>-0.99</v>
      </c>
      <c r="AD436" s="73" t="n">
        <v>0.61</v>
      </c>
      <c r="AE436" s="73" t="n">
        <v>-9.039999999999999</v>
      </c>
      <c r="AF436" s="73" t="n">
        <v>15.5</v>
      </c>
      <c r="AG436" s="73" t="n">
        <v>0.61</v>
      </c>
      <c r="AH436" s="73" t="n">
        <v>-9.039999999999999</v>
      </c>
      <c r="AI436" s="73" t="n">
        <v>15.5</v>
      </c>
      <c r="AJ436" s="73" t="n">
        <v>1.12</v>
      </c>
      <c r="AK436" s="73" t="n">
        <v>-4.23</v>
      </c>
      <c r="AL436" s="73" t="n">
        <v>24.71</v>
      </c>
      <c r="AM436" s="73" t="n">
        <v>-3.62</v>
      </c>
      <c r="AN436" s="73" t="n">
        <v>-4.81</v>
      </c>
      <c r="AO436" s="73" t="n">
        <v>-5.42</v>
      </c>
      <c r="AP436" s="63" t="inlineStr">
        <is>
          <t>Hang Seng Commerce &amp; Industry sub-index</t>
        </is>
      </c>
      <c r="AQ436" s="73" t="n">
        <v>-33.19</v>
      </c>
      <c r="AR436" s="64" t="inlineStr">
        <is>
          <t>2026-08-20</t>
        </is>
      </c>
      <c r="AS436" s="65" t="n">
        <v>13040.6</v>
      </c>
      <c r="AT436" s="68" t="n"/>
      <c r="AU436" s="63" t="inlineStr">
        <is>
          <t>Y</t>
        </is>
      </c>
      <c r="AV436" s="78">
        <f>IF('BBG Verify'!O436="","not filed — run on terminal",'BBG Verify'!O436)</f>
        <v/>
      </c>
      <c r="AW436" s="74" t="n"/>
      <c r="AX436" s="74" t="n"/>
      <c r="AY436" s="74" t="n">
        <v>21.1</v>
      </c>
      <c r="AZ436" s="75" t="inlineStr">
        <is>
          <t>Y</t>
        </is>
      </c>
      <c r="BA436" s="63" t="inlineStr">
        <is>
          <t>300450.SZ</t>
        </is>
      </c>
      <c r="BB436" s="73" t="n">
        <v>41.82</v>
      </c>
      <c r="BC436" s="66" t="n">
        <v>64.9515</v>
      </c>
      <c r="BD436" s="80" t="n">
        <v>0.2587</v>
      </c>
      <c r="BE436" s="78">
        <f>IF('BBG Verify'!Q436="","run on terminal",'BBG Verify'!Q436)</f>
        <v/>
      </c>
      <c r="BF436" s="78">
        <f>IF('BBG Verify'!R436="","run on terminal",'BBG Verify'!R436)</f>
        <v/>
      </c>
      <c r="BG436" s="75" t="inlineStr">
        <is>
          <t>CITIC Securities (Hong Kong) Limited; J.P. Morgan Securities (Far East) Limited</t>
        </is>
      </c>
      <c r="BH436" s="63" t="inlineStr">
        <is>
          <t>J.P. Morgan Securities (Far East) Limited; CITIC Securities (Hong Kong) Limited</t>
        </is>
      </c>
      <c r="BI436" s="63" t="inlineStr">
        <is>
          <t>CMB International Capital Limited; ICBC International Securities Limited; SPDB International Capital Limited</t>
        </is>
      </c>
      <c r="BJ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7">
        <f>HYPERLINK("https://www1.hkexnews.hk/listedco/listconews/sehk/2026/0203/2026020300009.pdf","prospectus")</f>
        <v/>
      </c>
      <c r="BL436" s="77">
        <f>HYPERLINK("https://www1.hkexnews.hk/listedco/listconews/sehk/2026/0210/2026021001338.pdf","allotment")</f>
        <v/>
      </c>
      <c r="BM436" s="77">
        <f>HYPERLINK("https://www1.hkexnews.hk/listedco/listconews/sehk/2026/0308/2026030800191.pdf","stabilisation")</f>
        <v/>
      </c>
      <c r="BN436" s="75" t="n"/>
      <c r="BO436" s="63" t="inlineStr">
        <is>
          <t>intl sub: subscription level not stated in the filing · P/E: withheld — mktcap / net income gives 875x, which fails the 300x plausibility check; the extracted net income (HK$314.7m) is not trustworthy · range low: cap-only pricing — the filing publishes a Maximum Offer Price and no indicative floor · A/H: Feb 2026 H listing (battery-making equipment) · financials: financial tables not machine-extractable and the pre-IPO year is outside AAStocks' 5-year window</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7" t="n">
        <v>0.49</v>
      </c>
      <c r="W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3" t="inlineStr">
        <is>
          <t>ren-xuyang;yang-zaifei;lc;bai-gmbh;sky;yifang;shi-youcai;yang-juan;wan-pengjiang;hu-song;tal;alternative</t>
        </is>
      </c>
      <c r="Y437" s="67" t="n"/>
      <c r="Z437" s="63" t="n"/>
      <c r="AA437" s="72" t="n">
        <v>242.2</v>
      </c>
      <c r="AB437" s="73" t="n">
        <v>204.14</v>
      </c>
      <c r="AC437" s="73" t="n">
        <v>12.51</v>
      </c>
      <c r="AD437" s="73" t="n">
        <v>298.74</v>
      </c>
      <c r="AE437" s="73" t="n">
        <v>204.69</v>
      </c>
      <c r="AF437" s="73" t="n">
        <v>132.45</v>
      </c>
      <c r="AG437" s="73" t="n">
        <v>16.52</v>
      </c>
      <c r="AH437" s="73" t="n">
        <v>-10.96</v>
      </c>
      <c r="AI437" s="73" t="n">
        <v>-32.07</v>
      </c>
      <c r="AJ437" s="73" t="n">
        <v>301.67</v>
      </c>
      <c r="AK437" s="73" t="n">
        <v>212.53</v>
      </c>
      <c r="AL437" s="73" t="n">
        <v>142.63</v>
      </c>
      <c r="AM437" s="73" t="n">
        <v>-4.09</v>
      </c>
      <c r="AN437" s="73" t="n">
        <v>-7.84</v>
      </c>
      <c r="AO437" s="73" t="n">
        <v>-6.87</v>
      </c>
      <c r="AP437" s="63" t="inlineStr">
        <is>
          <t>HSTECH (Hang Seng TECH ETF)</t>
        </is>
      </c>
      <c r="AQ437" s="73" t="n">
        <v>64.81999999999999</v>
      </c>
      <c r="AR437" s="64" t="inlineStr">
        <is>
          <t>2026-08-20</t>
        </is>
      </c>
      <c r="AS437" s="65" t="n">
        <v>553.4</v>
      </c>
      <c r="AT437" s="68" t="n">
        <v>-103.1</v>
      </c>
      <c r="AU437" s="63" t="inlineStr">
        <is>
          <t>N</t>
        </is>
      </c>
      <c r="AV437" s="63" t="inlineStr">
        <is>
          <t>n/m</t>
        </is>
      </c>
      <c r="AW437" s="74" t="n"/>
      <c r="AX437" s="74" t="n"/>
      <c r="AY437" s="74" t="n">
        <v>19.6</v>
      </c>
      <c r="AZ437" s="75" t="inlineStr">
        <is>
          <t>N</t>
        </is>
      </c>
      <c r="BA437" s="76">
        <f>IF('BBG Verify'!K437="","not filed — run on terminal",'BBG Verify'!K437)</f>
        <v/>
      </c>
      <c r="BB437" s="63" t="inlineStr">
        <is>
          <t>N/A</t>
        </is>
      </c>
      <c r="BC437" s="63" t="inlineStr">
        <is>
          <t>N/A</t>
        </is>
      </c>
      <c r="BD437" s="63" t="inlineStr">
        <is>
          <t>N/A</t>
        </is>
      </c>
      <c r="BE437" s="63" t="inlineStr">
        <is>
          <t>N/A</t>
        </is>
      </c>
      <c r="BF437" s="63" t="inlineStr">
        <is>
          <t>N/A</t>
        </is>
      </c>
      <c r="BG437" s="75" t="inlineStr">
        <is>
          <t>CMB International Capital Limited; BOCI Asia Limited; Shenwan Hongyuan Capital (H.K.) Limited</t>
        </is>
      </c>
      <c r="BH437" s="63" t="inlineStr">
        <is>
          <t>CMB International Capital Limited; BOCI Asia Limited; Shenwan Hongyuan Capital (H.K.) Limited</t>
        </is>
      </c>
      <c r="BI437" s="63"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7">
        <f>HYPERLINK("https://www1.hkexnews.hk/listedco/listconews/sehk/2026/0205/2026020500037.pdf","prospectus")</f>
        <v/>
      </c>
      <c r="BL437" s="77">
        <f>HYPERLINK("https://www1.hkexnews.hk/listedco/listconews/sehk/2026/0212/2026021201324.pdf","allotment")</f>
        <v/>
      </c>
      <c r="BM437" s="63" t="n"/>
      <c r="BN437" s="75" t="n"/>
      <c r="BO437" s="63" t="inlineStr">
        <is>
          <t>P/E: n/m — loss-making at IPO (use P/S) · greenshoe: no over-allotment option in the offer structure · A/H: no A-share listing · greenshoe size: no over-allotment option in the offer structure</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7" t="n">
        <v>6.56</v>
      </c>
      <c r="W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3" t="inlineStr">
        <is>
          <t>hhlr;shanghai-greenwoods;jump;huizhou;jiangxi;shen-zhen;best;rime;scv;yield;guohui;pu;capchem;enhanced;factorial</t>
        </is>
      </c>
      <c r="Y438" s="67" t="n"/>
      <c r="Z438" s="63" t="n"/>
      <c r="AA438" s="72" t="n">
        <v>2.94</v>
      </c>
      <c r="AB438" s="73" t="n">
        <v>0.05</v>
      </c>
      <c r="AC438" s="73" t="n">
        <v>2.89</v>
      </c>
      <c r="AD438" s="73" t="n">
        <v>3.04</v>
      </c>
      <c r="AE438" s="73" t="n">
        <v>1.05</v>
      </c>
      <c r="AF438" s="73" t="n">
        <v>-28.07</v>
      </c>
      <c r="AG438" s="73" t="n">
        <v>0.1</v>
      </c>
      <c r="AH438" s="73" t="n">
        <v>-1.84</v>
      </c>
      <c r="AI438" s="73" t="n">
        <v>-30.12</v>
      </c>
      <c r="AJ438" s="73" t="n">
        <v>4.99</v>
      </c>
      <c r="AK438" s="73" t="n">
        <v>7.19</v>
      </c>
      <c r="AL438" s="73" t="n">
        <v>-18.36</v>
      </c>
      <c r="AM438" s="73" t="n">
        <v>2.93</v>
      </c>
      <c r="AN438" s="73" t="n">
        <v>-6.14</v>
      </c>
      <c r="AO438" s="73" t="n">
        <v>-4.77</v>
      </c>
      <c r="AP438" s="63" t="inlineStr">
        <is>
          <t>Hang Seng Commerce &amp; Industry sub-index</t>
        </is>
      </c>
      <c r="AQ438" s="73" t="n">
        <v>-50.52</v>
      </c>
      <c r="AR438" s="64" t="inlineStr">
        <is>
          <t>2026-08-20</t>
        </is>
      </c>
      <c r="AS438" s="65" t="n">
        <v>7612.1</v>
      </c>
      <c r="AT438" s="68" t="n">
        <v>1012.6</v>
      </c>
      <c r="AU438" s="63" t="inlineStr">
        <is>
          <t>Y</t>
        </is>
      </c>
      <c r="AV438" s="74" t="n">
        <v>27.8</v>
      </c>
      <c r="AW438" s="74" t="n">
        <v>19.9</v>
      </c>
      <c r="AX438" s="74" t="n">
        <v>10.1</v>
      </c>
      <c r="AY438" s="74" t="n">
        <v>3.7</v>
      </c>
      <c r="AZ438" s="75" t="inlineStr">
        <is>
          <t>Y</t>
        </is>
      </c>
      <c r="BA438" s="63" t="inlineStr">
        <is>
          <t>002130.SZ</t>
        </is>
      </c>
      <c r="BB438" s="73" t="n">
        <v>58.6</v>
      </c>
      <c r="BC438" s="66" t="n">
        <v>31.8623</v>
      </c>
      <c r="BD438" s="80" t="n">
        <v>0.9172</v>
      </c>
      <c r="BE438" s="78">
        <f>IF('BBG Verify'!Q438="","run on terminal",'BBG Verify'!Q438)</f>
        <v/>
      </c>
      <c r="BF438" s="78">
        <f>IF('BBG Verify'!R438="","run on terminal",'BBG Verify'!R438)</f>
        <v/>
      </c>
      <c r="BG438" s="75" t="inlineStr">
        <is>
          <t>China Merchants Securities (HK) Co., Limited</t>
        </is>
      </c>
      <c r="BH438" s="63" t="inlineStr">
        <is>
          <t>China Securities (International) Corporate Finance Company Limited; China Merchants Securities (HK) Company Limited</t>
        </is>
      </c>
      <c r="BI438" s="63"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7">
        <f>HYPERLINK("https://www1.hkexnews.hk/listedco/listconews/sehk/2026/0205/2026020500092.htm","prospectus")</f>
        <v/>
      </c>
      <c r="BL438" s="77">
        <f>HYPERLINK("https://www1.hkexnews.hk/listedco/listconews/sehk/2026/0212/2026021201492.pdf","allotment")</f>
        <v/>
      </c>
      <c r="BM438" s="63" t="n"/>
      <c r="BN438" s="75" t="n"/>
      <c r="BO438" s="63"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c r="L439" s="66" t="n">
        <v>17</v>
      </c>
      <c r="M439" s="66" t="n">
        <v>15.36</v>
      </c>
      <c r="N439" s="63" t="inlineStr">
        <is>
          <t>N</t>
        </is>
      </c>
      <c r="O439" s="67" t="n">
        <v>90.40000000000001</v>
      </c>
      <c r="P439" s="67" t="n"/>
      <c r="Q439" s="68" t="n">
        <v>16299.5</v>
      </c>
      <c r="R439" s="63" t="inlineStr">
        <is>
          <t>aastocks:上市市值 at the struck price</t>
        </is>
      </c>
      <c r="S439" s="69" t="n">
        <v>19.67</v>
      </c>
      <c r="T439" s="70" t="n">
        <v>3.34</v>
      </c>
      <c r="U439" s="71" t="n">
        <v>35.1</v>
      </c>
      <c r="V439" s="67" t="n">
        <v>5.92</v>
      </c>
      <c r="W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3" t="inlineStr">
        <is>
          <t>deep;dreamee;haitian;harvest;hengtong;new-fortune;qianhai</t>
        </is>
      </c>
      <c r="Y439" s="67" t="n">
        <v>5.1</v>
      </c>
      <c r="Z439" s="63" t="inlineStr">
        <is>
          <t>lapsed</t>
        </is>
      </c>
      <c r="AA439" s="72" t="n">
        <v>-16.02</v>
      </c>
      <c r="AB439" s="73" t="n">
        <v>0</v>
      </c>
      <c r="AC439" s="73" t="n">
        <v>-16.02</v>
      </c>
      <c r="AD439" s="73" t="n">
        <v>-16.41</v>
      </c>
      <c r="AE439" s="73" t="n">
        <v>-16.73</v>
      </c>
      <c r="AF439" s="73" t="n">
        <v>8.27</v>
      </c>
      <c r="AG439" s="73" t="n">
        <v>-0.46</v>
      </c>
      <c r="AH439" s="73" t="n">
        <v>-0.85</v>
      </c>
      <c r="AI439" s="73" t="n">
        <v>28.92</v>
      </c>
      <c r="AJ439" s="73" t="n">
        <v>-19.76</v>
      </c>
      <c r="AK439" s="73" t="n">
        <v>-15.12</v>
      </c>
      <c r="AL439" s="73" t="n">
        <v>13.98</v>
      </c>
      <c r="AM439" s="73" t="n">
        <v>0.47</v>
      </c>
      <c r="AN439" s="73" t="n">
        <v>-1.61</v>
      </c>
      <c r="AO439" s="73" t="n">
        <v>-1.32</v>
      </c>
      <c r="AP439" s="63" t="inlineStr">
        <is>
          <t>HSTECH (Hang Seng TECH ETF)</t>
        </is>
      </c>
      <c r="AQ439" s="73" t="n">
        <v>16.15</v>
      </c>
      <c r="AR439" s="64" t="inlineStr">
        <is>
          <t>2026-08-21</t>
        </is>
      </c>
      <c r="AS439" s="65" t="n">
        <v>4409.6</v>
      </c>
      <c r="AT439" s="68" t="n">
        <v>-664.6</v>
      </c>
      <c r="AU439" s="63" t="inlineStr">
        <is>
          <t>N</t>
        </is>
      </c>
      <c r="AV439" s="63" t="inlineStr">
        <is>
          <t>n/m</t>
        </is>
      </c>
      <c r="AW439" s="74" t="n">
        <v>210.8</v>
      </c>
      <c r="AX439" s="74" t="n">
        <v>303.5</v>
      </c>
      <c r="AY439" s="74" t="n">
        <v>3.7</v>
      </c>
      <c r="AZ439" s="75" t="inlineStr">
        <is>
          <t>Y</t>
        </is>
      </c>
      <c r="BA439" s="63" t="inlineStr">
        <is>
          <t>002747.SZ</t>
        </is>
      </c>
      <c r="BB439" s="73" t="n">
        <v>64.04000000000001</v>
      </c>
      <c r="BC439" s="66" t="n">
        <v>25.1964</v>
      </c>
      <c r="BD439" s="80" t="n">
        <v>1.14</v>
      </c>
      <c r="BE439" s="78">
        <f>IF('BBG Verify'!Q439="","run on terminal",'BBG Verify'!Q439)</f>
        <v/>
      </c>
      <c r="BF439" s="78">
        <f>IF('BBG Verify'!R439="","run on terminal",'BBG Verify'!R439)</f>
        <v/>
      </c>
      <c r="BG439" s="75" t="inlineStr">
        <is>
          <t>Huatai Financial Holdings (Hong Kong) Limited</t>
        </is>
      </c>
      <c r="BH439" s="63" t="inlineStr">
        <is>
          <t>Huatai Financial Holdings (Hong Kong) Limited</t>
        </is>
      </c>
      <c r="BI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7">
        <f>HYPERLINK("https://www1.hkexnews.hk/listedco/listconews/sehk/2026/0227/2026022700017.pdf","prospectus")</f>
        <v/>
      </c>
      <c r="BL439" s="77">
        <f>HYPERLINK("https://www1.hkexnews.hk/listedco/listconews/sehk/2026/0306/2026030601391.pdf","allotment")</f>
        <v/>
      </c>
      <c r="BM439" s="77">
        <f>HYPERLINK("https://www1.hkexnews.hk/listedco/listconews/sehk/2026/0407/2026040700049.pdf","stabilisation")</f>
        <v/>
      </c>
      <c r="BN439" s="75" t="n"/>
      <c r="BO439" s="63"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c r="L440" s="66" t="n">
        <v>11</v>
      </c>
      <c r="M440" s="66" t="n">
        <v>11</v>
      </c>
      <c r="N440" s="63" t="inlineStr">
        <is>
          <t>Y</t>
        </is>
      </c>
      <c r="O440" s="67" t="n">
        <v>100</v>
      </c>
      <c r="P440" s="67" t="n"/>
      <c r="Q440" s="68" t="n">
        <v>993.7</v>
      </c>
      <c r="R440" s="63" t="inlineStr">
        <is>
          <t>derived:price x shares upon listing</t>
        </is>
      </c>
      <c r="S440" s="69" t="n">
        <v>5297.23</v>
      </c>
      <c r="T440" s="70" t="n">
        <v>4.2</v>
      </c>
      <c r="U440" s="71" t="n">
        <v>0</v>
      </c>
      <c r="V440" s="67" t="n">
        <v>22.51</v>
      </c>
      <c r="W440" s="63" t="n"/>
      <c r="X440" s="63" t="n"/>
      <c r="Y440" s="67" t="n">
        <v>15</v>
      </c>
      <c r="Z440" s="63" t="n"/>
      <c r="AA440" s="72" t="n">
        <v>-43.64</v>
      </c>
      <c r="AB440" s="73" t="n">
        <v>-31.82</v>
      </c>
      <c r="AC440" s="73" t="n">
        <v>-17.34</v>
      </c>
      <c r="AD440" s="73" t="n">
        <v>-53.09</v>
      </c>
      <c r="AE440" s="73" t="n">
        <v>-64.55</v>
      </c>
      <c r="AF440" s="73" t="n">
        <v>-64.55</v>
      </c>
      <c r="AG440" s="73" t="n">
        <v>-16.77</v>
      </c>
      <c r="AH440" s="73" t="n">
        <v>-37.1</v>
      </c>
      <c r="AI440" s="73" t="n">
        <v>-37.1</v>
      </c>
      <c r="AJ440" s="73" t="n">
        <v>-55.39</v>
      </c>
      <c r="AK440" s="73" t="n">
        <v>-63.77</v>
      </c>
      <c r="AL440" s="73" t="n">
        <v>-55.82</v>
      </c>
      <c r="AM440" s="73" t="n">
        <v>-37.03</v>
      </c>
      <c r="AN440" s="73" t="n">
        <v>-0.78</v>
      </c>
      <c r="AO440" s="73" t="n">
        <v>-0.07000000000000001</v>
      </c>
      <c r="AP440" s="63" t="inlineStr">
        <is>
          <t>Hang Seng Commerce &amp; Industry sub-index</t>
        </is>
      </c>
      <c r="AQ440" s="73" t="n">
        <v>-64.55</v>
      </c>
      <c r="AR440" s="64" t="inlineStr">
        <is>
          <t>2026-08-21</t>
        </is>
      </c>
      <c r="AS440" s="65" t="n">
        <v>921.4</v>
      </c>
      <c r="AT440" s="68" t="n">
        <v>55.8</v>
      </c>
      <c r="AU440" s="63" t="inlineStr">
        <is>
          <t>Y</t>
        </is>
      </c>
      <c r="AV440" s="74" t="n">
        <v>17.8</v>
      </c>
      <c r="AW440" s="74" t="n"/>
      <c r="AX440" s="74" t="n"/>
      <c r="AY440" s="74" t="n">
        <v>1.1</v>
      </c>
      <c r="AZ440" s="75" t="inlineStr">
        <is>
          <t>N</t>
        </is>
      </c>
      <c r="BA440" s="76">
        <f>IF('BBG Verify'!K440="","not filed — run on terminal",'BBG Verify'!K440)</f>
        <v/>
      </c>
      <c r="BB440" s="63" t="inlineStr">
        <is>
          <t>N/A</t>
        </is>
      </c>
      <c r="BC440" s="63" t="inlineStr">
        <is>
          <t>N/A</t>
        </is>
      </c>
      <c r="BD440" s="63" t="inlineStr">
        <is>
          <t>N/A</t>
        </is>
      </c>
      <c r="BE440" s="63" t="inlineStr">
        <is>
          <t>N/A</t>
        </is>
      </c>
      <c r="BF440" s="63" t="inlineStr">
        <is>
          <t>N/A</t>
        </is>
      </c>
      <c r="BG440" s="75" t="inlineStr">
        <is>
          <t>China Securities (International) Corporate Finance Company Limited</t>
        </is>
      </c>
      <c r="BH440" s="63" t="inlineStr">
        <is>
          <t>China Securities (International) Corporate Finance Company Limited</t>
        </is>
      </c>
      <c r="BI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7">
        <f>HYPERLINK("https://www1.hkexnews.hk/listedco/listconews/sehk/2026/0227/2026022700013.pdf","prospectus")</f>
        <v/>
      </c>
      <c r="BL440" s="77">
        <f>HYPERLINK("https://www1.hkexnews.hk/listedco/listconews/sehk/2026/0306/2026030601405.pdf","allotment")</f>
        <v/>
      </c>
      <c r="BM440" s="63" t="n"/>
      <c r="BN440" s="75" t="n"/>
      <c r="BO440"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7" t="n">
        <v>6.58</v>
      </c>
      <c r="W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3" t="inlineStr">
        <is>
          <t>beingboom;bridge;cmbc;da;factorial;gf;hengbang;hhlr;jump;main;mirae;mr-he;mr-luo;oakwise;perseverance;rime;suzhou;topstar;vvc;investment-company</t>
        </is>
      </c>
      <c r="Y441" s="67" t="n"/>
      <c r="Z441" s="63" t="n"/>
      <c r="AA441" s="72" t="n">
        <v>2.41</v>
      </c>
      <c r="AB441" s="73" t="n">
        <v>9.43</v>
      </c>
      <c r="AC441" s="73" t="n">
        <v>-6.42</v>
      </c>
      <c r="AD441" s="73" t="n">
        <v>11.39</v>
      </c>
      <c r="AE441" s="73" t="n">
        <v>-7.48</v>
      </c>
      <c r="AF441" s="73" t="n">
        <v>-13.09</v>
      </c>
      <c r="AG441" s="73" t="n">
        <v>8.77</v>
      </c>
      <c r="AH441" s="73" t="n">
        <v>-9.66</v>
      </c>
      <c r="AI441" s="73" t="n">
        <v>-15.14</v>
      </c>
      <c r="AJ441" s="73" t="n">
        <v>9.09</v>
      </c>
      <c r="AK441" s="73" t="n">
        <v>-6.7</v>
      </c>
      <c r="AL441" s="73" t="n">
        <v>-4.36</v>
      </c>
      <c r="AM441" s="73" t="n">
        <v>-9.59</v>
      </c>
      <c r="AN441" s="73" t="n">
        <v>-0.78</v>
      </c>
      <c r="AO441" s="73" t="n">
        <v>-0.07000000000000001</v>
      </c>
      <c r="AP441" s="63" t="inlineStr">
        <is>
          <t>Hang Seng Commerce &amp; Industry sub-index</t>
        </is>
      </c>
      <c r="AQ441" s="73" t="n">
        <v>-39.96</v>
      </c>
      <c r="AR441" s="64" t="inlineStr">
        <is>
          <t>2026-08-21</t>
        </is>
      </c>
      <c r="AS441" s="65" t="n">
        <v>1677.1</v>
      </c>
      <c r="AT441" s="68" t="n">
        <v>248</v>
      </c>
      <c r="AU441" s="63" t="inlineStr">
        <is>
          <t>Y</t>
        </is>
      </c>
      <c r="AV441" s="74" t="n">
        <v>76.90000000000001</v>
      </c>
      <c r="AW441" s="74" t="n">
        <v>61</v>
      </c>
      <c r="AX441" s="74" t="n">
        <v>45</v>
      </c>
      <c r="AY441" s="74" t="n">
        <v>11.4</v>
      </c>
      <c r="AZ441" s="75" t="inlineStr">
        <is>
          <t>Y</t>
        </is>
      </c>
      <c r="BA441" s="63" t="inlineStr">
        <is>
          <t>003021.SZ</t>
        </is>
      </c>
      <c r="BB441" s="73" t="n">
        <v>87.19</v>
      </c>
      <c r="BC441" s="66" t="n">
        <v>133.4288</v>
      </c>
      <c r="BD441" s="80" t="n">
        <v>0.8776</v>
      </c>
      <c r="BE441" s="78">
        <f>IF('BBG Verify'!Q441="","run on terminal",'BBG Verify'!Q441)</f>
        <v/>
      </c>
      <c r="BF441" s="78">
        <f>IF('BBG Verify'!R441="","run on terminal",'BBG Verify'!R441)</f>
        <v/>
      </c>
      <c r="BG441" s="75" t="inlineStr">
        <is>
          <t>China Merchants Securities (HK) Co., Limited; Deutsche Securities Asia Limited</t>
        </is>
      </c>
      <c r="BH441" s="63" t="inlineStr">
        <is>
          <t>Deutsche Securities Asia Limited; China Merchants Securities (HK) Company Limited</t>
        </is>
      </c>
      <c r="BI441" s="63" t="inlineStr">
        <is>
          <t>China Merchants Securities (HK) Co., Limited; Deutsche Bank AG, Hong Kong Branch; CLSA Limited; ABCI Capital Limited; BOCOM International Securities Limited; Futu Securities International (Hong Kong) Limited; Y ellow River Securities Limited</t>
        </is>
      </c>
      <c r="BJ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7">
        <f>HYPERLINK("https://www1.hkexnews.hk/listedco/listconews/sehk/2026/0227/2026022700015.pdf","prospectus")</f>
        <v/>
      </c>
      <c r="BL441" s="77">
        <f>HYPERLINK("https://www1.hkexnews.hk/listedco/listconews/sehk/2026/0306/2026030601575.pdf","allotment")</f>
        <v/>
      </c>
      <c r="BM441" s="63" t="n"/>
      <c r="BN441" s="75" t="n"/>
      <c r="BO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7" t="n">
        <v>7.72</v>
      </c>
      <c r="W442" s="63" t="inlineStr">
        <is>
          <t>China Winning Limited; Jinyi Capital Multi-Strategy Fund SPC Ltd; Meiko Elec. Hong Kong Co., Limited; Mr. Chau Tsang Cheong; Open Wealth Management Limited; Streamax Electronics Limited</t>
        </is>
      </c>
      <c r="X442" s="63" t="inlineStr">
        <is>
          <t>winning;jinyi;meiko;mr-chau;open;streamax</t>
        </is>
      </c>
      <c r="Y442" s="67" t="n"/>
      <c r="Z442" s="63" t="n"/>
      <c r="AA442" s="72" t="n">
        <v>1.52</v>
      </c>
      <c r="AB442" s="73" t="n">
        <v>0.62</v>
      </c>
      <c r="AC442" s="73" t="n">
        <v>0.89</v>
      </c>
      <c r="AD442" s="73" t="n">
        <v>-10.05</v>
      </c>
      <c r="AE442" s="73" t="n">
        <v>-20.03</v>
      </c>
      <c r="AF442" s="73" t="n">
        <v>-29.11</v>
      </c>
      <c r="AG442" s="73" t="n">
        <v>-11.4</v>
      </c>
      <c r="AH442" s="73" t="n">
        <v>-21.23</v>
      </c>
      <c r="AI442" s="73" t="n">
        <v>-30.17</v>
      </c>
      <c r="AJ442" s="73" t="n">
        <v>-13.7</v>
      </c>
      <c r="AK442" s="73" t="n">
        <v>-18</v>
      </c>
      <c r="AL442" s="73" t="n">
        <v>-24.71</v>
      </c>
      <c r="AM442" s="73" t="n">
        <v>-16.75</v>
      </c>
      <c r="AN442" s="73" t="n">
        <v>-2.03</v>
      </c>
      <c r="AO442" s="73" t="n">
        <v>-4.48</v>
      </c>
      <c r="AP442" s="63" t="inlineStr">
        <is>
          <t>HSTECH (Hang Seng TECH ETF)</t>
        </is>
      </c>
      <c r="AQ442" s="73" t="n">
        <v>-37.98</v>
      </c>
      <c r="AR442" s="64" t="inlineStr">
        <is>
          <t>2026-08-20</t>
        </is>
      </c>
      <c r="AS442" s="65" t="n">
        <v>3235.5</v>
      </c>
      <c r="AT442" s="68" t="n">
        <v>147.8</v>
      </c>
      <c r="AU442" s="63" t="inlineStr">
        <is>
          <t>Y</t>
        </is>
      </c>
      <c r="AV442" s="74" t="n">
        <v>59</v>
      </c>
      <c r="AW442" s="74" t="n">
        <v>47.3</v>
      </c>
      <c r="AX442" s="74" t="n">
        <v>28.6</v>
      </c>
      <c r="AY442" s="74" t="n">
        <v>2.7</v>
      </c>
      <c r="AZ442" s="75" t="inlineStr">
        <is>
          <t>Y</t>
        </is>
      </c>
      <c r="BA442" s="63" t="inlineStr">
        <is>
          <t>002881.SZ</t>
        </is>
      </c>
      <c r="BB442" s="73" t="n">
        <v>92.41</v>
      </c>
      <c r="BC442" s="66" t="n">
        <v>55.5283</v>
      </c>
      <c r="BD442" s="80" t="n">
        <v>1.5195</v>
      </c>
      <c r="BE442" s="78">
        <f>IF('BBG Verify'!Q442="","run on terminal",'BBG Verify'!Q442)</f>
        <v/>
      </c>
      <c r="BF442" s="78">
        <f>IF('BBG Verify'!R442="","run on terminal",'BBG Verify'!R442)</f>
        <v/>
      </c>
      <c r="BG442" s="75" t="inlineStr">
        <is>
          <t>China International Capital Corporation Hong Kong Securities Limited</t>
        </is>
      </c>
      <c r="BH442" s="63" t="inlineStr">
        <is>
          <t>China International Capital Corporation Hong Kong Securities Limited</t>
        </is>
      </c>
      <c r="BI442" s="63" t="inlineStr">
        <is>
          <t>China International Capital Corporation Hong Kong Securities Limited; BNP Paribas Securities (Asia) Limited; Futu Securities International (Hong Kong) Limited; Tiger Brokers (HK) Global Limited; Open Securities Limited</t>
        </is>
      </c>
      <c r="BJ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7">
        <f>HYPERLINK("https://www1.hkexnews.hk/listedco/listconews/sehk/2026/0227/2026022700019.pdf","prospectus")</f>
        <v/>
      </c>
      <c r="BL442" s="77">
        <f>HYPERLINK("https://www1.hkexnews.hk/listedco/listconews/sehk/2026/0309/2026030901426.pdf","allotment")</f>
        <v/>
      </c>
      <c r="BM442" s="63" t="n"/>
      <c r="BN442" s="75" t="n"/>
      <c r="BO442" s="63"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7" t="n">
        <v>5.36</v>
      </c>
      <c r="W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3" t="inlineStr">
        <is>
          <t>baring;cpe;dajia;eastspring;greater;greenwoods;icbc;my;ubs;value</t>
        </is>
      </c>
      <c r="Y443" s="67" t="n"/>
      <c r="Z443" s="63" t="n"/>
      <c r="AA443" s="72" t="n">
        <v>33.56</v>
      </c>
      <c r="AB443" s="73" t="n">
        <v>32.23</v>
      </c>
      <c r="AC443" s="73" t="n">
        <v>1.01</v>
      </c>
      <c r="AD443" s="73" t="n">
        <v>35.99</v>
      </c>
      <c r="AE443" s="73" t="n">
        <v>111.32</v>
      </c>
      <c r="AF443" s="73" t="n">
        <v>163.63</v>
      </c>
      <c r="AG443" s="73" t="n">
        <v>1.82</v>
      </c>
      <c r="AH443" s="73" t="n">
        <v>58.22</v>
      </c>
      <c r="AI443" s="73" t="n">
        <v>97.39</v>
      </c>
      <c r="AJ443" s="73" t="n">
        <v>40.09</v>
      </c>
      <c r="AK443" s="73" t="n">
        <v>113.82</v>
      </c>
      <c r="AL443" s="73" t="n">
        <v>174.9</v>
      </c>
      <c r="AM443" s="73" t="n">
        <v>58.48</v>
      </c>
      <c r="AN443" s="73" t="n">
        <v>-2.5</v>
      </c>
      <c r="AO443" s="73" t="n">
        <v>-0.26</v>
      </c>
      <c r="AP443" s="63" t="inlineStr">
        <is>
          <t>HSTECH (Hang Seng TECH ETF)</t>
        </is>
      </c>
      <c r="AQ443" s="73" t="n">
        <v>71.12</v>
      </c>
      <c r="AR443" s="64" t="inlineStr">
        <is>
          <t>2026-08-20</t>
        </is>
      </c>
      <c r="AS443" s="65" t="n">
        <v>4107.7</v>
      </c>
      <c r="AT443" s="68" t="n">
        <v>743.7</v>
      </c>
      <c r="AU443" s="63" t="inlineStr">
        <is>
          <t>Y</t>
        </is>
      </c>
      <c r="AV443" s="74" t="n">
        <v>45.7</v>
      </c>
      <c r="AW443" s="74" t="n">
        <v>35.4</v>
      </c>
      <c r="AX443" s="74" t="n">
        <v>38.1</v>
      </c>
      <c r="AY443" s="74" t="n">
        <v>8.300000000000001</v>
      </c>
      <c r="AZ443" s="75" t="inlineStr">
        <is>
          <t>Y</t>
        </is>
      </c>
      <c r="BA443" s="63" t="inlineStr">
        <is>
          <t>001389.SZ</t>
        </is>
      </c>
      <c r="BB443" s="73" t="n">
        <v>83.56</v>
      </c>
      <c r="BC443" s="66" t="n">
        <v>131.9413</v>
      </c>
      <c r="BD443" s="80" t="n">
        <v>0.3763</v>
      </c>
      <c r="BE443" s="78">
        <f>IF('BBG Verify'!Q443="","run on terminal",'BBG Verify'!Q443)</f>
        <v/>
      </c>
      <c r="BF443" s="78">
        <f>IF('BBG Verify'!R443="","run on terminal",'BBG Verify'!R443)</f>
        <v/>
      </c>
      <c r="BG443" s="75" t="inlineStr">
        <is>
          <t>CITIC Securities (Hong Kong) Limited; HSBC Corporate Finance (Hong Kong) Limited</t>
        </is>
      </c>
      <c r="BH443" s="63" t="inlineStr">
        <is>
          <t>CITIC Securities (Hong Kong) Limited</t>
        </is>
      </c>
      <c r="BI443" s="63" t="inlineStr">
        <is>
          <t>CLSA Limited; GF Securities (Hong Kong) Brokerage Limited; Guolian Securities International Capital Market Co., Limited; Huatai Financial Holdings (Hong Kong) Limited; The Hongkong and Shanghai Banking Corporation Limited</t>
        </is>
      </c>
      <c r="BJ443" s="63" t="inlineStr">
        <is>
          <t>CLSA Limited; GF Securities (Hong Kong) Brokerage Limited; Guolian Securities International Capital Market Co., Limited; Huatai Financial Holdings (Hong Kong) Limited; The Hongkong and Shanghai Banking Corporation Limited</t>
        </is>
      </c>
      <c r="BK443" s="77">
        <f>HYPERLINK("https://www1.hkexnews.hk/listedco/listconews/sehk/2026/0312/2026031200003.pdf","prospectus")</f>
        <v/>
      </c>
      <c r="BL443" s="77">
        <f>HYPERLINK("https://www1.hkexnews.hk/listedco/listconews/sehk/2026/0319/2026031901556.pdf","allotment")</f>
        <v/>
      </c>
      <c r="BM443" s="63" t="n"/>
      <c r="BN443" s="75" t="n"/>
      <c r="BO443" s="63"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7" t="n">
        <v>12.1</v>
      </c>
      <c r="W444" s="63" t="inlineStr">
        <is>
          <t>Guohua Life Insurance Co., Ltd; Harvest Oriental II SP; Mr. An Jiangbo; Ms. Christine Tai; Sunwoda Treasury (Hong Kong) Limited</t>
        </is>
      </c>
      <c r="X444" s="63" t="inlineStr">
        <is>
          <t>guohua;harvest;mr-an;ms-christine;sunwoda</t>
        </is>
      </c>
      <c r="Y444" s="67" t="n"/>
      <c r="Z444" s="63" t="n"/>
      <c r="AA444" s="72" t="n">
        <v>4.17</v>
      </c>
      <c r="AB444" s="73" t="n">
        <v>32.41</v>
      </c>
      <c r="AC444" s="73" t="n">
        <v>-21.33</v>
      </c>
      <c r="AD444" s="73" t="n">
        <v>21.11</v>
      </c>
      <c r="AE444" s="73" t="n">
        <v>14.54</v>
      </c>
      <c r="AF444" s="73" t="n">
        <v>17.78</v>
      </c>
      <c r="AG444" s="73" t="n">
        <v>16.26</v>
      </c>
      <c r="AH444" s="73" t="n">
        <v>9.949999999999999</v>
      </c>
      <c r="AI444" s="73" t="n">
        <v>13.07</v>
      </c>
      <c r="AJ444" s="73" t="n">
        <v>24.88</v>
      </c>
      <c r="AK444" s="73" t="n">
        <v>13.91</v>
      </c>
      <c r="AL444" s="73" t="n">
        <v>30.15</v>
      </c>
      <c r="AM444" s="73" t="n">
        <v>5.74</v>
      </c>
      <c r="AN444" s="73" t="n">
        <v>0.63</v>
      </c>
      <c r="AO444" s="73" t="n">
        <v>4.21</v>
      </c>
      <c r="AP444" s="63" t="inlineStr">
        <is>
          <t>HSTECH (Hang Seng TECH ETF)</t>
        </is>
      </c>
      <c r="AQ444" s="73" t="n">
        <v>-18.1</v>
      </c>
      <c r="AR444" s="64" t="inlineStr">
        <is>
          <t>2026-08-21</t>
        </is>
      </c>
      <c r="AS444" s="65" t="n">
        <v>1284.3</v>
      </c>
      <c r="AT444" s="68" t="n">
        <v>-281.3</v>
      </c>
      <c r="AU444" s="63" t="inlineStr">
        <is>
          <t>N</t>
        </is>
      </c>
      <c r="AV444" s="63" t="inlineStr">
        <is>
          <t>n/m</t>
        </is>
      </c>
      <c r="AW444" s="74" t="n"/>
      <c r="AX444" s="74" t="n"/>
      <c r="AY444" s="74" t="n">
        <v>5.7</v>
      </c>
      <c r="AZ444" s="75" t="inlineStr">
        <is>
          <t>Y</t>
        </is>
      </c>
      <c r="BA444" s="63" t="inlineStr">
        <is>
          <t>300077.SZ</t>
        </is>
      </c>
      <c r="BB444" s="73" t="n">
        <v>128.98</v>
      </c>
      <c r="BC444" s="66" t="n">
        <v>24.7297</v>
      </c>
      <c r="BD444" s="80" t="n">
        <v>1.6441</v>
      </c>
      <c r="BE444" s="78">
        <f>IF('BBG Verify'!Q444="","run on terminal",'BBG Verify'!Q444)</f>
        <v/>
      </c>
      <c r="BF444" s="78">
        <f>IF('BBG Verify'!R444="","run on terminal",'BBG Verify'!R444)</f>
        <v/>
      </c>
      <c r="BG444" s="75" t="inlineStr">
        <is>
          <t>CITIC Securities (Hong Kong) Limited</t>
        </is>
      </c>
      <c r="BH444" s="63" t="inlineStr">
        <is>
          <t>CITIC Securities (Hong Kong) Limited</t>
        </is>
      </c>
      <c r="BI444" s="63" t="inlineStr">
        <is>
          <t>CLSA Limited; BOCOM International Securities Limited; SPDB International Capital Limited; Jinluo Securities Limited</t>
        </is>
      </c>
      <c r="BJ444" s="63" t="inlineStr">
        <is>
          <t>BOCOM International Securities Limited; CLSA Limited; Futu Securities International (Hong Kong) Limited; Jinluo Securities Limited; SPDB International Capital Limited</t>
        </is>
      </c>
      <c r="BK444" s="77">
        <f>HYPERLINK("https://www1.hkexnews.hk/listedco/listconews/sehk/2026/0313/2026031300049.pdf","prospectus")</f>
        <v/>
      </c>
      <c r="BL444" s="77">
        <f>HYPERLINK("https://www1.hkexnews.hk/listedco/listconews/sehk/2026/0320/2026032001594.pdf","allotment")</f>
        <v/>
      </c>
      <c r="BM444" s="63" t="n"/>
      <c r="BN444" s="75" t="n"/>
      <c r="BO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7" t="n">
        <v>5.77</v>
      </c>
      <c r="W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3" t="inlineStr">
        <is>
          <t>aether;caitong;foresight;gf;great-development;hao;scgc;wider;wt</t>
        </is>
      </c>
      <c r="Y445" s="67" t="n">
        <v>15</v>
      </c>
      <c r="Z445" s="63" t="n"/>
      <c r="AA445" s="72" t="n">
        <v>13.46</v>
      </c>
      <c r="AB445" s="73" t="n">
        <v>34.62</v>
      </c>
      <c r="AC445" s="73" t="n">
        <v>-15.72</v>
      </c>
      <c r="AD445" s="73" t="n">
        <v>3.94</v>
      </c>
      <c r="AE445" s="73" t="n">
        <v>7.5</v>
      </c>
      <c r="AF445" s="73" t="n">
        <v>-13.99</v>
      </c>
      <c r="AG445" s="73" t="n">
        <v>-8.390000000000001</v>
      </c>
      <c r="AH445" s="73" t="n">
        <v>-5.25</v>
      </c>
      <c r="AI445" s="73" t="n">
        <v>-24.19</v>
      </c>
      <c r="AJ445" s="73" t="n">
        <v>7.71</v>
      </c>
      <c r="AK445" s="73" t="n">
        <v>6.87</v>
      </c>
      <c r="AL445" s="73" t="n">
        <v>-1.62</v>
      </c>
      <c r="AM445" s="73" t="n">
        <v>-9.460000000000001</v>
      </c>
      <c r="AN445" s="73" t="n">
        <v>0.63</v>
      </c>
      <c r="AO445" s="73" t="n">
        <v>4.21</v>
      </c>
      <c r="AP445" s="63" t="inlineStr">
        <is>
          <t>HSTECH (Hang Seng TECH ETF)</t>
        </is>
      </c>
      <c r="AQ445" s="73" t="n">
        <v>-6.49</v>
      </c>
      <c r="AR445" s="64" t="inlineStr">
        <is>
          <t>2026-08-21</t>
        </is>
      </c>
      <c r="AS445" s="65" t="n">
        <v>2873</v>
      </c>
      <c r="AT445" s="68" t="n">
        <v>437</v>
      </c>
      <c r="AU445" s="63" t="inlineStr">
        <is>
          <t>Y</t>
        </is>
      </c>
      <c r="AV445" s="74" t="n">
        <v>38.1</v>
      </c>
      <c r="AW445" s="74" t="n"/>
      <c r="AX445" s="74" t="n"/>
      <c r="AY445" s="74" t="n">
        <v>5.8</v>
      </c>
      <c r="AZ445" s="75" t="inlineStr">
        <is>
          <t>N</t>
        </is>
      </c>
      <c r="BA445" s="76">
        <f>IF('BBG Verify'!K445="","not filed — run on terminal",'BBG Verify'!K445)</f>
        <v/>
      </c>
      <c r="BB445" s="63" t="inlineStr">
        <is>
          <t>N/A</t>
        </is>
      </c>
      <c r="BC445" s="63" t="inlineStr">
        <is>
          <t>N/A</t>
        </is>
      </c>
      <c r="BD445" s="63" t="inlineStr">
        <is>
          <t>N/A</t>
        </is>
      </c>
      <c r="BE445" s="63" t="inlineStr">
        <is>
          <t>N/A</t>
        </is>
      </c>
      <c r="BF445" s="63" t="inlineStr">
        <is>
          <t>N/A</t>
        </is>
      </c>
      <c r="BG445" s="75" t="n"/>
      <c r="BH445" s="63" t="inlineStr">
        <is>
          <t>China International Capital Corporation Hong Kong Securities Limited; China Securities (International) Corporate Finance Company Limited; China Merchants Securities (HK) Company Limited</t>
        </is>
      </c>
      <c r="BI445" s="63"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7">
        <f>HYPERLINK("https://www1.hkexnews.hk/listedco/listconews/sehk/2026/0313/2026031300015.pdf","prospectus")</f>
        <v/>
      </c>
      <c r="BL445" s="77">
        <f>HYPERLINK("https://www1.hkexnews.hk/listedco/listconews/sehk/2026/0320/2026032001750.pdf","allotment")</f>
        <v/>
      </c>
      <c r="BM445" s="63" t="n"/>
      <c r="BN445" s="75" t="n"/>
      <c r="BO445" s="63"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7" t="n">
        <v>8.6</v>
      </c>
      <c r="W446" s="63" t="n"/>
      <c r="X446" s="63" t="n"/>
      <c r="Y446" s="67" t="n">
        <v>8.800000000000001</v>
      </c>
      <c r="Z446" s="63" t="inlineStr">
        <is>
          <t>lapsed (no over-allocation)</t>
        </is>
      </c>
      <c r="AA446" s="72" t="n">
        <v>84.27</v>
      </c>
      <c r="AB446" s="73" t="n">
        <v>92.08</v>
      </c>
      <c r="AC446" s="73" t="n">
        <v>-4.07</v>
      </c>
      <c r="AD446" s="73" t="n">
        <v>80.19</v>
      </c>
      <c r="AE446" s="73" t="n">
        <v>126.29</v>
      </c>
      <c r="AF446" s="73" t="n">
        <v>79.34999999999999</v>
      </c>
      <c r="AG446" s="73" t="n">
        <v>-2.21</v>
      </c>
      <c r="AH446" s="73" t="n">
        <v>22.8</v>
      </c>
      <c r="AI446" s="73" t="n">
        <v>-2.67</v>
      </c>
      <c r="AJ446" s="73" t="n">
        <v>81.41</v>
      </c>
      <c r="AK446" s="73" t="n">
        <v>121.43</v>
      </c>
      <c r="AL446" s="73" t="n">
        <v>85.81999999999999</v>
      </c>
      <c r="AM446" s="73" t="n">
        <v>20.43</v>
      </c>
      <c r="AN446" s="73" t="n">
        <v>4.86</v>
      </c>
      <c r="AO446" s="73" t="n">
        <v>2.37</v>
      </c>
      <c r="AP446" s="63" t="inlineStr">
        <is>
          <t>HSTECH (Hang Seng TECH ETF)</t>
        </is>
      </c>
      <c r="AQ446" s="73" t="n">
        <v>114.29</v>
      </c>
      <c r="AR446" s="64" t="inlineStr">
        <is>
          <t>2026-08-20</t>
        </is>
      </c>
      <c r="AS446" s="65" t="n">
        <v>793.6</v>
      </c>
      <c r="AT446" s="68" t="n">
        <v>-195.9</v>
      </c>
      <c r="AU446" s="63" t="inlineStr">
        <is>
          <t>N</t>
        </is>
      </c>
      <c r="AV446" s="63" t="inlineStr">
        <is>
          <t>n/m</t>
        </is>
      </c>
      <c r="AW446" s="74" t="n"/>
      <c r="AX446" s="74" t="n"/>
      <c r="AY446" s="74" t="n">
        <v>9</v>
      </c>
      <c r="AZ446" s="75" t="inlineStr">
        <is>
          <t>N</t>
        </is>
      </c>
      <c r="BA446" s="76">
        <f>IF('BBG Verify'!K446="","not filed — run on terminal",'BBG Verify'!K446)</f>
        <v/>
      </c>
      <c r="BB446" s="63" t="inlineStr">
        <is>
          <t>N/A</t>
        </is>
      </c>
      <c r="BC446" s="63" t="inlineStr">
        <is>
          <t>N/A</t>
        </is>
      </c>
      <c r="BD446" s="63" t="inlineStr">
        <is>
          <t>N/A</t>
        </is>
      </c>
      <c r="BE446" s="63" t="inlineStr">
        <is>
          <t>N/A</t>
        </is>
      </c>
      <c r="BF446" s="63" t="inlineStr">
        <is>
          <t>N/A</t>
        </is>
      </c>
      <c r="BG446" s="75" t="inlineStr">
        <is>
          <t>Guotai Junan Capital Limited; CITIC Securities (Hong Kong) Limited</t>
        </is>
      </c>
      <c r="BH446" s="63" t="inlineStr">
        <is>
          <t>CITIC Securities (Hong Kong) Limited; Guotai Junan Capital Limited</t>
        </is>
      </c>
      <c r="BI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7">
        <f>HYPERLINK("https://www1.hkexnews.hk/listedco/listconews/sehk/2026/0316/2026031600013.pdf","prospectus")</f>
        <v/>
      </c>
      <c r="BL446" s="77">
        <f>HYPERLINK("https://www1.hkexnews.hk/listedco/listconews/sehk/2026/0323/2026032301408.pdf","allotment")</f>
        <v/>
      </c>
      <c r="BM446" s="77">
        <f>HYPERLINK("https://www1.hkexnews.hk/listedco/listconews/sehk/2026/0420/2026042000237.pdf","stabilisation")</f>
        <v/>
      </c>
      <c r="BN446" s="75" t="n"/>
      <c r="BO446" s="63" t="inlineStr">
        <is>
          <t>P/E: n/m — loss-making at IPO (use P/S) · range low: cap-only pricing — the filing publishes a Maximum Offer Price and no indicative floor · A/H: no A-share listing · cornerstone list: no cornerstone tranche in this deal</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7" t="n">
        <v>11.03</v>
      </c>
      <c r="W447" s="63" t="inlineStr">
        <is>
          <t>Yingke No.1 (Hongkong) Limited</t>
        </is>
      </c>
      <c r="X447" s="63" t="inlineStr">
        <is>
          <t>yingke</t>
        </is>
      </c>
      <c r="Y447" s="67" t="n"/>
      <c r="Z447" s="63" t="n"/>
      <c r="AA447" s="72" t="n">
        <v>-36.92</v>
      </c>
      <c r="AB447" s="73" t="n">
        <v>-0.68</v>
      </c>
      <c r="AC447" s="73" t="n">
        <v>-36.49</v>
      </c>
      <c r="AD447" s="73" t="n">
        <v>1.81</v>
      </c>
      <c r="AE447" s="73" t="n">
        <v>94.12</v>
      </c>
      <c r="AF447" s="73" t="n">
        <v>149.1</v>
      </c>
      <c r="AG447" s="73" t="n">
        <v>61.4</v>
      </c>
      <c r="AH447" s="73" t="n">
        <v>207.74</v>
      </c>
      <c r="AI447" s="73" t="n">
        <v>294.9</v>
      </c>
      <c r="AJ447" s="73" t="n">
        <v>2.11</v>
      </c>
      <c r="AK447" s="73" t="n">
        <v>90.3</v>
      </c>
      <c r="AL447" s="73" t="n">
        <v>160.17</v>
      </c>
      <c r="AM447" s="73" t="n">
        <v>206.4</v>
      </c>
      <c r="AN447" s="73" t="n">
        <v>3.82</v>
      </c>
      <c r="AO447" s="73" t="n">
        <v>1.34</v>
      </c>
      <c r="AP447" s="63" t="inlineStr">
        <is>
          <t>Hang Seng Commerce &amp; Industry sub-index</t>
        </is>
      </c>
      <c r="AQ447" s="73" t="n">
        <v>58.82</v>
      </c>
      <c r="AR447" s="64" t="inlineStr">
        <is>
          <t>2026-08-20</t>
        </is>
      </c>
      <c r="AS447" s="65" t="n">
        <v>635.4</v>
      </c>
      <c r="AT447" s="68" t="n">
        <v>-151.6</v>
      </c>
      <c r="AU447" s="63" t="inlineStr">
        <is>
          <t>N</t>
        </is>
      </c>
      <c r="AV447" s="63" t="inlineStr">
        <is>
          <t>n/m</t>
        </is>
      </c>
      <c r="AW447" s="74" t="n"/>
      <c r="AX447" s="74" t="n"/>
      <c r="AY447" s="74" t="n">
        <v>8.6</v>
      </c>
      <c r="AZ447" s="75" t="inlineStr">
        <is>
          <t>N</t>
        </is>
      </c>
      <c r="BA447" s="76">
        <f>IF('BBG Verify'!K447="","not filed — run on terminal",'BBG Verify'!K447)</f>
        <v/>
      </c>
      <c r="BB447" s="63" t="inlineStr">
        <is>
          <t>N/A</t>
        </is>
      </c>
      <c r="BC447" s="63" t="inlineStr">
        <is>
          <t>N/A</t>
        </is>
      </c>
      <c r="BD447" s="63" t="inlineStr">
        <is>
          <t>N/A</t>
        </is>
      </c>
      <c r="BE447" s="63" t="inlineStr">
        <is>
          <t>N/A</t>
        </is>
      </c>
      <c r="BF447" s="63" t="inlineStr">
        <is>
          <t>N/A</t>
        </is>
      </c>
      <c r="BG447" s="75" t="inlineStr">
        <is>
          <t>Haitong International Capital Limited; Central, Hong Kong CITIC Securities (Hong Kong) Limited</t>
        </is>
      </c>
      <c r="BH447" s="63" t="inlineStr">
        <is>
          <t>Haitong International Capital Limited; CITIC Securities (Hong Kong) Limited</t>
        </is>
      </c>
      <c r="BI447" s="63" t="inlineStr">
        <is>
          <t>BOCI Asia Limited; Patrons Securities Limited</t>
        </is>
      </c>
      <c r="BJ447" s="63" t="inlineStr">
        <is>
          <t>BOCI Asia Limited; CLSA Limited; Futu Securities International (Hong Kong) Limited; Haitong International Securities Company Limited; Patrons Securities Limited</t>
        </is>
      </c>
      <c r="BK447" s="77">
        <f>HYPERLINK("https://www1.hkexnews.hk/listedco/listconews/sehk/2026/0316/2026031600011.pdf","prospectus")</f>
        <v/>
      </c>
      <c r="BL447" s="77">
        <f>HYPERLINK("https://www1.hkexnews.hk/listedco/listconews/sehk/2026/0323/2026032301630.pdf","allotment")</f>
        <v/>
      </c>
      <c r="BM447" s="63" t="n"/>
      <c r="BN447" s="75" t="n"/>
      <c r="BO44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7" t="n">
        <v>2.67</v>
      </c>
      <c r="W448" s="63" t="inlineStr">
        <is>
          <t>Xiamen Advanced Intelligent Manufacturing Industry Investment Limited</t>
        </is>
      </c>
      <c r="X448" s="63" t="inlineStr">
        <is>
          <t>xiamen</t>
        </is>
      </c>
      <c r="Y448" s="67" t="n"/>
      <c r="Z448" s="63" t="n"/>
      <c r="AA448" s="72" t="n">
        <v>35.06</v>
      </c>
      <c r="AB448" s="73" t="n">
        <v>44.24</v>
      </c>
      <c r="AC448" s="73" t="n">
        <v>-6.36</v>
      </c>
      <c r="AD448" s="73" t="n">
        <v>51.19</v>
      </c>
      <c r="AE448" s="73" t="n">
        <v>40.44</v>
      </c>
      <c r="AF448" s="73" t="n">
        <v>31.26</v>
      </c>
      <c r="AG448" s="73" t="n">
        <v>11.94</v>
      </c>
      <c r="AH448" s="73" t="n">
        <v>3.98</v>
      </c>
      <c r="AI448" s="73" t="n">
        <v>-2.81</v>
      </c>
      <c r="AJ448" s="73" t="n">
        <v>50.46</v>
      </c>
      <c r="AK448" s="73" t="n">
        <v>36.29</v>
      </c>
      <c r="AL448" s="73" t="n">
        <v>36.05</v>
      </c>
      <c r="AM448" s="73" t="n">
        <v>-2.21</v>
      </c>
      <c r="AN448" s="73" t="n">
        <v>4.15</v>
      </c>
      <c r="AO448" s="73" t="n">
        <v>6.19</v>
      </c>
      <c r="AP448" s="63" t="inlineStr">
        <is>
          <t>HSTECH (Hang Seng TECH ETF)</t>
        </is>
      </c>
      <c r="AQ448" s="73" t="n">
        <v>34.67</v>
      </c>
      <c r="AR448" s="64" t="inlineStr">
        <is>
          <t>2026-08-21</t>
        </is>
      </c>
      <c r="AS448" s="65" t="n">
        <v>1071.7</v>
      </c>
      <c r="AT448" s="68" t="n">
        <v>181.6</v>
      </c>
      <c r="AU448" s="63" t="inlineStr">
        <is>
          <t>Y</t>
        </is>
      </c>
      <c r="AV448" s="74" t="n">
        <v>178.7</v>
      </c>
      <c r="AW448" s="74" t="n"/>
      <c r="AX448" s="74" t="n"/>
      <c r="AY448" s="74" t="n">
        <v>30.3</v>
      </c>
      <c r="AZ448" s="75" t="inlineStr">
        <is>
          <t>N</t>
        </is>
      </c>
      <c r="BA448" s="76">
        <f>IF('BBG Verify'!K448="","not filed — run on terminal",'BBG Verify'!K448)</f>
        <v/>
      </c>
      <c r="BB448" s="63" t="inlineStr">
        <is>
          <t>N/A</t>
        </is>
      </c>
      <c r="BC448" s="63" t="inlineStr">
        <is>
          <t>N/A</t>
        </is>
      </c>
      <c r="BD448" s="63" t="inlineStr">
        <is>
          <t>N/A</t>
        </is>
      </c>
      <c r="BE448" s="63" t="inlineStr">
        <is>
          <t>N/A</t>
        </is>
      </c>
      <c r="BF448" s="63" t="inlineStr">
        <is>
          <t>N/A</t>
        </is>
      </c>
      <c r="BG448" s="75" t="n"/>
      <c r="BH448" s="63" t="inlineStr">
        <is>
          <t>China International Capital Corporation Hong Kong Securities Limited</t>
        </is>
      </c>
      <c r="BI448" s="63" t="inlineStr">
        <is>
          <t>ABCI Capital Limited; Daokou Securities Limited; China Industrial Securities International Capital Limited; Fuze Securities (International) Limited; Kingston Securities Limited; Yuen Meta (International) Securities Limited</t>
        </is>
      </c>
      <c r="BJ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7">
        <f>HYPERLINK("https://www1.hkexnews.hk/listedco/listconews/sehk/2026/0320/2026032000029.pdf","prospectus")</f>
        <v/>
      </c>
      <c r="BL448" s="77">
        <f>HYPERLINK("https://www1.hkexnews.hk/listedco/listconews/sehk/2026/0327/2026032702128.pdf","allotment")</f>
        <v/>
      </c>
      <c r="BM448" s="63" t="n"/>
      <c r="BN448" s="75" t="n"/>
      <c r="BO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7" t="n">
        <v>9</v>
      </c>
      <c r="W449" s="63" t="n"/>
      <c r="X449" s="63" t="n"/>
      <c r="Y449" s="67" t="n"/>
      <c r="Z449" s="63" t="n"/>
      <c r="AA449" s="72" t="n">
        <v>111.72</v>
      </c>
      <c r="AB449" s="73" t="n">
        <v>121.21</v>
      </c>
      <c r="AC449" s="73" t="n">
        <v>-4.29</v>
      </c>
      <c r="AD449" s="73" t="n">
        <v>202.02</v>
      </c>
      <c r="AE449" s="73" t="n">
        <v>234.34</v>
      </c>
      <c r="AF449" s="73" t="n">
        <v>303.03</v>
      </c>
      <c r="AG449" s="73" t="n">
        <v>42.65</v>
      </c>
      <c r="AH449" s="73" t="n">
        <v>57.92</v>
      </c>
      <c r="AI449" s="73" t="n">
        <v>90.36</v>
      </c>
      <c r="AJ449" s="73" t="n">
        <v>196.11</v>
      </c>
      <c r="AK449" s="73" t="n">
        <v>230.63</v>
      </c>
      <c r="AL449" s="73" t="n">
        <v>300.15</v>
      </c>
      <c r="AM449" s="73" t="n">
        <v>54.37</v>
      </c>
      <c r="AN449" s="73" t="n">
        <v>3.71</v>
      </c>
      <c r="AO449" s="73" t="n">
        <v>3.55</v>
      </c>
      <c r="AP449" s="63" t="inlineStr">
        <is>
          <t>China Biotech ETF (HS biotech proxy)</t>
        </is>
      </c>
      <c r="AQ449" s="73" t="n">
        <v>431.31</v>
      </c>
      <c r="AR449" s="64" t="inlineStr">
        <is>
          <t>2026-08-21</t>
        </is>
      </c>
      <c r="AS449" s="65" t="n">
        <v>21.5</v>
      </c>
      <c r="AT449" s="68" t="n">
        <v>-61.7</v>
      </c>
      <c r="AU449" s="63" t="inlineStr">
        <is>
          <t>N</t>
        </is>
      </c>
      <c r="AV449" s="63" t="inlineStr">
        <is>
          <t>n/m</t>
        </is>
      </c>
      <c r="AW449" s="74" t="n"/>
      <c r="AX449" s="74" t="n"/>
      <c r="AY449" s="74" t="n">
        <v>409.3</v>
      </c>
      <c r="AZ449" s="75" t="inlineStr">
        <is>
          <t>N</t>
        </is>
      </c>
      <c r="BA449" s="76">
        <f>IF('BBG Verify'!K449="","not filed — run on terminal",'BBG Verify'!K449)</f>
        <v/>
      </c>
      <c r="BB449" s="63" t="inlineStr">
        <is>
          <t>N/A</t>
        </is>
      </c>
      <c r="BC449" s="63" t="inlineStr">
        <is>
          <t>N/A</t>
        </is>
      </c>
      <c r="BD449" s="63" t="inlineStr">
        <is>
          <t>N/A</t>
        </is>
      </c>
      <c r="BE449" s="63" t="inlineStr">
        <is>
          <t>N/A</t>
        </is>
      </c>
      <c r="BF449" s="63" t="inlineStr">
        <is>
          <t>N/A</t>
        </is>
      </c>
      <c r="BG449" s="75" t="inlineStr">
        <is>
          <t>and Sponsor-overall Coordinator Huatai Financial Holdings (Hong Kong) Limited</t>
        </is>
      </c>
      <c r="BH449" s="63" t="inlineStr">
        <is>
          <t>Huatai Financial Holdings (Hong Kong) Limited</t>
        </is>
      </c>
      <c r="BI449" s="63"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7">
        <f>HYPERLINK("https://www1.hkexnews.hk/listedco/listconews/sehk/2026/0320/2026032000025.pdf","prospectus")</f>
        <v/>
      </c>
      <c r="BL449" s="77">
        <f>HYPERLINK("https://www1.hkexnews.hk/listedco/listconews/sehk/2026/0327/2026032702330.pdf","allotment")</f>
        <v/>
      </c>
      <c r="BM449" s="63" t="n"/>
      <c r="BN449" s="75" t="n"/>
      <c r="BO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7" t="n">
        <v>10.01</v>
      </c>
      <c r="W450" s="63" t="inlineStr">
        <is>
          <t>George Kent International Pte. Ltd; Zhengjin (Hong Kong) International Co., Limited</t>
        </is>
      </c>
      <c r="X450" s="63" t="inlineStr">
        <is>
          <t>george;zhengjin</t>
        </is>
      </c>
      <c r="Y450" s="67" t="n"/>
      <c r="Z450" s="63" t="n"/>
      <c r="AA450" s="72" t="n">
        <v>150</v>
      </c>
      <c r="AB450" s="73" t="n">
        <v>49.88</v>
      </c>
      <c r="AC450" s="73" t="n">
        <v>66.8</v>
      </c>
      <c r="AD450" s="73" t="n">
        <v>164</v>
      </c>
      <c r="AE450" s="73" t="n">
        <v>151.25</v>
      </c>
      <c r="AF450" s="73" t="n">
        <v>112.5</v>
      </c>
      <c r="AG450" s="73" t="n">
        <v>5.6</v>
      </c>
      <c r="AH450" s="73" t="n">
        <v>0.5</v>
      </c>
      <c r="AI450" s="73" t="n">
        <v>-15</v>
      </c>
      <c r="AJ450" s="73" t="n">
        <v>163.27</v>
      </c>
      <c r="AK450" s="73" t="n">
        <v>147.1</v>
      </c>
      <c r="AL450" s="73" t="n">
        <v>117.29</v>
      </c>
      <c r="AM450" s="73" t="n">
        <v>-5.69</v>
      </c>
      <c r="AN450" s="73" t="n">
        <v>4.15</v>
      </c>
      <c r="AO450" s="73" t="n">
        <v>6.19</v>
      </c>
      <c r="AP450" s="63" t="inlineStr">
        <is>
          <t>HSTECH (Hang Seng TECH ETF)</t>
        </is>
      </c>
      <c r="AQ450" s="73" t="n">
        <v>141.12</v>
      </c>
      <c r="AR450" s="64" t="inlineStr">
        <is>
          <t>2026-08-21</t>
        </is>
      </c>
      <c r="AS450" s="65" t="n">
        <v>283</v>
      </c>
      <c r="AT450" s="68" t="n"/>
      <c r="AU450" s="63" t="inlineStr">
        <is>
          <t>Y</t>
        </is>
      </c>
      <c r="AV450" s="78">
        <f>IF('BBG Verify'!O450="","not filed — run on terminal",'BBG Verify'!O450)</f>
        <v/>
      </c>
      <c r="AW450" s="74" t="n"/>
      <c r="AX450" s="74" t="n"/>
      <c r="AY450" s="74" t="n">
        <v>16</v>
      </c>
      <c r="AZ450" s="75" t="inlineStr">
        <is>
          <t>N</t>
        </is>
      </c>
      <c r="BA450" s="76">
        <f>IF('BBG Verify'!K450="","not filed — run on terminal",'BBG Verify'!K450)</f>
        <v/>
      </c>
      <c r="BB450" s="63" t="inlineStr">
        <is>
          <t>N/A</t>
        </is>
      </c>
      <c r="BC450" s="63" t="inlineStr">
        <is>
          <t>N/A</t>
        </is>
      </c>
      <c r="BD450" s="63" t="inlineStr">
        <is>
          <t>N/A</t>
        </is>
      </c>
      <c r="BE450" s="63" t="inlineStr">
        <is>
          <t>N/A</t>
        </is>
      </c>
      <c r="BF450" s="63" t="inlineStr">
        <is>
          <t>N/A</t>
        </is>
      </c>
      <c r="BG450" s="75" t="inlineStr">
        <is>
          <t>CITIC Securities (Hong Kong) Limited</t>
        </is>
      </c>
      <c r="BH450" s="63" t="inlineStr">
        <is>
          <t>CITIC Securities (Hong Kong) Limited</t>
        </is>
      </c>
      <c r="BI450" s="63" t="inlineStr">
        <is>
          <t>CLSA Limited; CMB International Capital Limited; ABCI Capital Limited; SDIC Securities (Hong Kong) Limited; Guosen Securities (HK) Brokerage Company, Limited; Livermore Holdings Limited; China Sunrise Securities (International) Limited</t>
        </is>
      </c>
      <c r="BJ450" s="63" t="inlineStr">
        <is>
          <t>ABCI Securities Company Limited; CLSA Limited; CMB International Capital Limited; China Sunrise Securities (International) Limited; Guosen Securities (HK) Brokerage Company, Limited; Livermore Holdings Limited; SDIC Securities (Hong Kong) Limited</t>
        </is>
      </c>
      <c r="BK450" s="77">
        <f>HYPERLINK("https://www1.hkexnews.hk/listedco/listconews/sehk/2026/0320/2026032000097.pdf","prospectus")</f>
        <v/>
      </c>
      <c r="BL450" s="77">
        <f>HYPERLINK("https://www1.hkexnews.hk/listedco/listconews/sehk/2026/0327/2026032703232.pdf","allotment")</f>
        <v/>
      </c>
      <c r="BM450" s="63" t="n"/>
      <c r="BN450" s="75" t="n"/>
      <c r="BO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8242.9</v>
      </c>
      <c r="R451" s="63" t="inlineStr">
        <is>
          <t>derived:deal size / offer % of enlarged capital</t>
        </is>
      </c>
      <c r="S451" s="69" t="n">
        <v>5059.38</v>
      </c>
      <c r="T451" s="70" t="n">
        <v>16.65</v>
      </c>
      <c r="U451" s="71" t="n">
        <v>48.6</v>
      </c>
      <c r="V451" s="67" t="n">
        <v>9.85</v>
      </c>
      <c r="W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3" t="inlineStr">
        <is>
          <t>eternal;hhlr;huatai;morgan;richfirm;samson;shrewd;vvc</t>
        </is>
      </c>
      <c r="Y451" s="67" t="n">
        <v>15</v>
      </c>
      <c r="Z451" s="63" t="n"/>
      <c r="AA451" s="72" t="n">
        <v>8.24</v>
      </c>
      <c r="AB451" s="73" t="n">
        <v>-1.18</v>
      </c>
      <c r="AC451" s="73" t="n">
        <v>9.529999999999999</v>
      </c>
      <c r="AD451" s="73" t="n">
        <v>5.41</v>
      </c>
      <c r="AE451" s="73" t="n">
        <v>16.24</v>
      </c>
      <c r="AF451" s="73" t="n">
        <v>-9.119999999999999</v>
      </c>
      <c r="AG451" s="73" t="n">
        <v>-2.61</v>
      </c>
      <c r="AH451" s="73" t="n">
        <v>7.39</v>
      </c>
      <c r="AI451" s="73" t="n">
        <v>-16.04</v>
      </c>
      <c r="AJ451" s="73" t="n">
        <v>4.68</v>
      </c>
      <c r="AK451" s="73" t="n">
        <v>12.09</v>
      </c>
      <c r="AL451" s="73" t="n">
        <v>-4.33</v>
      </c>
      <c r="AM451" s="73" t="n">
        <v>1.2</v>
      </c>
      <c r="AN451" s="73" t="n">
        <v>4.15</v>
      </c>
      <c r="AO451" s="73" t="n">
        <v>6.19</v>
      </c>
      <c r="AP451" s="63" t="inlineStr">
        <is>
          <t>HSTECH (Hang Seng TECH ETF)</t>
        </is>
      </c>
      <c r="AQ451" s="73" t="n">
        <v>-47.18</v>
      </c>
      <c r="AR451" s="64" t="inlineStr">
        <is>
          <t>2026-08-21</t>
        </is>
      </c>
      <c r="AS451" s="65" t="n">
        <v>341.5</v>
      </c>
      <c r="AT451" s="68" t="n"/>
      <c r="AU451" s="63" t="inlineStr">
        <is>
          <t>Y</t>
        </is>
      </c>
      <c r="AV451" s="78">
        <f>IF('BBG Verify'!O451="","not filed — run on terminal",'BBG Verify'!O451)</f>
        <v/>
      </c>
      <c r="AW451" s="74" t="n"/>
      <c r="AX451" s="74" t="n"/>
      <c r="AY451" s="74" t="n">
        <v>24.1</v>
      </c>
      <c r="AZ451" s="75" t="inlineStr">
        <is>
          <t>N</t>
        </is>
      </c>
      <c r="BA451" s="76">
        <f>IF('BBG Verify'!K451="","not filed — run on terminal",'BBG Verify'!K451)</f>
        <v/>
      </c>
      <c r="BB451" s="63" t="inlineStr">
        <is>
          <t>N/A</t>
        </is>
      </c>
      <c r="BC451" s="63" t="inlineStr">
        <is>
          <t>N/A</t>
        </is>
      </c>
      <c r="BD451" s="63" t="inlineStr">
        <is>
          <t>N/A</t>
        </is>
      </c>
      <c r="BE451" s="63" t="inlineStr">
        <is>
          <t>N/A</t>
        </is>
      </c>
      <c r="BF451" s="63" t="inlineStr">
        <is>
          <t>N/A</t>
        </is>
      </c>
      <c r="BG451" s="75" t="inlineStr">
        <is>
          <t>China International Capital Corporation Hong Kong Securities Limited; Central, Hong Kong Deutsche Securities Asia Limited</t>
        </is>
      </c>
      <c r="BH451" s="63" t="inlineStr">
        <is>
          <t>China International Capital Corporation Hong Kong Securities Limited; Deutsche Securities Asia Limited</t>
        </is>
      </c>
      <c r="BI451" s="63" t="inlineStr">
        <is>
          <t>China International Capital Corporation Hong Kong Securities Limited; Central, Hong Kong Deutsche Bank AG, Hong Kong Branch; Futu Securities International (Hong Kong) Limited; Zheshang International Financial Holdings Co., Limited</t>
        </is>
      </c>
      <c r="BJ451" s="63" t="inlineStr">
        <is>
          <t>China International Capital Corporation Hong Kong Securities Limited; Deutsche Bank AG, Hong Kong Branch; Futu Securities International (Hong Kong) Limited; Zheshang International Financial Holdings Co., Limited</t>
        </is>
      </c>
      <c r="BK451" s="77">
        <f>HYPERLINK("https://www1.hkexnews.hk/listedco/listconews/sehk/2026/0320/2026032000035.pdf","prospectus")</f>
        <v/>
      </c>
      <c r="BL451" s="77">
        <f>HYPERLINK("https://www1.hkexnews.hk/listedco/listconews/sehk/2026/0327/2026032703804.pdf","allotment")</f>
        <v/>
      </c>
      <c r="BM451" s="63" t="n"/>
      <c r="BN451" s="75" t="n"/>
      <c r="BO451" s="63"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7" t="n">
        <v>10.72</v>
      </c>
      <c r="W452" s="63" t="inlineStr">
        <is>
          <t>Jiantou International (Hong Kong) Co., Limited</t>
        </is>
      </c>
      <c r="X452" s="63" t="inlineStr">
        <is>
          <t>jiantou</t>
        </is>
      </c>
      <c r="Y452" s="67" t="n">
        <v>6.75</v>
      </c>
      <c r="Z452" s="63" t="inlineStr">
        <is>
          <t>lapsed</t>
        </is>
      </c>
      <c r="AA452" s="72" t="n">
        <v>-49.17</v>
      </c>
      <c r="AB452" s="73" t="n">
        <v>-40.97</v>
      </c>
      <c r="AC452" s="73" t="n">
        <v>-13.89</v>
      </c>
      <c r="AD452" s="73" t="n">
        <v>-53.17</v>
      </c>
      <c r="AE452" s="73" t="n">
        <v>-62.27</v>
      </c>
      <c r="AF452" s="73" t="n">
        <v>-74.81999999999999</v>
      </c>
      <c r="AG452" s="73" t="n">
        <v>-7.87</v>
      </c>
      <c r="AH452" s="73" t="n">
        <v>-25.77</v>
      </c>
      <c r="AI452" s="73" t="n">
        <v>-50.46</v>
      </c>
      <c r="AJ452" s="73" t="n">
        <v>-56.61</v>
      </c>
      <c r="AK452" s="73" t="n">
        <v>-65.63</v>
      </c>
      <c r="AL452" s="73" t="n">
        <v>-66.55</v>
      </c>
      <c r="AM452" s="73" t="n">
        <v>-29.71</v>
      </c>
      <c r="AN452" s="73" t="n">
        <v>3.36</v>
      </c>
      <c r="AO452" s="73" t="n">
        <v>3.94</v>
      </c>
      <c r="AP452" s="63" t="inlineStr">
        <is>
          <t>Hang Seng Commerce &amp; Industry sub-index</t>
        </is>
      </c>
      <c r="AQ452" s="73" t="n">
        <v>-76.43000000000001</v>
      </c>
      <c r="AR452" s="64" t="inlineStr">
        <is>
          <t>2026-08-20</t>
        </is>
      </c>
      <c r="AS452" s="65" t="n">
        <v>679.1</v>
      </c>
      <c r="AT452" s="68" t="n">
        <v>86.90000000000001</v>
      </c>
      <c r="AU452" s="63" t="inlineStr">
        <is>
          <t>Y</t>
        </is>
      </c>
      <c r="AV452" s="74" t="n">
        <v>44.5</v>
      </c>
      <c r="AW452" s="74" t="n"/>
      <c r="AX452" s="74" t="n"/>
      <c r="AY452" s="74" t="n">
        <v>5.7</v>
      </c>
      <c r="AZ452" s="75" t="inlineStr">
        <is>
          <t>N</t>
        </is>
      </c>
      <c r="BA452" s="76">
        <f>IF('BBG Verify'!K452="","not filed — run on terminal",'BBG Verify'!K452)</f>
        <v/>
      </c>
      <c r="BB452" s="63" t="inlineStr">
        <is>
          <t>N/A</t>
        </is>
      </c>
      <c r="BC452" s="63" t="inlineStr">
        <is>
          <t>N/A</t>
        </is>
      </c>
      <c r="BD452" s="63" t="inlineStr">
        <is>
          <t>N/A</t>
        </is>
      </c>
      <c r="BE452" s="63" t="inlineStr">
        <is>
          <t>N/A</t>
        </is>
      </c>
      <c r="BF452" s="63" t="inlineStr">
        <is>
          <t>N/A</t>
        </is>
      </c>
      <c r="BG452" s="75" t="inlineStr">
        <is>
          <t>CMB International Capital Limited</t>
        </is>
      </c>
      <c r="BH452" s="63" t="inlineStr">
        <is>
          <t>CMB International Capital Limited</t>
        </is>
      </c>
      <c r="BI452" s="63" t="inlineStr">
        <is>
          <t>CMB International Capital Limited; Central, Hong Kong CLSA Limited; ABCI Capital Limited; China Everbright Securities (HK) Limited; Futu Securities International (Hong Kong) Limited; Patrons Securities Limited</t>
        </is>
      </c>
      <c r="BJ452" s="63" t="inlineStr">
        <is>
          <t>ABCI Securities Company Limited; China Everbright Securities (HK) Limited; CLSA Limited; CMB International Capital Limited; Futu Securities International (Hong Kong) Limited; Livermore Holdings Limited; Patrons Securities Limited</t>
        </is>
      </c>
      <c r="BK452" s="77">
        <f>HYPERLINK("https://www1.hkexnews.hk/listedco/listconews/sehk/2026/0323/2026032300037.pdf","prospectus")</f>
        <v/>
      </c>
      <c r="BL452" s="77">
        <f>HYPERLINK("https://www1.hkexnews.hk/listedco/listconews/sehk/2026/0330/2026033003120.pdf","allotment")</f>
        <v/>
      </c>
      <c r="BM452" s="77">
        <f>HYPERLINK("https://www1.hkexnews.hk/listedco/listconews/sehk/2026/0430/2026043004704.pdf","stabilisation")</f>
        <v/>
      </c>
      <c r="BN452" s="75" t="n"/>
      <c r="BO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7" t="n">
        <v>10.71</v>
      </c>
      <c r="W453" s="63" t="n"/>
      <c r="X453" s="63" t="n"/>
      <c r="Y453" s="67" t="n">
        <v>5.72</v>
      </c>
      <c r="Z453" s="63" t="n"/>
      <c r="AA453" s="72" t="n">
        <v>100</v>
      </c>
      <c r="AB453" s="73" t="n">
        <v>112.62</v>
      </c>
      <c r="AC453" s="73" t="n">
        <v>-5.94</v>
      </c>
      <c r="AD453" s="73" t="n">
        <v>226.25</v>
      </c>
      <c r="AE453" s="73" t="n">
        <v>244.75</v>
      </c>
      <c r="AF453" s="73" t="n">
        <v>125</v>
      </c>
      <c r="AG453" s="73" t="n">
        <v>63.13</v>
      </c>
      <c r="AH453" s="73" t="n">
        <v>72.37</v>
      </c>
      <c r="AI453" s="73" t="n">
        <v>12.5</v>
      </c>
      <c r="AJ453" s="73" t="n">
        <v>222.59</v>
      </c>
      <c r="AK453" s="73" t="n">
        <v>239.78</v>
      </c>
      <c r="AL453" s="73" t="n">
        <v>128.75</v>
      </c>
      <c r="AM453" s="73" t="n">
        <v>66.48</v>
      </c>
      <c r="AN453" s="73" t="n">
        <v>4.97</v>
      </c>
      <c r="AO453" s="73" t="n">
        <v>5.89</v>
      </c>
      <c r="AP453" s="63" t="inlineStr">
        <is>
          <t>HSTECH (Hang Seng TECH ETF)</t>
        </is>
      </c>
      <c r="AQ453" s="73" t="n">
        <v>137.5</v>
      </c>
      <c r="AR453" s="64" t="inlineStr">
        <is>
          <t>2026-08-20</t>
        </is>
      </c>
      <c r="AS453" s="65" t="n">
        <v>390.7</v>
      </c>
      <c r="AT453" s="68" t="n">
        <v>-62.5</v>
      </c>
      <c r="AU453" s="63" t="inlineStr">
        <is>
          <t>N</t>
        </is>
      </c>
      <c r="AV453" s="63" t="inlineStr">
        <is>
          <t>n/m</t>
        </is>
      </c>
      <c r="AW453" s="74" t="n"/>
      <c r="AX453" s="74" t="n"/>
      <c r="AY453" s="74" t="n">
        <v>11.5</v>
      </c>
      <c r="AZ453" s="75" t="inlineStr">
        <is>
          <t>N</t>
        </is>
      </c>
      <c r="BA453" s="76">
        <f>IF('BBG Verify'!K453="","not filed — run on terminal",'BBG Verify'!K453)</f>
        <v/>
      </c>
      <c r="BB453" s="63" t="inlineStr">
        <is>
          <t>N/A</t>
        </is>
      </c>
      <c r="BC453" s="63" t="inlineStr">
        <is>
          <t>N/A</t>
        </is>
      </c>
      <c r="BD453" s="63" t="inlineStr">
        <is>
          <t>N/A</t>
        </is>
      </c>
      <c r="BE453" s="63" t="inlineStr">
        <is>
          <t>N/A</t>
        </is>
      </c>
      <c r="BF453" s="63" t="inlineStr">
        <is>
          <t>N/A</t>
        </is>
      </c>
      <c r="BG453" s="75" t="inlineStr">
        <is>
          <t>Guotai Junan Capital Limited; Orient Capital (Hong Kong) Limited</t>
        </is>
      </c>
      <c r="BH453" s="63" t="inlineStr">
        <is>
          <t>Guotai Junan Capital Limited; Orient Capital (Hong Kong) Limited</t>
        </is>
      </c>
      <c r="BI453" s="63"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7">
        <f>HYPERLINK("https://www1.hkexnews.hk/listedco/listconews/sehk/2026/0323/2026032300023.pdf","prospectus")</f>
        <v/>
      </c>
      <c r="BL453" s="77">
        <f>HYPERLINK("https://www1.hkexnews.hk/listedco/listconews/sehk/2026/0330/2026033003564.pdf","allotment")</f>
        <v/>
      </c>
      <c r="BM453" s="63" t="n"/>
      <c r="BN453" s="75" t="n"/>
      <c r="BO45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7" t="n">
        <v>2.77</v>
      </c>
      <c r="W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3" t="inlineStr">
        <is>
          <t>3w;aranda;axa;baring;charoen;cpe;cpic;fullgoal;goldman;greenwoods;hhlr;hillhouse;huadeng;icbc;lazurite;perseverance;scene;shanghai-lujiazui;tropical;ubs</t>
        </is>
      </c>
      <c r="Y454" s="67" t="n">
        <v>15</v>
      </c>
      <c r="Z454" s="63" t="inlineStr">
        <is>
          <t>full</t>
        </is>
      </c>
      <c r="AA454" s="72" t="n">
        <v>103.42</v>
      </c>
      <c r="AB454" s="73" t="n">
        <v>79.20999999999999</v>
      </c>
      <c r="AC454" s="73" t="n">
        <v>13.51</v>
      </c>
      <c r="AD454" s="73" t="n">
        <v>73.66</v>
      </c>
      <c r="AE454" s="73" t="n">
        <v>64.40000000000001</v>
      </c>
      <c r="AF454" s="73" t="n">
        <v>-14.68</v>
      </c>
      <c r="AG454" s="73" t="n">
        <v>-14.63</v>
      </c>
      <c r="AH454" s="73" t="n">
        <v>-19.18</v>
      </c>
      <c r="AI454" s="73" t="n">
        <v>-58.06</v>
      </c>
      <c r="AJ454" s="73" t="n">
        <v>74.03</v>
      </c>
      <c r="AK454" s="73" t="n">
        <v>66.81</v>
      </c>
      <c r="AL454" s="73" t="n">
        <v>-9.630000000000001</v>
      </c>
      <c r="AM454" s="73" t="n">
        <v>-14.28</v>
      </c>
      <c r="AN454" s="73" t="n">
        <v>-2.41</v>
      </c>
      <c r="AO454" s="73" t="n">
        <v>-4.9</v>
      </c>
      <c r="AP454" s="63" t="inlineStr">
        <is>
          <t>Hang Seng Commerce &amp; Industry sub-index</t>
        </is>
      </c>
      <c r="AQ454" s="73" t="n">
        <v>2.28</v>
      </c>
      <c r="AR454" s="64" t="inlineStr">
        <is>
          <t>2026-08-24</t>
        </is>
      </c>
      <c r="AS454" s="65" t="n">
        <v>9900.6</v>
      </c>
      <c r="AT454" s="68" t="n">
        <v>3210.7</v>
      </c>
      <c r="AU454" s="63" t="inlineStr">
        <is>
          <t>Y</t>
        </is>
      </c>
      <c r="AV454" s="74" t="n">
        <v>24.9</v>
      </c>
      <c r="AW454" s="74" t="n"/>
      <c r="AX454" s="74" t="n"/>
      <c r="AY454" s="74" t="n">
        <v>8.1</v>
      </c>
      <c r="AZ454" s="75" t="inlineStr">
        <is>
          <t>N</t>
        </is>
      </c>
      <c r="BA454" s="76">
        <f>IF('BBG Verify'!K454="","not filed — run on terminal",'BBG Verify'!K454)</f>
        <v/>
      </c>
      <c r="BB454" s="63" t="inlineStr">
        <is>
          <t>N/A</t>
        </is>
      </c>
      <c r="BC454" s="63" t="inlineStr">
        <is>
          <t>N/A</t>
        </is>
      </c>
      <c r="BD454" s="63" t="inlineStr">
        <is>
          <t>N/A</t>
        </is>
      </c>
      <c r="BE454" s="63" t="inlineStr">
        <is>
          <t>N/A</t>
        </is>
      </c>
      <c r="BF454" s="63" t="inlineStr">
        <is>
          <t>N/A</t>
        </is>
      </c>
      <c r="BG454" s="75" t="inlineStr">
        <is>
          <t>CITIC Securities (Hong Kong) Limited; BNP Paribas Securities (Asia) Limited</t>
        </is>
      </c>
      <c r="BH454" s="63" t="inlineStr">
        <is>
          <t>CITIC Securities (Hong Kong) Limited; BNP Paribas Securities (Asia) Limited</t>
        </is>
      </c>
      <c r="BI454" s="63" t="inlineStr">
        <is>
          <t>CLSA Limited; BNP Paribas Securities (Asia) Limited; China International Capital Corporation Hong Kong Securities Limited</t>
        </is>
      </c>
      <c r="BJ454" s="63" t="inlineStr">
        <is>
          <t>BNP Paribas Securities (Asia) Limited; China International Capital Corporation Hong Kong Securities Limited; CLSA Limited</t>
        </is>
      </c>
      <c r="BK454" s="77">
        <f>HYPERLINK("https://www1.hkexnews.hk/listedco/listconews/sehk/2026/0408/2026040800017.pdf","prospectus")</f>
        <v/>
      </c>
      <c r="BL454" s="77">
        <f>HYPERLINK("https://www1.hkexnews.hk/listedco/listconews/sehk/2026/0415/2026041501574.pdf","allotment")</f>
        <v/>
      </c>
      <c r="BM454" s="77">
        <f>HYPERLINK("https://www1.hkexnews.hk/listedco/listconews/sehk/2026/0513/2026051301292.pdf","stabilisation")</f>
        <v/>
      </c>
      <c r="BN454" s="75" t="n"/>
      <c r="BO454" s="63" t="inlineStr">
        <is>
          <t>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11400</v>
      </c>
      <c r="R455" s="63" t="inlineStr">
        <is>
          <t>prospectus:stated market capitalisation</t>
        </is>
      </c>
      <c r="S455" s="69" t="n">
        <v>1590.56</v>
      </c>
      <c r="T455" s="70" t="n">
        <v>14.46</v>
      </c>
      <c r="U455" s="71" t="n">
        <v>37.14</v>
      </c>
      <c r="V455" s="67" t="n">
        <v>6.75</v>
      </c>
      <c r="W455" s="63" t="inlineStr">
        <is>
          <t>CR Construction Group Holdings Limited; Guohui (HK) Holdings Co., Limited; Hesai Hong Kong Limited; Mirae Asset Securities (HK) Limited; REDWOOD ELITE LIMITED; RIME Capital Limited; Sunshine Life Insurance Corporation Limited; Taikang Life Insurance Co., Ltd</t>
        </is>
      </c>
      <c r="X455" s="63" t="inlineStr">
        <is>
          <t>cr;guohui;hesai;mirae;redwood;rime;sunshine;taikang</t>
        </is>
      </c>
      <c r="Y455" s="67" t="n">
        <v>15</v>
      </c>
      <c r="Z455" s="63" t="n"/>
      <c r="AA455" s="72" t="n">
        <v>144.09</v>
      </c>
      <c r="AB455" s="73" t="n">
        <v>171.65</v>
      </c>
      <c r="AC455" s="73" t="n">
        <v>-10.15</v>
      </c>
      <c r="AD455" s="73" t="n">
        <v>273.75</v>
      </c>
      <c r="AE455" s="73" t="n">
        <v>142.91</v>
      </c>
      <c r="AF455" s="73" t="n">
        <v>16.54</v>
      </c>
      <c r="AG455" s="73" t="n">
        <v>53.12</v>
      </c>
      <c r="AH455" s="73" t="n">
        <v>-0.48</v>
      </c>
      <c r="AI455" s="73" t="n">
        <v>-52.26</v>
      </c>
      <c r="AJ455" s="73" t="n">
        <v>277.63</v>
      </c>
      <c r="AK455" s="73" t="n">
        <v>147.6</v>
      </c>
      <c r="AL455" s="73" t="n">
        <v>21.99</v>
      </c>
      <c r="AM455" s="73" t="n">
        <v>3.09</v>
      </c>
      <c r="AN455" s="73" t="n">
        <v>-4.69</v>
      </c>
      <c r="AO455" s="73" t="n">
        <v>-3.57</v>
      </c>
      <c r="AP455" s="63" t="inlineStr">
        <is>
          <t>HSTECH (Hang Seng TECH ETF)</t>
        </is>
      </c>
      <c r="AQ455" s="73" t="n">
        <v>11.42</v>
      </c>
      <c r="AR455" s="64" t="inlineStr">
        <is>
          <t>2026-08-20</t>
        </is>
      </c>
      <c r="AS455" s="65" t="n">
        <v>902</v>
      </c>
      <c r="AT455" s="68" t="n">
        <v>-470.7</v>
      </c>
      <c r="AU455" s="63" t="inlineStr">
        <is>
          <t>N</t>
        </is>
      </c>
      <c r="AV455" s="63" t="inlineStr">
        <is>
          <t>n/m</t>
        </is>
      </c>
      <c r="AW455" s="74" t="n"/>
      <c r="AX455" s="74" t="n"/>
      <c r="AY455" s="74" t="n">
        <v>12.6</v>
      </c>
      <c r="AZ455" s="75" t="inlineStr">
        <is>
          <t>N</t>
        </is>
      </c>
      <c r="BA455" s="76">
        <f>IF('BBG Verify'!K455="","not filed — run on terminal",'BBG Verify'!K455)</f>
        <v/>
      </c>
      <c r="BB455" s="63" t="inlineStr">
        <is>
          <t>N/A</t>
        </is>
      </c>
      <c r="BC455" s="63" t="inlineStr">
        <is>
          <t>N/A</t>
        </is>
      </c>
      <c r="BD455" s="63" t="inlineStr">
        <is>
          <t>N/A</t>
        </is>
      </c>
      <c r="BE455" s="63" t="inlineStr">
        <is>
          <t>N/A</t>
        </is>
      </c>
      <c r="BF455" s="63" t="inlineStr">
        <is>
          <t>N/A</t>
        </is>
      </c>
      <c r="BG455" s="75" t="inlineStr">
        <is>
          <t>J.P. Morgan Securities (Far East) Limited; CCB International Capital Limited</t>
        </is>
      </c>
      <c r="BH455" s="63" t="inlineStr">
        <is>
          <t>CCB International Capital Limited; J.P. Morgan Securities (Far East) Limited</t>
        </is>
      </c>
      <c r="BI455" s="63" t="inlineStr">
        <is>
          <t>J.P. Morgan Securities (Asia Pacific) Limited; CCB International Capital Limited; Tiger Brokers (HK) Global Limited; ABCI Capital Limited; BOCI Asia Limited</t>
        </is>
      </c>
      <c r="BJ455" s="63" t="inlineStr">
        <is>
          <t>ABCI Securities Company Limited; BOCI Asia Limited; CCB International Capital Limited; Futu Securities International (Hong Kong) Limited; J.P. Morgan Securities (Asia Pacific) Limited; Tiger Brokers (HK) Global Limited</t>
        </is>
      </c>
      <c r="BK455" s="77">
        <f>HYPERLINK("https://www1.hkexnews.hk/listedco/listconews/sehk/2026/0409/2026040900025.pdf","prospectus")</f>
        <v/>
      </c>
      <c r="BL455" s="77">
        <f>HYPERLINK("https://www1.hkexnews.hk/listedco/listconews/sehk/2026/0416/2026041601684.pdf","allotment")</f>
        <v/>
      </c>
      <c r="BM455" s="63" t="n"/>
      <c r="BN455" s="75" t="n"/>
      <c r="BO455" s="63" t="inlineStr">
        <is>
          <t>P/E: n/m — loss-making at IPO (use P/S) · greenshoe: end-of-stabilisation notice not located · range low: cap-only pricing — the filing publishes a Maximum Offer Price and no indicative floor · A/H: no A-share listing</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7" t="n">
        <v>16.77</v>
      </c>
      <c r="W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3" t="inlineStr">
        <is>
          <t>3w;arc;boyu;china-asset;cpe;fund-management;eastern-bell;fullgoal;gf;greenwoods;hhlr;icbc;mirae;panjing;perseverance;protium;source;ubs;value;voyage42;wt</t>
        </is>
      </c>
      <c r="Y456" s="67" t="n">
        <v>18.29</v>
      </c>
      <c r="Z456" s="63" t="inlineStr">
        <is>
          <t>full</t>
        </is>
      </c>
      <c r="AA456" s="72" t="n">
        <v>75.53</v>
      </c>
      <c r="AB456" s="73" t="n">
        <v>80.54000000000001</v>
      </c>
      <c r="AC456" s="73" t="n">
        <v>-2.78</v>
      </c>
      <c r="AD456" s="73" t="n">
        <v>112.39</v>
      </c>
      <c r="AE456" s="73" t="n">
        <v>107.62</v>
      </c>
      <c r="AF456" s="73" t="n">
        <v>81.42</v>
      </c>
      <c r="AG456" s="73" t="n">
        <v>21</v>
      </c>
      <c r="AH456" s="73" t="n">
        <v>18.28</v>
      </c>
      <c r="AI456" s="73" t="n">
        <v>3.36</v>
      </c>
      <c r="AJ456" s="73" t="n">
        <v>116.27</v>
      </c>
      <c r="AK456" s="73" t="n">
        <v>112.31</v>
      </c>
      <c r="AL456" s="73" t="n">
        <v>86.87</v>
      </c>
      <c r="AM456" s="73" t="n">
        <v>21.85</v>
      </c>
      <c r="AN456" s="73" t="n">
        <v>-4.69</v>
      </c>
      <c r="AO456" s="73" t="n">
        <v>-3.57</v>
      </c>
      <c r="AP456" s="63" t="inlineStr">
        <is>
          <t>HSTECH (Hang Seng TECH ETF)</t>
        </is>
      </c>
      <c r="AQ456" s="73" t="n">
        <v>73.77</v>
      </c>
      <c r="AR456" s="64" t="inlineStr">
        <is>
          <t>2026-08-20</t>
        </is>
      </c>
      <c r="AS456" s="65" t="n">
        <v>942.2</v>
      </c>
      <c r="AT456" s="68" t="n">
        <v>322.5</v>
      </c>
      <c r="AU456" s="63" t="inlineStr">
        <is>
          <t>Y</t>
        </is>
      </c>
      <c r="AV456" s="74" t="n">
        <v>36</v>
      </c>
      <c r="AW456" s="74" t="n"/>
      <c r="AX456" s="74" t="n"/>
      <c r="AY456" s="74" t="n">
        <v>12.3</v>
      </c>
      <c r="AZ456" s="75" t="inlineStr">
        <is>
          <t>N</t>
        </is>
      </c>
      <c r="BA456" s="76">
        <f>IF('BBG Verify'!K456="","not filed — run on terminal",'BBG Verify'!K456)</f>
        <v/>
      </c>
      <c r="BB456" s="63" t="inlineStr">
        <is>
          <t>N/A</t>
        </is>
      </c>
      <c r="BC456" s="63" t="inlineStr">
        <is>
          <t>N/A</t>
        </is>
      </c>
      <c r="BD456" s="63" t="inlineStr">
        <is>
          <t>N/A</t>
        </is>
      </c>
      <c r="BE456" s="63" t="inlineStr">
        <is>
          <t>N/A</t>
        </is>
      </c>
      <c r="BF456" s="63" t="inlineStr">
        <is>
          <t>N/A</t>
        </is>
      </c>
      <c r="BG456" s="75" t="inlineStr">
        <is>
          <t>CITIC Securities (Hong Kong) Limited; Guotai Junan Capital Limited</t>
        </is>
      </c>
      <c r="BH456" s="63" t="inlineStr">
        <is>
          <t>CITIC Securities (Hong Kong) Limited; Guotai Junan Capital Limited</t>
        </is>
      </c>
      <c r="BI456" s="63" t="inlineStr">
        <is>
          <t>CLSA Limited; Guotai Junan Securities (Hong Kong) Limited</t>
        </is>
      </c>
      <c r="BJ456" s="63" t="inlineStr">
        <is>
          <t>CLSA Limited; Guotai Junan Securities (Hong Kong) Limited</t>
        </is>
      </c>
      <c r="BK456" s="77">
        <f>HYPERLINK("https://www1.hkexnews.hk/listedco/listconews/sehk/2026/0409/2026040900047.pdf","prospectus")</f>
        <v/>
      </c>
      <c r="BL456" s="77">
        <f>HYPERLINK("https://www1.hkexnews.hk/listedco/listconews/sehk/2026/0416/2026041602158.pdf","allotment")</f>
        <v/>
      </c>
      <c r="BM456" s="77">
        <f>HYPERLINK("https://www1.hkexnews.hk/listedco/listconews/sehk/2026/0514/2026051400392.pdf","stabilisation")</f>
        <v/>
      </c>
      <c r="BN456" s="75" t="n"/>
      <c r="BO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7" t="n">
        <v>6.56</v>
      </c>
      <c r="W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3" t="inlineStr">
        <is>
          <t>black;bosera;cloudalpha;cloudview;cncb;cpe;deliante;foresight;golden-k2;greenwoods;hhlr;mason;hq;huizhou;janchor;jump;mega;metazone;mirae;morgan;mr-ye;my;new-alternative;new-golden;ovata</t>
        </is>
      </c>
      <c r="Y457" s="67" t="n">
        <v>15</v>
      </c>
      <c r="Z457" s="63" t="inlineStr">
        <is>
          <t>full</t>
        </is>
      </c>
      <c r="AA457" s="72" t="n">
        <v>50.09</v>
      </c>
      <c r="AB457" s="73" t="n">
        <v>57.23</v>
      </c>
      <c r="AC457" s="73" t="n">
        <v>-4.54</v>
      </c>
      <c r="AD457" s="73" t="n">
        <v>42.94</v>
      </c>
      <c r="AE457" s="73" t="n">
        <v>64.95</v>
      </c>
      <c r="AF457" s="73" t="n">
        <v>9.59</v>
      </c>
      <c r="AG457" s="73" t="n">
        <v>-4.76</v>
      </c>
      <c r="AH457" s="73" t="n">
        <v>9.9</v>
      </c>
      <c r="AI457" s="73" t="n">
        <v>-26.98</v>
      </c>
      <c r="AJ457" s="73" t="n">
        <v>47.47</v>
      </c>
      <c r="AK457" s="73" t="n">
        <v>70.65000000000001</v>
      </c>
      <c r="AL457" s="73" t="n">
        <v>16.46</v>
      </c>
      <c r="AM457" s="73" t="n">
        <v>15.71</v>
      </c>
      <c r="AN457" s="73" t="n">
        <v>-5.7</v>
      </c>
      <c r="AO457" s="73" t="n">
        <v>-5.81</v>
      </c>
      <c r="AP457" s="63" t="inlineStr">
        <is>
          <t>HSTECH (Hang Seng TECH ETF)</t>
        </is>
      </c>
      <c r="AQ457" s="73" t="n">
        <v>8.06</v>
      </c>
      <c r="AR457" s="64" t="inlineStr">
        <is>
          <t>2026-08-20</t>
        </is>
      </c>
      <c r="AS457" s="65" t="n">
        <v>21221.5</v>
      </c>
      <c r="AT457" s="68" t="n">
        <v>1269.9</v>
      </c>
      <c r="AU457" s="63" t="inlineStr">
        <is>
          <t>Y</t>
        </is>
      </c>
      <c r="AV457" s="74" t="n">
        <v>160</v>
      </c>
      <c r="AW457" s="74" t="n"/>
      <c r="AX457" s="74" t="n"/>
      <c r="AY457" s="74" t="n">
        <v>9.6</v>
      </c>
      <c r="AZ457" s="75" t="inlineStr">
        <is>
          <t>Y</t>
        </is>
      </c>
      <c r="BA457" s="63" t="inlineStr">
        <is>
          <t>300476.SZ</t>
        </is>
      </c>
      <c r="BB457" s="73" t="n">
        <v>87.67</v>
      </c>
      <c r="BC457" s="66" t="n">
        <v>393.8878</v>
      </c>
      <c r="BD457" s="80" t="n">
        <v>0.2816</v>
      </c>
      <c r="BE457" s="78">
        <f>IF('BBG Verify'!Q457="","run on terminal",'BBG Verify'!Q457)</f>
        <v/>
      </c>
      <c r="BF457" s="78">
        <f>IF('BBG Verify'!R457="","run on terminal",'BBG Verify'!R457)</f>
        <v/>
      </c>
      <c r="BG457" s="75" t="inlineStr">
        <is>
          <t>J.P. Morgan Securities (Far East) Limited; China Securities (International) Corporate Finance Company Limited; Central, Hong Kong GF Capital (Hong Kong) Limited</t>
        </is>
      </c>
      <c r="BH457" s="63" t="inlineStr">
        <is>
          <t>J.P. Morgan Securities (Far East) Limited; GF Capital (Hong Kong) Limited; China Securities (International) Corporate Finance Company Limited</t>
        </is>
      </c>
      <c r="BI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7">
        <f>HYPERLINK("https://www1.hkexnews.hk/listedco/listconews/sehk/2026/0413/2026041300005.pdf","prospectus")</f>
        <v/>
      </c>
      <c r="BL457" s="77">
        <f>HYPERLINK("https://www1.hkexnews.hk/listedco/listconews/sehk/2026/0420/2026042001650.pdf","allotment")</f>
        <v/>
      </c>
      <c r="BM457" s="77">
        <f>HYPERLINK("https://www1.hkexnews.hk/listedco/listconews/sehk/2026/0518/2026051800452.pdf","stabilisation")</f>
        <v/>
      </c>
      <c r="BN457" s="75" t="n"/>
      <c r="BO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73138.3</v>
      </c>
      <c r="R458" s="63" t="inlineStr">
        <is>
          <t>derived:deal size / offer % of enlarged capital</t>
        </is>
      </c>
      <c r="S458" s="69" t="n">
        <v>531.33</v>
      </c>
      <c r="T458" s="70" t="n">
        <v>13.34</v>
      </c>
      <c r="U458" s="71" t="n">
        <v>49.7</v>
      </c>
      <c r="V458" s="67" t="n">
        <v>3.13</v>
      </c>
      <c r="W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3" t="inlineStr">
        <is>
          <t>3w;aurora;awinic;china-international;cloud;everbright;green;hongxing;ingenic;ivyrock;jinyi;jpmorgan;kingboard;new;perseverance;taikang;ubs</t>
        </is>
      </c>
      <c r="Y458" s="67" t="n">
        <v>15</v>
      </c>
      <c r="Z458" s="63" t="inlineStr">
        <is>
          <t>full</t>
        </is>
      </c>
      <c r="AA458" s="72" t="n">
        <v>13.26</v>
      </c>
      <c r="AB458" s="73" t="n">
        <v>12.68</v>
      </c>
      <c r="AC458" s="73" t="n">
        <v>0.51</v>
      </c>
      <c r="AD458" s="73" t="n">
        <v>17.12</v>
      </c>
      <c r="AE458" s="73" t="n">
        <v>52.16</v>
      </c>
      <c r="AF458" s="73" t="n">
        <v>21.17</v>
      </c>
      <c r="AG458" s="73" t="n">
        <v>3.41</v>
      </c>
      <c r="AH458" s="73" t="n">
        <v>34.35</v>
      </c>
      <c r="AI458" s="73" t="n">
        <v>6.98</v>
      </c>
      <c r="AJ458" s="73" t="n">
        <v>18.81</v>
      </c>
      <c r="AK458" s="73" t="n">
        <v>52.53</v>
      </c>
      <c r="AL458" s="73" t="n">
        <v>26.15</v>
      </c>
      <c r="AM458" s="73" t="n">
        <v>32.62</v>
      </c>
      <c r="AN458" s="73" t="n">
        <v>-0.37</v>
      </c>
      <c r="AO458" s="73" t="n">
        <v>1.73</v>
      </c>
      <c r="AP458" s="63" t="inlineStr">
        <is>
          <t>HSTECH (Hang Seng TECH ETF)</t>
        </is>
      </c>
      <c r="AQ458" s="73" t="n">
        <v>28.74</v>
      </c>
      <c r="AR458" s="64" t="inlineStr">
        <is>
          <t>2026-08-24</t>
        </is>
      </c>
      <c r="AS458" s="65" t="n">
        <v>188580.6</v>
      </c>
      <c r="AT458" s="68" t="n">
        <v>4544.7</v>
      </c>
      <c r="AU458" s="63" t="inlineStr">
        <is>
          <t>Y</t>
        </is>
      </c>
      <c r="AV458" s="74" t="n">
        <v>16.1</v>
      </c>
      <c r="AW458" s="74" t="n">
        <v>19.2</v>
      </c>
      <c r="AX458" s="74" t="n">
        <v>23.6</v>
      </c>
      <c r="AY458" s="74" t="n">
        <v>0.4</v>
      </c>
      <c r="AZ458" s="75" t="inlineStr">
        <is>
          <t>Y</t>
        </is>
      </c>
      <c r="BA458" s="63" t="inlineStr">
        <is>
          <t>603296.SS</t>
        </is>
      </c>
      <c r="BB458" s="73" t="n">
        <v>55.23</v>
      </c>
      <c r="BC458" s="66" t="n">
        <v>120.6149</v>
      </c>
      <c r="BD458" s="80" t="n">
        <v>0.228</v>
      </c>
      <c r="BE458" s="78">
        <f>IF('BBG Verify'!Q458="","run on terminal",'BBG Verify'!Q458)</f>
        <v/>
      </c>
      <c r="BF458" s="78">
        <f>IF('BBG Verify'!R458="","run on terminal",'BBG Verify'!R458)</f>
        <v/>
      </c>
      <c r="BG458" s="75" t="inlineStr">
        <is>
          <t>CICC; BofA Securities</t>
        </is>
      </c>
      <c r="BH458" s="63" t="inlineStr">
        <is>
          <t>China International Capital Corporation Hong Kong Securities Limited; Merrill Lynch (Asia Pacific) Limited</t>
        </is>
      </c>
      <c r="BI458" s="63" t="inlineStr">
        <is>
          <t>ABCI Capital Limited; Tiger Brokers (HK) Global Limited</t>
        </is>
      </c>
      <c r="BJ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7">
        <f>HYPERLINK("https://www1.hkexnews.hk/listedco/listconews/sehk/2026/0415/2026041500011.pdf","prospectus")</f>
        <v/>
      </c>
      <c r="BL458" s="77">
        <f>HYPERLINK("https://www1.hkexnews.hk/listedco/listconews/sehk/2026/0422/2026042202072.pdf","allotment")</f>
        <v/>
      </c>
      <c r="BM458" s="77">
        <f>HYPERLINK("https://www1.hkexnews.hk/listedco/listconews/sehk/2026/0520/2026052001304.pdf","stabilisation")</f>
        <v/>
      </c>
      <c r="BN458" s="75" t="n"/>
      <c r="BO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7" t="n">
        <v>7.21</v>
      </c>
      <c r="W459" s="63" t="inlineStr">
        <is>
          <t>Charm Harvest International Limited; Guohui (HK) Holdings Co., Limited; Junshi Hong Kong Limited; Sanjin International CO., LTD; Splendid Zhonghe (Tianjin) Investment Management Co., Ltd; WuXi Biologics HealthCare Venture</t>
        </is>
      </c>
      <c r="X459" s="63" t="inlineStr">
        <is>
          <t>charm;guohui;junshi;sanjin;splendid;wuxi</t>
        </is>
      </c>
      <c r="Y459" s="67" t="n"/>
      <c r="Z459" s="63" t="n"/>
      <c r="AA459" s="72" t="n">
        <v>0.58</v>
      </c>
      <c r="AB459" s="73" t="n">
        <v>2.39</v>
      </c>
      <c r="AC459" s="73" t="n">
        <v>-1.77</v>
      </c>
      <c r="AD459" s="73" t="n">
        <v>-2.03</v>
      </c>
      <c r="AE459" s="73" t="n">
        <v>-17.58</v>
      </c>
      <c r="AF459" s="73" t="n">
        <v>-24.17</v>
      </c>
      <c r="AG459" s="73" t="n">
        <v>-2.59</v>
      </c>
      <c r="AH459" s="73" t="n">
        <v>-18.06</v>
      </c>
      <c r="AI459" s="73" t="n">
        <v>-24.61</v>
      </c>
      <c r="AJ459" s="73" t="n">
        <v>-2.78</v>
      </c>
      <c r="AK459" s="73" t="n">
        <v>-11.23</v>
      </c>
      <c r="AL459" s="73" t="n">
        <v>-23.18</v>
      </c>
      <c r="AM459" s="73" t="n">
        <v>-10.99</v>
      </c>
      <c r="AN459" s="73" t="n">
        <v>-6.35</v>
      </c>
      <c r="AO459" s="73" t="n">
        <v>-7.07</v>
      </c>
      <c r="AP459" s="63" t="inlineStr">
        <is>
          <t>China Biotech ETF (HS biotech proxy)</t>
        </is>
      </c>
      <c r="AQ459" s="73" t="n">
        <v>-20.62</v>
      </c>
      <c r="AR459" s="64" t="inlineStr">
        <is>
          <t>2026-08-21</t>
        </is>
      </c>
      <c r="AS459" s="65" t="n">
        <v>724.6</v>
      </c>
      <c r="AT459" s="68" t="n">
        <v>-1069.5</v>
      </c>
      <c r="AU459" s="63" t="inlineStr">
        <is>
          <t>N</t>
        </is>
      </c>
      <c r="AV459" s="63" t="inlineStr">
        <is>
          <t>n/m</t>
        </is>
      </c>
      <c r="AW459" s="74" t="n"/>
      <c r="AX459" s="74" t="n"/>
      <c r="AY459" s="74" t="n">
        <v>17</v>
      </c>
      <c r="AZ459" s="75" t="inlineStr">
        <is>
          <t>Y</t>
        </is>
      </c>
      <c r="BA459" s="63" t="inlineStr">
        <is>
          <t>688062.SS</t>
        </is>
      </c>
      <c r="BB459" s="73" t="n">
        <v>53.53</v>
      </c>
      <c r="BC459" s="66" t="n">
        <v>42.4365</v>
      </c>
      <c r="BD459" s="80" t="n">
        <v>0.5888</v>
      </c>
      <c r="BE459" s="78">
        <f>IF('BBG Verify'!Q459="","run on terminal",'BBG Verify'!Q459)</f>
        <v/>
      </c>
      <c r="BF459" s="78">
        <f>IF('BBG Verify'!R459="","run on terminal",'BBG Verify'!R459)</f>
        <v/>
      </c>
      <c r="BG459" s="75" t="inlineStr">
        <is>
          <t>CITIC Securities (Hong Kong) Limited; Haitong International Capital Limited</t>
        </is>
      </c>
      <c r="BH459" s="63" t="inlineStr">
        <is>
          <t>Haitong International Capital Limited; CITIC Securities (Hong Kong) Limited</t>
        </is>
      </c>
      <c r="BI459" s="63" t="inlineStr">
        <is>
          <t>CLSA Limited; Haitong International Securities Company Limited; CMB International Capital Limited; ABCI Capital Limited</t>
        </is>
      </c>
      <c r="BJ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7">
        <f>HYPERLINK("https://www1.hkexnews.hk/listedco/listconews/sehk/2026/0420/2026042000011.pdf","prospectus")</f>
        <v/>
      </c>
      <c r="BL459" s="77">
        <f>HYPERLINK("https://www1.hkexnews.hk/listedco/listconews/sehk/2026/0427/2026042703128.pdf","allotment")</f>
        <v/>
      </c>
      <c r="BM459" s="63" t="n"/>
      <c r="BN459" s="75" t="n"/>
      <c r="BO459" s="63" t="inlineStr">
        <is>
          <t>P/E: n/m — loss-making at IPO (use P/S) · greenshoe: no over-allotment option in the offer structure · A/H: Apr 2026 H listing (ADC biotech); A+H on STAR · greenshoe size: no over-allotment option in the offer structure</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v>166.6</v>
      </c>
      <c r="L460" s="66" t="n">
        <v>183.2</v>
      </c>
      <c r="M460" s="66" t="n">
        <v>183.2</v>
      </c>
      <c r="N460" s="63" t="inlineStr">
        <is>
          <t>Y</t>
        </is>
      </c>
      <c r="O460" s="67" t="n">
        <v>100</v>
      </c>
      <c r="P460" s="67" t="n">
        <v>100</v>
      </c>
      <c r="Q460" s="68" t="n">
        <v>14981</v>
      </c>
      <c r="R460" s="63" t="inlineStr">
        <is>
          <t>derived:deal size / offer % of enlarged capital</t>
        </is>
      </c>
      <c r="S460" s="69" t="n">
        <v>5784.7</v>
      </c>
      <c r="T460" s="70" t="n">
        <v>53.83</v>
      </c>
      <c r="U460" s="71" t="n">
        <v>65.06</v>
      </c>
      <c r="V460" s="67" t="n">
        <v>5.89</v>
      </c>
      <c r="W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3" t="inlineStr">
        <is>
          <t>3w;alibaba;aspex;baillie;blackrock;cpe;fil;gf;gic;greenwoods;hhlr;icbc;lenovo;mirae;ping;schroder;shanghai-cm;ubs;zte</t>
        </is>
      </c>
      <c r="Y460" s="67" t="n">
        <v>15</v>
      </c>
      <c r="Z460" s="63" t="n"/>
      <c r="AA460" s="72" t="n">
        <v>383.62</v>
      </c>
      <c r="AB460" s="73" t="n">
        <v>380.35</v>
      </c>
      <c r="AC460" s="73" t="n">
        <v>0.68</v>
      </c>
      <c r="AD460" s="73" t="n">
        <v>384.99</v>
      </c>
      <c r="AE460" s="73" t="n">
        <v>236.24</v>
      </c>
      <c r="AF460" s="73" t="n">
        <v>27.29</v>
      </c>
      <c r="AG460" s="73" t="n">
        <v>0.28</v>
      </c>
      <c r="AH460" s="73" t="n">
        <v>-30.47</v>
      </c>
      <c r="AI460" s="73" t="n">
        <v>-73.68000000000001</v>
      </c>
      <c r="AJ460" s="73" t="n">
        <v>384.16</v>
      </c>
      <c r="AK460" s="73" t="n">
        <v>237.19</v>
      </c>
      <c r="AL460" s="73" t="n">
        <v>29.61</v>
      </c>
      <c r="AM460" s="73" t="n">
        <v>-31.7</v>
      </c>
      <c r="AN460" s="73" t="n">
        <v>-0.95</v>
      </c>
      <c r="AO460" s="73" t="n">
        <v>1.23</v>
      </c>
      <c r="AP460" s="63" t="inlineStr">
        <is>
          <t>HSTECH (Hang Seng TECH ETF)</t>
        </is>
      </c>
      <c r="AQ460" s="73" t="n">
        <v>65.28</v>
      </c>
      <c r="AR460" s="64" t="inlineStr">
        <is>
          <t>2026-08-20</t>
        </is>
      </c>
      <c r="AS460" s="65" t="n">
        <v>117</v>
      </c>
      <c r="AT460" s="68" t="n">
        <v>-808.8</v>
      </c>
      <c r="AU460" s="63" t="inlineStr">
        <is>
          <t>N</t>
        </is>
      </c>
      <c r="AV460" s="63" t="inlineStr">
        <is>
          <t>n/m</t>
        </is>
      </c>
      <c r="AW460" s="74" t="n"/>
      <c r="AX460" s="74" t="n"/>
      <c r="AY460" s="74" t="n">
        <v>128</v>
      </c>
      <c r="AZ460" s="75" t="inlineStr">
        <is>
          <t>N</t>
        </is>
      </c>
      <c r="BA460" s="76">
        <f>IF('BBG Verify'!K460="","not filed — run on terminal",'BBG Verify'!K460)</f>
        <v/>
      </c>
      <c r="BB460" s="63" t="inlineStr">
        <is>
          <t>N/A</t>
        </is>
      </c>
      <c r="BC460" s="63" t="inlineStr">
        <is>
          <t>N/A</t>
        </is>
      </c>
      <c r="BD460" s="63" t="inlineStr">
        <is>
          <t>N/A</t>
        </is>
      </c>
      <c r="BE460" s="63" t="inlineStr">
        <is>
          <t>N/A</t>
        </is>
      </c>
      <c r="BF460" s="63" t="inlineStr">
        <is>
          <t>N/A</t>
        </is>
      </c>
      <c r="BG460" s="75" t="inlineStr">
        <is>
          <t>China International Capital Corporation Hong Kong Securities Limited; Haitong International Capital Limited</t>
        </is>
      </c>
      <c r="BH460" s="63" t="inlineStr">
        <is>
          <t>China International Capital Corporation Hong Kong Securities Limited; Haitong International Capital Limited</t>
        </is>
      </c>
      <c r="BI460" s="63"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7">
        <f>HYPERLINK("https://www1.hkexnews.hk/listedco/listconews/sehk/2026/0420/2026042000021.pdf","prospectus")</f>
        <v/>
      </c>
      <c r="BL460" s="77">
        <f>HYPERLINK("https://www1.hkexnews.hk/listedco/listconews/sehk/2026/0427/2026042703526.pdf","allotment")</f>
        <v/>
      </c>
      <c r="BM460" s="63" t="n"/>
      <c r="BN460" s="75" t="n"/>
      <c r="BO460" s="63" t="inlineStr">
        <is>
          <t>P/E: n/m — loss-making at IPO (use P/S) · greenshoe: end-of-stabilisation notice not located · A/H: no A-share listing</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7" t="n">
        <v>7.74</v>
      </c>
      <c r="W461" s="63" t="inlineStr">
        <is>
          <t>XINWUTANG CO., LIMITED</t>
        </is>
      </c>
      <c r="X461" s="63" t="inlineStr">
        <is>
          <t>xinwutang</t>
        </is>
      </c>
      <c r="Y461" s="67" t="n">
        <v>15</v>
      </c>
      <c r="Z461" s="63" t="n"/>
      <c r="AA461" s="72" t="n">
        <v>241.11</v>
      </c>
      <c r="AB461" s="73" t="n">
        <v>292.2</v>
      </c>
      <c r="AC461" s="73" t="n">
        <v>-13.03</v>
      </c>
      <c r="AD461" s="73" t="n">
        <v>216.57</v>
      </c>
      <c r="AE461" s="73" t="n">
        <v>201.49</v>
      </c>
      <c r="AF461" s="73" t="n">
        <v>136.73</v>
      </c>
      <c r="AG461" s="73" t="n">
        <v>-7.19</v>
      </c>
      <c r="AH461" s="73" t="n">
        <v>-11.62</v>
      </c>
      <c r="AI461" s="73" t="n">
        <v>-30.6</v>
      </c>
      <c r="AJ461" s="73" t="n">
        <v>210.56</v>
      </c>
      <c r="AK461" s="73" t="n">
        <v>198.53</v>
      </c>
      <c r="AL461" s="73" t="n">
        <v>136.65</v>
      </c>
      <c r="AM461" s="73" t="n">
        <v>-12.78</v>
      </c>
      <c r="AN461" s="73" t="n">
        <v>2.96</v>
      </c>
      <c r="AO461" s="73" t="n">
        <v>1.16</v>
      </c>
      <c r="AP461" s="63" t="inlineStr">
        <is>
          <t>HSTECH (Hang Seng TECH ETF)</t>
        </is>
      </c>
      <c r="AQ461" s="73" t="n">
        <v>126.67</v>
      </c>
      <c r="AR461" s="64" t="inlineStr">
        <is>
          <t>2026-08-20</t>
        </is>
      </c>
      <c r="AS461" s="65" t="n">
        <v>4193</v>
      </c>
      <c r="AT461" s="68" t="n">
        <v>244.9</v>
      </c>
      <c r="AU461" s="63" t="inlineStr">
        <is>
          <t>Y</t>
        </is>
      </c>
      <c r="AV461" s="74" t="n">
        <v>40.9</v>
      </c>
      <c r="AW461" s="74" t="n"/>
      <c r="AX461" s="74" t="n"/>
      <c r="AY461" s="74" t="n">
        <v>2.4</v>
      </c>
      <c r="AZ461" s="75" t="inlineStr">
        <is>
          <t>N</t>
        </is>
      </c>
      <c r="BA461" s="76">
        <f>IF('BBG Verify'!K461="","not filed — run on terminal",'BBG Verify'!K461)</f>
        <v/>
      </c>
      <c r="BB461" s="63" t="inlineStr">
        <is>
          <t>N/A</t>
        </is>
      </c>
      <c r="BC461" s="63" t="inlineStr">
        <is>
          <t>N/A</t>
        </is>
      </c>
      <c r="BD461" s="63" t="inlineStr">
        <is>
          <t>N/A</t>
        </is>
      </c>
      <c r="BE461" s="63" t="inlineStr">
        <is>
          <t>N/A</t>
        </is>
      </c>
      <c r="BF461" s="63" t="inlineStr">
        <is>
          <t>N/A</t>
        </is>
      </c>
      <c r="BG461" s="75" t="inlineStr">
        <is>
          <t>Deutsche Securities Asia Limited; CITIC Securities (Hong Kong) Limited; ABCI Capital Limited</t>
        </is>
      </c>
      <c r="BH461" s="63" t="inlineStr">
        <is>
          <t>CITIC Securities (Hong Kong) Limited; Deutsche Securities Asia Limited; ABCI Capital Limited</t>
        </is>
      </c>
      <c r="BI461" s="63"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7">
        <f>HYPERLINK("https://www1.hkexnews.hk/listedco/listconews/sehk/2026/0421/2026042100017.pdf","prospectus")</f>
        <v/>
      </c>
      <c r="BL461" s="77">
        <f>HYPERLINK("https://www1.hkexnews.hk/listedco/listconews/sehk/2026/0428/2026042804737.pdf","allotment")</f>
        <v/>
      </c>
      <c r="BM461" s="63" t="n"/>
      <c r="BN461" s="75" t="n"/>
      <c r="BO461" s="63" t="inlineStr">
        <is>
          <t>greenshoe: end-of-stabilisation notice not located · range low: cap-only pricing — the filing publishes a Maximum Offer Price and no indicative floor · A/H: no A-share listing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34.71</v>
      </c>
      <c r="V462" s="67" t="n">
        <v>10.03</v>
      </c>
      <c r="W462" s="63" t="inlineStr">
        <is>
          <t>JSC International Investment Fund SPC; Mega Prime Development Limited; OAP IV (HK) Limited; Poly Platinum Enterprises Limited</t>
        </is>
      </c>
      <c r="X462" s="63" t="inlineStr">
        <is>
          <t>jsc;mega;oap;poly</t>
        </is>
      </c>
      <c r="Y462" s="67" t="n"/>
      <c r="Z462" s="63" t="n"/>
      <c r="AA462" s="72" t="n">
        <v>118.27</v>
      </c>
      <c r="AB462" s="73" t="n">
        <v>192.39</v>
      </c>
      <c r="AC462" s="73" t="n">
        <v>-25.35</v>
      </c>
      <c r="AD462" s="73" t="n">
        <v>102.44</v>
      </c>
      <c r="AE462" s="73" t="n">
        <v>94.31</v>
      </c>
      <c r="AF462" s="73" t="n">
        <v>26.4</v>
      </c>
      <c r="AG462" s="73" t="n">
        <v>-7.25</v>
      </c>
      <c r="AH462" s="73" t="n">
        <v>-10.98</v>
      </c>
      <c r="AI462" s="73" t="n">
        <v>-42.09</v>
      </c>
      <c r="AJ462" s="73" t="n">
        <v>102.24</v>
      </c>
      <c r="AK462" s="73" t="n">
        <v>108.17</v>
      </c>
      <c r="AL462" s="73" t="n">
        <v>25.77</v>
      </c>
      <c r="AM462" s="73" t="n">
        <v>2.43</v>
      </c>
      <c r="AN462" s="73" t="n">
        <v>-13.86</v>
      </c>
      <c r="AO462" s="73" t="n">
        <v>-13.41</v>
      </c>
      <c r="AP462" s="63" t="inlineStr">
        <is>
          <t>China Biotech ETF (HS biotech proxy)</t>
        </is>
      </c>
      <c r="AQ462" s="73" t="n">
        <v>46.29</v>
      </c>
      <c r="AR462" s="64" t="inlineStr">
        <is>
          <t>2026-08-20</t>
        </is>
      </c>
      <c r="AS462" s="65" t="n">
        <v>443</v>
      </c>
      <c r="AT462" s="68" t="n">
        <v>150.7</v>
      </c>
      <c r="AU462" s="63" t="inlineStr">
        <is>
          <t>Y</t>
        </is>
      </c>
      <c r="AV462" s="74" t="n">
        <v>35.8</v>
      </c>
      <c r="AW462" s="74" t="n"/>
      <c r="AX462" s="74" t="n"/>
      <c r="AY462" s="74" t="n">
        <v>12.2</v>
      </c>
      <c r="AZ462" s="75" t="inlineStr">
        <is>
          <t>N</t>
        </is>
      </c>
      <c r="BA462" s="76">
        <f>IF('BBG Verify'!K462="","not filed — run on terminal",'BBG Verify'!K462)</f>
        <v/>
      </c>
      <c r="BB462" s="63" t="inlineStr">
        <is>
          <t>N/A</t>
        </is>
      </c>
      <c r="BC462" s="63" t="inlineStr">
        <is>
          <t>N/A</t>
        </is>
      </c>
      <c r="BD462" s="63" t="inlineStr">
        <is>
          <t>N/A</t>
        </is>
      </c>
      <c r="BE462" s="63" t="inlineStr">
        <is>
          <t>N/A</t>
        </is>
      </c>
      <c r="BF462" s="63" t="inlineStr">
        <is>
          <t>N/A</t>
        </is>
      </c>
      <c r="BG462" s="75" t="inlineStr">
        <is>
          <t>CITIC Securities (Hong Kong) Limited; CCB International Capital Limited</t>
        </is>
      </c>
      <c r="BH462" s="63" t="inlineStr">
        <is>
          <t>CCB International Capital Limited; CITIC Securities (Hong Kong) Limited</t>
        </is>
      </c>
      <c r="BI462" s="63" t="inlineStr">
        <is>
          <t>CLSA Limited; CCB International Capital Limited; (Hong Kong) Co., Limited; CMBC Securities Company Limited; Open Securities Limited; Zheshang International Financial Holdings Co., Limited</t>
        </is>
      </c>
      <c r="BJ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7">
        <f>HYPERLINK("https://www1.hkexnews.hk/listedco/listconews/sehk/2026/0424/2026042400053.pdf","prospectus")</f>
        <v/>
      </c>
      <c r="BL462" s="77">
        <f>HYPERLINK("https://www1.hkexnews.hk/listedco/listconews/sehk/2026/0504/2026050403728.pdf","allotment")</f>
        <v/>
      </c>
      <c r="BM462" s="63" t="n"/>
      <c r="BN462" s="75" t="n"/>
      <c r="BO462" s="63"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35.76</v>
      </c>
      <c r="V463" s="67" t="n">
        <v>7.35</v>
      </c>
      <c r="W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3" t="inlineStr">
        <is>
          <t>changsha;da;fr;hongkong;lens;mr-dai;mr-huang;ms-lu;odi;panjing;sinohealth</t>
        </is>
      </c>
      <c r="Y463" s="67" t="n"/>
      <c r="Z463" s="63" t="n"/>
      <c r="AA463" s="72" t="n">
        <v>-1.09</v>
      </c>
      <c r="AB463" s="73" t="n">
        <v>1.3</v>
      </c>
      <c r="AC463" s="73" t="n">
        <v>-2.36</v>
      </c>
      <c r="AD463" s="73" t="n">
        <v>-6.69</v>
      </c>
      <c r="AE463" s="73" t="n">
        <v>-16.09</v>
      </c>
      <c r="AF463" s="73" t="n">
        <v>-17.72</v>
      </c>
      <c r="AG463" s="73" t="n">
        <v>-5.66</v>
      </c>
      <c r="AH463" s="73" t="n">
        <v>-15.17</v>
      </c>
      <c r="AI463" s="73" t="n">
        <v>-16.81</v>
      </c>
      <c r="AJ463" s="73" t="n">
        <v>-6.32</v>
      </c>
      <c r="AK463" s="73" t="n">
        <v>-2.1</v>
      </c>
      <c r="AL463" s="73" t="n">
        <v>-18.53</v>
      </c>
      <c r="AM463" s="73" t="n">
        <v>-1.23</v>
      </c>
      <c r="AN463" s="73" t="n">
        <v>-13.99</v>
      </c>
      <c r="AO463" s="73" t="n">
        <v>-13.94</v>
      </c>
      <c r="AP463" s="63" t="inlineStr">
        <is>
          <t>China Biotech ETF (HS biotech proxy)</t>
        </is>
      </c>
      <c r="AQ463" s="73" t="n">
        <v>-19.09</v>
      </c>
      <c r="AR463" s="64" t="inlineStr">
        <is>
          <t>2026-08-20</t>
        </is>
      </c>
      <c r="AS463" s="65" t="n">
        <v>3726.2</v>
      </c>
      <c r="AT463" s="68" t="n">
        <v>-1.5</v>
      </c>
      <c r="AU463" s="63" t="inlineStr">
        <is>
          <t>N</t>
        </is>
      </c>
      <c r="AV463" s="63" t="inlineStr">
        <is>
          <t>n/m</t>
        </is>
      </c>
      <c r="AW463" s="74" t="n">
        <v>18.8</v>
      </c>
      <c r="AX463" s="74" t="n">
        <v>15.1</v>
      </c>
      <c r="AY463" s="74" t="n">
        <v>2.5</v>
      </c>
      <c r="AZ463" s="75" t="inlineStr">
        <is>
          <t>Y</t>
        </is>
      </c>
      <c r="BA463" s="63" t="inlineStr">
        <is>
          <t>301087.SZ</t>
        </is>
      </c>
      <c r="BB463" s="73" t="n">
        <v>54.6</v>
      </c>
      <c r="BC463" s="66" t="n">
        <v>60.8041</v>
      </c>
      <c r="BD463" s="80" t="n">
        <v>0.747</v>
      </c>
      <c r="BE463" s="78">
        <f>IF('BBG Verify'!Q463="","run on terminal",'BBG Verify'!Q463)</f>
        <v/>
      </c>
      <c r="BF463" s="78">
        <f>IF('BBG Verify'!R463="","run on terminal",'BBG Verify'!R463)</f>
        <v/>
      </c>
      <c r="BG463" s="75" t="inlineStr">
        <is>
          <t>Huatai Financial Holdings (Hong Kong) Limited; BNP Paribas Securities (Asia) Limited</t>
        </is>
      </c>
      <c r="BH463" s="63" t="inlineStr">
        <is>
          <t>Huatai Financial Holdings (Hong Kong) Limited; BNP Paribas Securities (Asia) Limited</t>
        </is>
      </c>
      <c r="BI463" s="63" t="inlineStr">
        <is>
          <t>BNP Paribas Securities (Asia) Limited; Futu Securities International (Hong Kong) Limited; Huatai Financial Holdings (Hong Kong) Limited</t>
        </is>
      </c>
      <c r="BJ463" s="63" t="inlineStr">
        <is>
          <t>BNP Paribas Securities (Asia) Limited; Futu Securities International (Hong Kong) Limited; Huatai Financial Holdings (Hong Kong) Limited</t>
        </is>
      </c>
      <c r="BK463" s="77">
        <f>HYPERLINK("https://www1.hkexnews.hk/listedco/listconews/sehk/2026/0427/2026042700013.pdf","prospectus")</f>
        <v/>
      </c>
      <c r="BL463" s="77">
        <f>HYPERLINK("https://www1.hkexnews.hk/listedco/listconews/sehk/2026/0505/2026050501942.pdf","allotment")</f>
        <v/>
      </c>
      <c r="BM463" s="63" t="n"/>
      <c r="BN463" s="75" t="n"/>
      <c r="BO463" s="63"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v>24</v>
      </c>
      <c r="L464" s="66" t="n">
        <v>30</v>
      </c>
      <c r="M464" s="66" t="n">
        <v>26.36</v>
      </c>
      <c r="N464" s="63" t="inlineStr">
        <is>
          <t>N</t>
        </is>
      </c>
      <c r="O464" s="67" t="n">
        <v>87.90000000000001</v>
      </c>
      <c r="P464" s="67" t="n">
        <v>39.3</v>
      </c>
      <c r="Q464" s="68" t="n">
        <v>7776.1</v>
      </c>
      <c r="R464" s="63" t="inlineStr">
        <is>
          <t>derived:deal size / offer % of enlarged capital</t>
        </is>
      </c>
      <c r="S464" s="69" t="n">
        <v>6707.66</v>
      </c>
      <c r="T464" s="70" t="n">
        <v>9.539999999999999</v>
      </c>
      <c r="U464" s="71" t="n">
        <v>31.52</v>
      </c>
      <c r="V464" s="67" t="n">
        <v>7.74</v>
      </c>
      <c r="W464" s="63" t="inlineStr">
        <is>
          <t>KCH Vision Investment Limited</t>
        </is>
      </c>
      <c r="X464" s="63" t="inlineStr">
        <is>
          <t>kch</t>
        </is>
      </c>
      <c r="Y464" s="67" t="n">
        <v>13.41</v>
      </c>
      <c r="Z464" s="63" t="n"/>
      <c r="AA464" s="72" t="n">
        <v>127.62</v>
      </c>
      <c r="AB464" s="73" t="n">
        <v>102.96</v>
      </c>
      <c r="AC464" s="73" t="n">
        <v>12.15</v>
      </c>
      <c r="AD464" s="73" t="n">
        <v>56.68</v>
      </c>
      <c r="AE464" s="73" t="n">
        <v>54.86</v>
      </c>
      <c r="AF464" s="73" t="n">
        <v>48.71</v>
      </c>
      <c r="AG464" s="73" t="n">
        <v>-31.17</v>
      </c>
      <c r="AH464" s="73" t="n">
        <v>-31.97</v>
      </c>
      <c r="AI464" s="73" t="n">
        <v>-34.67</v>
      </c>
      <c r="AJ464" s="73" t="n">
        <v>61.92</v>
      </c>
      <c r="AK464" s="73" t="n">
        <v>62.14</v>
      </c>
      <c r="AL464" s="73" t="n">
        <v>53.95</v>
      </c>
      <c r="AM464" s="73" t="n">
        <v>-24.69</v>
      </c>
      <c r="AN464" s="73" t="n">
        <v>-7.28</v>
      </c>
      <c r="AO464" s="73" t="n">
        <v>-7.28</v>
      </c>
      <c r="AP464" s="63" t="inlineStr">
        <is>
          <t>HSTECH (Hang Seng TECH ETF)</t>
        </is>
      </c>
      <c r="AQ464" s="73" t="n">
        <v>41.5</v>
      </c>
      <c r="AR464" s="64" t="inlineStr">
        <is>
          <t>2026-08-21</t>
        </is>
      </c>
      <c r="AS464" s="65" t="n">
        <v>150.6</v>
      </c>
      <c r="AT464" s="68" t="n">
        <v>-68.8</v>
      </c>
      <c r="AU464" s="63" t="inlineStr">
        <is>
          <t>N</t>
        </is>
      </c>
      <c r="AV464" s="63" t="inlineStr">
        <is>
          <t>n/m</t>
        </is>
      </c>
      <c r="AW464" s="74" t="n"/>
      <c r="AX464" s="74" t="n"/>
      <c r="AY464" s="74" t="n">
        <v>51.6</v>
      </c>
      <c r="AZ464" s="75" t="inlineStr">
        <is>
          <t>N</t>
        </is>
      </c>
      <c r="BA464" s="76">
        <f>IF('BBG Verify'!K464="","not filed — run on terminal",'BBG Verify'!K464)</f>
        <v/>
      </c>
      <c r="BB464" s="63" t="inlineStr">
        <is>
          <t>N/A</t>
        </is>
      </c>
      <c r="BC464" s="63" t="inlineStr">
        <is>
          <t>N/A</t>
        </is>
      </c>
      <c r="BD464" s="63" t="inlineStr">
        <is>
          <t>N/A</t>
        </is>
      </c>
      <c r="BE464" s="63" t="inlineStr">
        <is>
          <t>N/A</t>
        </is>
      </c>
      <c r="BF464" s="63" t="inlineStr">
        <is>
          <t>N/A</t>
        </is>
      </c>
      <c r="BG464" s="75" t="inlineStr">
        <is>
          <t>Haitong International Capital Limited; Central, Hong Kong Guotai Junan Capital Limited</t>
        </is>
      </c>
      <c r="BH464" s="63" t="inlineStr">
        <is>
          <t>Haitong International Capital Limited; Guotai Junan Capital Limited</t>
        </is>
      </c>
      <c r="BI464" s="63" t="inlineStr">
        <is>
          <t>No. 95 Queensway, Admiralty, Hong Kong Orient Securities (Hong Kong) Limited; Central, Hong Kong Yuet Sheung International Securities Limited; Sheung Wan, Hong Kong Goldbridge Securities Limited</t>
        </is>
      </c>
      <c r="BJ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7">
        <f>HYPERLINK("https://www1.hkexnews.hk/listedco/listconews/sehk/2026/0430/2026043000099.pdf","prospectus")</f>
        <v/>
      </c>
      <c r="BL464" s="77">
        <f>HYPERLINK("https://www1.hkexnews.hk/listedco/listconews/sehk/2026/0508/2026050801854.pdf","allotment")</f>
        <v/>
      </c>
      <c r="BM464" s="63" t="n"/>
      <c r="BN464" s="75" t="n"/>
      <c r="BO464" s="63" t="inlineStr">
        <is>
          <t>P/E: n/m — loss-making at IPO (use P/S) · greenshoe: end-of-stabilisation notice not located · A/H: no A-share listing</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7" t="n">
        <v>11.42</v>
      </c>
      <c r="W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3" t="inlineStr">
        <is>
          <t>first-quarter;foresight;huang-river;lav;prosper;healthcare</t>
        </is>
      </c>
      <c r="Y465" s="67" t="n">
        <v>8.529999999999999</v>
      </c>
      <c r="Z465" s="63" t="inlineStr">
        <is>
          <t>full</t>
        </is>
      </c>
      <c r="AA465" s="72" t="n">
        <v>108.26</v>
      </c>
      <c r="AB465" s="73" t="n">
        <v>76.62</v>
      </c>
      <c r="AC465" s="73" t="n">
        <v>17.91</v>
      </c>
      <c r="AD465" s="73" t="n">
        <v>86.27</v>
      </c>
      <c r="AE465" s="73" t="n">
        <v>81.09</v>
      </c>
      <c r="AF465" s="73" t="n">
        <v>-39.75</v>
      </c>
      <c r="AG465" s="73" t="n">
        <v>-10.56</v>
      </c>
      <c r="AH465" s="73" t="n">
        <v>-13.05</v>
      </c>
      <c r="AI465" s="73" t="n">
        <v>-71.06999999999999</v>
      </c>
      <c r="AJ465" s="73" t="n">
        <v>93.78</v>
      </c>
      <c r="AK465" s="73" t="n">
        <v>95.55</v>
      </c>
      <c r="AL465" s="73" t="n">
        <v>-48.04</v>
      </c>
      <c r="AM465" s="73" t="n">
        <v>0.47</v>
      </c>
      <c r="AN465" s="73" t="n">
        <v>-14.46</v>
      </c>
      <c r="AO465" s="73" t="n">
        <v>-13.52</v>
      </c>
      <c r="AP465" s="63" t="inlineStr">
        <is>
          <t>China Biotech ETF (HS biotech proxy)</t>
        </is>
      </c>
      <c r="AQ465" s="73" t="n">
        <v>-39.55</v>
      </c>
      <c r="AR465" s="64" t="inlineStr">
        <is>
          <t>2026-08-20</t>
        </is>
      </c>
      <c r="AS465" s="65" t="n">
        <v>42.1</v>
      </c>
      <c r="AT465" s="68" t="n">
        <v>-325.5</v>
      </c>
      <c r="AU465" s="63" t="inlineStr">
        <is>
          <t>N</t>
        </is>
      </c>
      <c r="AV465" s="63" t="inlineStr">
        <is>
          <t>n/m</t>
        </is>
      </c>
      <c r="AW465" s="74" t="n"/>
      <c r="AX465" s="74" t="n"/>
      <c r="AY465" s="74" t="n">
        <v>117.2</v>
      </c>
      <c r="AZ465" s="75" t="inlineStr">
        <is>
          <t>N</t>
        </is>
      </c>
      <c r="BA465" s="76">
        <f>IF('BBG Verify'!K465="","not filed — run on terminal",'BBG Verify'!K465)</f>
        <v/>
      </c>
      <c r="BB465" s="63" t="inlineStr">
        <is>
          <t>N/A</t>
        </is>
      </c>
      <c r="BC465" s="63" t="inlineStr">
        <is>
          <t>N/A</t>
        </is>
      </c>
      <c r="BD465" s="63" t="inlineStr">
        <is>
          <t>N/A</t>
        </is>
      </c>
      <c r="BE465" s="63" t="inlineStr">
        <is>
          <t>N/A</t>
        </is>
      </c>
      <c r="BF465" s="63" t="inlineStr">
        <is>
          <t>N/A</t>
        </is>
      </c>
      <c r="BG465" s="75" t="n"/>
      <c r="BH465" s="63" t="inlineStr">
        <is>
          <t>China International Capital Corporation Hong Kong Securities Limited; Goldman Sachs (Asia) L.L.C.</t>
        </is>
      </c>
      <c r="BI465" s="63" t="inlineStr">
        <is>
          <t>China International Capital Corporation Hong Kong Securities Limited; CMB International Capital Limited; Goldman Sachs (Asia) L.L.C.; Tiger Brokers (HK) Global Limited</t>
        </is>
      </c>
      <c r="BJ465" s="63" t="inlineStr">
        <is>
          <t>China International Capital Corporation Hong Kong Securities Limited; CMB International Capital Limited; Goldman Sachs (Asia) L.L.C.; Tiger Brokers (HK) Global Limited</t>
        </is>
      </c>
      <c r="BK465" s="77">
        <f>HYPERLINK("https://www1.hkexnews.hk/listedco/listconews/sehk/2026/0505/2026050500023.pdf","prospectus")</f>
        <v/>
      </c>
      <c r="BL465" s="77">
        <f>HYPERLINK("https://www1.hkexnews.hk/listedco/listconews/sehk/2026/0512/2026051201406.pdf","allotment")</f>
        <v/>
      </c>
      <c r="BM465" s="77">
        <f>HYPERLINK("https://www1.hkexnews.hk/listedco/listconews/sehk/2026/0608/2026060800490.pdf","stabilisation")</f>
        <v/>
      </c>
      <c r="BN465" s="75" t="n"/>
      <c r="BO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7" t="n">
        <v>7.88</v>
      </c>
      <c r="W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3" t="inlineStr">
        <is>
          <t>arc;blackrock;china-asset;venture;deerfield;fullgoal;gf;hhlr;huadeng;icbc;isometry;lake;mirae;orix;rtw;sage;ubs</t>
        </is>
      </c>
      <c r="Y466" s="67" t="n">
        <v>15</v>
      </c>
      <c r="Z466" s="63" t="inlineStr">
        <is>
          <t>full</t>
        </is>
      </c>
      <c r="AA466" s="72" t="n">
        <v>126.67</v>
      </c>
      <c r="AB466" s="73" t="n">
        <v>173.14</v>
      </c>
      <c r="AC466" s="73" t="n">
        <v>-17.01</v>
      </c>
      <c r="AD466" s="73" t="n">
        <v>71.43000000000001</v>
      </c>
      <c r="AE466" s="73" t="n">
        <v>25.62</v>
      </c>
      <c r="AF466" s="73" t="n">
        <v>25.62</v>
      </c>
      <c r="AG466" s="73" t="n">
        <v>-24.37</v>
      </c>
      <c r="AH466" s="73" t="n">
        <v>-44.58</v>
      </c>
      <c r="AI466" s="73" t="n">
        <v>-44.58</v>
      </c>
      <c r="AJ466" s="73" t="n">
        <v>78.94</v>
      </c>
      <c r="AK466" s="73" t="n">
        <v>40.08</v>
      </c>
      <c r="AL466" s="73" t="n">
        <v>17.33</v>
      </c>
      <c r="AM466" s="73" t="n">
        <v>-31.06</v>
      </c>
      <c r="AN466" s="73" t="n">
        <v>-14.46</v>
      </c>
      <c r="AO466" s="73" t="n">
        <v>-13.52</v>
      </c>
      <c r="AP466" s="63" t="inlineStr">
        <is>
          <t>China Biotech ETF (HS biotech proxy)</t>
        </is>
      </c>
      <c r="AQ466" s="73" t="n">
        <v>42.86</v>
      </c>
      <c r="AR466" s="64" t="inlineStr">
        <is>
          <t>2026-08-20</t>
        </is>
      </c>
      <c r="AS466" s="65" t="n">
        <v>115.5</v>
      </c>
      <c r="AT466" s="68" t="n">
        <v>-431</v>
      </c>
      <c r="AU466" s="63" t="inlineStr">
        <is>
          <t>N</t>
        </is>
      </c>
      <c r="AV466" s="63" t="inlineStr">
        <is>
          <t>n/m</t>
        </is>
      </c>
      <c r="AW466" s="74" t="n"/>
      <c r="AX466" s="74" t="n"/>
      <c r="AY466" s="74" t="n">
        <v>104.8</v>
      </c>
      <c r="AZ466" s="75" t="inlineStr">
        <is>
          <t>N</t>
        </is>
      </c>
      <c r="BA466" s="76">
        <f>IF('BBG Verify'!K466="","not filed — run on terminal",'BBG Verify'!K466)</f>
        <v/>
      </c>
      <c r="BB466" s="63" t="inlineStr">
        <is>
          <t>N/A</t>
        </is>
      </c>
      <c r="BC466" s="63" t="inlineStr">
        <is>
          <t>N/A</t>
        </is>
      </c>
      <c r="BD466" s="63" t="inlineStr">
        <is>
          <t>N/A</t>
        </is>
      </c>
      <c r="BE466" s="63" t="inlineStr">
        <is>
          <t>N/A</t>
        </is>
      </c>
      <c r="BF466" s="63" t="inlineStr">
        <is>
          <t>N/A</t>
        </is>
      </c>
      <c r="BG466" s="75" t="inlineStr">
        <is>
          <t>Jefferies Hong Kong Limited; Deutsche Securities Asia Limited; CITIC Securities (Hong Kong) Limited</t>
        </is>
      </c>
      <c r="BH466" s="63" t="inlineStr">
        <is>
          <t>Jefferies Hong Kong Limited; CITIC Securities (Hong Kong) Limited; Deutsche Securities Asia Limited</t>
        </is>
      </c>
      <c r="BI466" s="63" t="inlineStr">
        <is>
          <t>Futu Securities International (Hong Kong) Limited</t>
        </is>
      </c>
      <c r="BJ466" s="63" t="inlineStr">
        <is>
          <t>CLSA Limited; CMB International Capital Limited; Deutsche Bank AG, Hong Kong Branch; Futu Securities International (Hong Kong) Limited; Jefferies Hong Kong Limited</t>
        </is>
      </c>
      <c r="BK466" s="77">
        <f>HYPERLINK("https://www1.hkexnews.hk/listedco/listconews/sehk/2026/0505/2026050500019.pdf","prospectus")</f>
        <v/>
      </c>
      <c r="BL466" s="77">
        <f>HYPERLINK("https://www1.hkexnews.hk/listedco/listconews/sehk/2026/0512/2026051201482.pdf","allotment")</f>
        <v/>
      </c>
      <c r="BM466" s="77">
        <f>HYPERLINK("https://www1.hkexnews.hk/listedco/listconews/sehk/2026/0605/2026060501450.pdf","stabilisation")</f>
        <v/>
      </c>
      <c r="BN466" s="75" t="n"/>
      <c r="BO466" s="63" t="inlineStr">
        <is>
          <t>P/E: n/m — loss-making at IPO (use P/S) · price range: fixed-price offering (no indicative range)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7" t="n">
        <v>10.04</v>
      </c>
      <c r="W467" s="63" t="n"/>
      <c r="X467" s="63" t="n"/>
      <c r="Y467" s="67" t="n"/>
      <c r="Z467" s="63" t="n"/>
      <c r="AA467" s="72" t="n">
        <v>76.23</v>
      </c>
      <c r="AB467" s="73" t="n">
        <v>79.18000000000001</v>
      </c>
      <c r="AC467" s="73" t="n">
        <v>-1.65</v>
      </c>
      <c r="AD467" s="73" t="n">
        <v>12.72</v>
      </c>
      <c r="AE467" s="73" t="n">
        <v>23.28</v>
      </c>
      <c r="AF467" s="73" t="n">
        <v>7.54</v>
      </c>
      <c r="AG467" s="73" t="n">
        <v>-36.04</v>
      </c>
      <c r="AH467" s="73" t="n">
        <v>-30.05</v>
      </c>
      <c r="AI467" s="73" t="n">
        <v>-38.98</v>
      </c>
      <c r="AJ467" s="73" t="n">
        <v>12.51</v>
      </c>
      <c r="AK467" s="73" t="n">
        <v>28.75</v>
      </c>
      <c r="AL467" s="73" t="n">
        <v>11.23</v>
      </c>
      <c r="AM467" s="73" t="n">
        <v>-26.46</v>
      </c>
      <c r="AN467" s="73" t="n">
        <v>-5.47</v>
      </c>
      <c r="AO467" s="73" t="n">
        <v>-3.59</v>
      </c>
      <c r="AP467" s="63" t="inlineStr">
        <is>
          <t>HSTECH (Hang Seng TECH ETF)</t>
        </is>
      </c>
      <c r="AQ467" s="73" t="n">
        <v>-4.79</v>
      </c>
      <c r="AR467" s="64" t="inlineStr">
        <is>
          <t>2026-08-21</t>
        </is>
      </c>
      <c r="AS467" s="65" t="n">
        <v>426.1</v>
      </c>
      <c r="AT467" s="68" t="n">
        <v>-168.2</v>
      </c>
      <c r="AU467" s="63" t="inlineStr">
        <is>
          <t>N</t>
        </is>
      </c>
      <c r="AV467" s="63" t="inlineStr">
        <is>
          <t>n/m</t>
        </is>
      </c>
      <c r="AW467" s="74" t="n"/>
      <c r="AX467" s="74" t="n"/>
      <c r="AY467" s="74" t="n">
        <v>17.5</v>
      </c>
      <c r="AZ467" s="75" t="inlineStr">
        <is>
          <t>N</t>
        </is>
      </c>
      <c r="BA467" s="76">
        <f>IF('BBG Verify'!K467="","not filed — run on terminal",'BBG Verify'!K467)</f>
        <v/>
      </c>
      <c r="BB467" s="63" t="inlineStr">
        <is>
          <t>N/A</t>
        </is>
      </c>
      <c r="BC467" s="63" t="inlineStr">
        <is>
          <t>N/A</t>
        </is>
      </c>
      <c r="BD467" s="63" t="inlineStr">
        <is>
          <t>N/A</t>
        </is>
      </c>
      <c r="BE467" s="63" t="inlineStr">
        <is>
          <t>N/A</t>
        </is>
      </c>
      <c r="BF467" s="63" t="inlineStr">
        <is>
          <t>N/A</t>
        </is>
      </c>
      <c r="BG467" s="75" t="inlineStr">
        <is>
          <t>ABCI Capital Limited; Sponsor-OC ABCI Capital Limited</t>
        </is>
      </c>
      <c r="BH467" s="63" t="inlineStr">
        <is>
          <t>ABCI Capital Limited</t>
        </is>
      </c>
      <c r="BI467" s="63"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7">
        <f>HYPERLINK("https://www1.hkexnews.hk/listedco/listconews/sehk/2026/0508/2026050800015.pdf","prospectus")</f>
        <v/>
      </c>
      <c r="BL467" s="77">
        <f>HYPERLINK("https://www1.hkexnews.hk/listedco/listconews/sehk/2026/0515/2026051502141.pdf","allotment")</f>
        <v/>
      </c>
      <c r="BM467" s="63" t="n"/>
      <c r="BN467" s="75" t="n"/>
      <c r="BO46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7" t="n">
        <v>6.23</v>
      </c>
      <c r="W468" s="63" t="inlineStr">
        <is>
          <t>CYGG Holding Limited; Starwin International A LPF; Xiongan Autonomous Driving Limited</t>
        </is>
      </c>
      <c r="X468" s="63" t="inlineStr">
        <is>
          <t>cygg;starwin;xiongan</t>
        </is>
      </c>
      <c r="Y468" s="67" t="n"/>
      <c r="Z468" s="63" t="n"/>
      <c r="AA468" s="72" t="n">
        <v>-4.64</v>
      </c>
      <c r="AB468" s="73" t="n">
        <v>-7.13</v>
      </c>
      <c r="AC468" s="73" t="n">
        <v>2.68</v>
      </c>
      <c r="AD468" s="73" t="n">
        <v>22.31</v>
      </c>
      <c r="AE468" s="73" t="n">
        <v>68.66</v>
      </c>
      <c r="AF468" s="73" t="n">
        <v>-0.83</v>
      </c>
      <c r="AG468" s="73" t="n">
        <v>28.26</v>
      </c>
      <c r="AH468" s="73" t="n">
        <v>76.87</v>
      </c>
      <c r="AI468" s="73" t="n">
        <v>4</v>
      </c>
      <c r="AJ468" s="73" t="n">
        <v>21.85</v>
      </c>
      <c r="AK468" s="73" t="n">
        <v>74.88</v>
      </c>
      <c r="AL468" s="73" t="n">
        <v>2.41</v>
      </c>
      <c r="AM468" s="73" t="n">
        <v>83.29000000000001</v>
      </c>
      <c r="AN468" s="73" t="n">
        <v>-6.22</v>
      </c>
      <c r="AO468" s="73" t="n">
        <v>-6.42</v>
      </c>
      <c r="AP468" s="63" t="inlineStr">
        <is>
          <t>HSTECH (Hang Seng TECH ETF)</t>
        </is>
      </c>
      <c r="AQ468" s="73" t="n">
        <v>-0.83</v>
      </c>
      <c r="AR468" s="64" t="inlineStr">
        <is>
          <t>2026-08-20</t>
        </is>
      </c>
      <c r="AS468" s="65" t="n">
        <v>161.3</v>
      </c>
      <c r="AT468" s="68" t="n">
        <v>-253.2</v>
      </c>
      <c r="AU468" s="63" t="inlineStr">
        <is>
          <t>N</t>
        </is>
      </c>
      <c r="AV468" s="63" t="inlineStr">
        <is>
          <t>n/m</t>
        </is>
      </c>
      <c r="AW468" s="74" t="n"/>
      <c r="AX468" s="74" t="n"/>
      <c r="AY468" s="74" t="n">
        <v>60.7</v>
      </c>
      <c r="AZ468" s="75" t="inlineStr">
        <is>
          <t>N</t>
        </is>
      </c>
      <c r="BA468" s="76">
        <f>IF('BBG Verify'!K468="","not filed — run on terminal",'BBG Verify'!K468)</f>
        <v/>
      </c>
      <c r="BB468" s="63" t="inlineStr">
        <is>
          <t>N/A</t>
        </is>
      </c>
      <c r="BC468" s="63" t="inlineStr">
        <is>
          <t>N/A</t>
        </is>
      </c>
      <c r="BD468" s="63" t="inlineStr">
        <is>
          <t>N/A</t>
        </is>
      </c>
      <c r="BE468" s="63" t="inlineStr">
        <is>
          <t>N/A</t>
        </is>
      </c>
      <c r="BF468" s="63" t="inlineStr">
        <is>
          <t>N/A</t>
        </is>
      </c>
      <c r="BG468" s="75" t="inlineStr">
        <is>
          <t>CITIC Securities (Hong Kong) Limited</t>
        </is>
      </c>
      <c r="BH468" s="63" t="inlineStr">
        <is>
          <t>CITIC Securities (Hong Kong) Limited</t>
        </is>
      </c>
      <c r="BI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7">
        <f>HYPERLINK("https://www1.hkexnews.hk/listedco/listconews/sehk/2026/0512/2026051200147.pdf","prospectus")</f>
        <v/>
      </c>
      <c r="BL468" s="77">
        <f>HYPERLINK("https://www1.hkexnews.hk/listedco/listconews/sehk/2026/0519/2026051901257.pdf","allotment")</f>
        <v/>
      </c>
      <c r="BM468" s="63" t="n"/>
      <c r="BN468" s="75" t="n"/>
      <c r="BO468"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7" t="n">
        <v>8.949999999999999</v>
      </c>
      <c r="W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3" t="inlineStr">
        <is>
          <t>3w;boyu;cdh;china-asset;fullgoal;goldman;hhlra;mirae;rbc;shanghai-minhang;ubs</t>
        </is>
      </c>
      <c r="Y469" s="67" t="n">
        <v>15</v>
      </c>
      <c r="Z469" s="63" t="inlineStr">
        <is>
          <t>full</t>
        </is>
      </c>
      <c r="AA469" s="72" t="n">
        <v>79.98999999999999</v>
      </c>
      <c r="AB469" s="73" t="n">
        <v>40.2</v>
      </c>
      <c r="AC469" s="73" t="n">
        <v>28.38</v>
      </c>
      <c r="AD469" s="73" t="n">
        <v>35.66</v>
      </c>
      <c r="AE469" s="73" t="n">
        <v>11.25</v>
      </c>
      <c r="AF469" s="73" t="n">
        <v>-38.8</v>
      </c>
      <c r="AG469" s="73" t="n">
        <v>-24.63</v>
      </c>
      <c r="AH469" s="73" t="n">
        <v>-38.19</v>
      </c>
      <c r="AI469" s="73" t="n">
        <v>-66</v>
      </c>
      <c r="AJ469" s="73" t="n">
        <v>39.23</v>
      </c>
      <c r="AK469" s="73" t="n">
        <v>21.16</v>
      </c>
      <c r="AL469" s="73" t="n">
        <v>-37.74</v>
      </c>
      <c r="AM469" s="73" t="n">
        <v>-28.59</v>
      </c>
      <c r="AN469" s="73" t="n">
        <v>-9.91</v>
      </c>
      <c r="AO469" s="73" t="n">
        <v>-9.6</v>
      </c>
      <c r="AP469" s="63" t="inlineStr">
        <is>
          <t>Hang Seng Commerce &amp; Industry sub-index</t>
        </is>
      </c>
      <c r="AQ469" s="73" t="n">
        <v>-38.8</v>
      </c>
      <c r="AR469" s="64" t="inlineStr">
        <is>
          <t>2026-08-20</t>
        </is>
      </c>
      <c r="AS469" s="65" t="n">
        <v>635.8</v>
      </c>
      <c r="AT469" s="68" t="n"/>
      <c r="AU469" s="63" t="inlineStr">
        <is>
          <t>Y</t>
        </is>
      </c>
      <c r="AV469" s="78">
        <f>IF('BBG Verify'!O469="","not filed — run on terminal",'BBG Verify'!O469)</f>
        <v/>
      </c>
      <c r="AW469" s="74" t="n"/>
      <c r="AX469" s="74" t="n"/>
      <c r="AY469" s="74" t="n">
        <v>15.1</v>
      </c>
      <c r="AZ469" s="75" t="inlineStr">
        <is>
          <t>N</t>
        </is>
      </c>
      <c r="BA469" s="76">
        <f>IF('BBG Verify'!K469="","not filed — run on terminal",'BBG Verify'!K469)</f>
        <v/>
      </c>
      <c r="BB469" s="63" t="inlineStr">
        <is>
          <t>N/A</t>
        </is>
      </c>
      <c r="BC469" s="63" t="inlineStr">
        <is>
          <t>N/A</t>
        </is>
      </c>
      <c r="BD469" s="63" t="inlineStr">
        <is>
          <t>N/A</t>
        </is>
      </c>
      <c r="BE469" s="63" t="inlineStr">
        <is>
          <t>N/A</t>
        </is>
      </c>
      <c r="BF469" s="63" t="inlineStr">
        <is>
          <t>N/A</t>
        </is>
      </c>
      <c r="BG469" s="75" t="inlineStr">
        <is>
          <t>Guotai Junan Capital Limited; CCB International Capital Limited</t>
        </is>
      </c>
      <c r="BH469" s="63" t="inlineStr">
        <is>
          <t>CCB International Capital Limited; Guotai Junan Capital Limited</t>
        </is>
      </c>
      <c r="BI469" s="63" t="inlineStr">
        <is>
          <t>Guotai Junan Securities (Hong Kong) Limited; CCB International Capital Limited; SBI China Capital Financial Services Limited; BOCI Asia Limited; Central, Hong Kong CMB International Capital Limited</t>
        </is>
      </c>
      <c r="BJ469" s="63" t="inlineStr">
        <is>
          <t>BOCI Asia Limited; CCB International Capital Limited; CMB International Capital Limited; Guotai Junan Securities (Hong Kong) Limited; SBI China Capital Financial Services Limited</t>
        </is>
      </c>
      <c r="BK469" s="77">
        <f>HYPERLINK("https://www1.hkexnews.hk/listedco/listconews/sehk/2026/0512/2026051200017.pdf","prospectus")</f>
        <v/>
      </c>
      <c r="BL469" s="77">
        <f>HYPERLINK("https://www1.hkexnews.hk/listedco/listconews/sehk/2026/0519/2026051901261.pdf","allotment")</f>
        <v/>
      </c>
      <c r="BM469" s="77">
        <f>HYPERLINK("https://www1.hkexnews.hk/listedco/listconews/sehk/2026/0614/2026061400165.pdf","stabilisation")</f>
        <v/>
      </c>
      <c r="BN469" s="75" t="n"/>
      <c r="BO469" s="63"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7" t="n">
        <v>11.03</v>
      </c>
      <c r="W470" s="63" t="inlineStr">
        <is>
          <t>AMR Action Fund, L.P; AMR Action Fund, SCSp; Hua Yuan International Limited; June Star Global Limited; Orient Asset Management (Hong Kong) Limited</t>
        </is>
      </c>
      <c r="X470" s="63" t="inlineStr">
        <is>
          <t>amr;hua;june;orient</t>
        </is>
      </c>
      <c r="Y470" s="67" t="n">
        <v>5.5</v>
      </c>
      <c r="Z470" s="63" t="n"/>
      <c r="AA470" s="72" t="n">
        <v>178.73</v>
      </c>
      <c r="AB470" s="73" t="n">
        <v>98.15000000000001</v>
      </c>
      <c r="AC470" s="73" t="n">
        <v>40.67</v>
      </c>
      <c r="AD470" s="73" t="n">
        <v>166.84</v>
      </c>
      <c r="AE470" s="73" t="n">
        <v>248.22</v>
      </c>
      <c r="AF470" s="73" t="n">
        <v>164.99</v>
      </c>
      <c r="AG470" s="73" t="n">
        <v>-4.27</v>
      </c>
      <c r="AH470" s="73" t="n">
        <v>24.93</v>
      </c>
      <c r="AI470" s="73" t="n">
        <v>-4.93</v>
      </c>
      <c r="AJ470" s="73" t="n">
        <v>169.52</v>
      </c>
      <c r="AK470" s="73" t="n">
        <v>256.1</v>
      </c>
      <c r="AL470" s="73" t="n"/>
      <c r="AM470" s="73" t="n">
        <v>31.94</v>
      </c>
      <c r="AN470" s="73" t="n">
        <v>-7.88</v>
      </c>
      <c r="AO470" s="73" t="n">
        <v>-7.01</v>
      </c>
      <c r="AP470" s="63" t="inlineStr">
        <is>
          <t>China Biotech ETF (HS biotech proxy)</t>
        </is>
      </c>
      <c r="AQ470" s="73" t="n">
        <v>153.63</v>
      </c>
      <c r="AR470" s="64" t="inlineStr">
        <is>
          <t>2026-08-20</t>
        </is>
      </c>
      <c r="AS470" s="65" t="n">
        <v>0</v>
      </c>
      <c r="AT470" s="68" t="n">
        <v>-168.5</v>
      </c>
      <c r="AU470" s="63" t="inlineStr">
        <is>
          <t>N</t>
        </is>
      </c>
      <c r="AV470" s="63" t="inlineStr">
        <is>
          <t>n/m</t>
        </is>
      </c>
      <c r="AW470" s="74" t="n"/>
      <c r="AX470" s="74" t="n"/>
      <c r="AY470" s="63" t="inlineStr">
        <is>
          <t>pre-rev</t>
        </is>
      </c>
      <c r="AZ470" s="75" t="inlineStr">
        <is>
          <t>N</t>
        </is>
      </c>
      <c r="BA470" s="76">
        <f>IF('BBG Verify'!K470="","not filed — run on terminal",'BBG Verify'!K470)</f>
        <v/>
      </c>
      <c r="BB470" s="63" t="inlineStr">
        <is>
          <t>N/A</t>
        </is>
      </c>
      <c r="BC470" s="63" t="inlineStr">
        <is>
          <t>N/A</t>
        </is>
      </c>
      <c r="BD470" s="63" t="inlineStr">
        <is>
          <t>N/A</t>
        </is>
      </c>
      <c r="BE470" s="63" t="inlineStr">
        <is>
          <t>N/A</t>
        </is>
      </c>
      <c r="BF470" s="63" t="inlineStr">
        <is>
          <t>N/A</t>
        </is>
      </c>
      <c r="BG470" s="75" t="inlineStr">
        <is>
          <t>CITIC Securities (Hong Kong) Limited; ABCI Capital Limited</t>
        </is>
      </c>
      <c r="BH470" s="63" t="inlineStr">
        <is>
          <t>CITIC Securities (Hong Kong) Limited; ABCI Capital Limited</t>
        </is>
      </c>
      <c r="BI470" s="63" t="inlineStr">
        <is>
          <t>CLSA Limited; ABCI Capital Limited; China Renaissance Securities (Hong Kong) Limited</t>
        </is>
      </c>
      <c r="BJ470" s="63" t="inlineStr">
        <is>
          <t>ABCI Securities Company Limited; CLSA Limited; China Renaissance Securities (Hong Kong) Limited; Futu Securities International (Hong Kong) Limited; Tiger Brokers (HK) Global Limited</t>
        </is>
      </c>
      <c r="BK470" s="77">
        <f>HYPERLINK("https://www1.hkexnews.hk/listedco/listconews/sehk/2026/0514/2026051400013.pdf","prospectus")</f>
        <v/>
      </c>
      <c r="BL470" s="77">
        <f>HYPERLINK("https://www1.hkexnews.hk/listedco/listconews/sehk/2026/0521/2026052101298.pdf","allotment")</f>
        <v/>
      </c>
      <c r="BM470" s="63" t="n"/>
      <c r="BN470" s="75" t="n"/>
      <c r="BO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 · alpha/index: 3m return is on file but the sector index had no bar for that window</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7" t="n">
        <v>9.050000000000001</v>
      </c>
      <c r="W471" s="63" t="inlineStr">
        <is>
          <t>Digital Vista GD Investment LP; SpreadCom Limited</t>
        </is>
      </c>
      <c r="X471" s="63" t="inlineStr">
        <is>
          <t>digital;spreadcom</t>
        </is>
      </c>
      <c r="Y471" s="67" t="n">
        <v>15</v>
      </c>
      <c r="Z471" s="63" t="inlineStr">
        <is>
          <t>full</t>
        </is>
      </c>
      <c r="AA471" s="72" t="n">
        <v>91.73</v>
      </c>
      <c r="AB471" s="73" t="n">
        <v>22.44</v>
      </c>
      <c r="AC471" s="73" t="n">
        <v>56.59</v>
      </c>
      <c r="AD471" s="73" t="n">
        <v>66.94</v>
      </c>
      <c r="AE471" s="73" t="n">
        <v>60.98</v>
      </c>
      <c r="AF471" s="73" t="n">
        <v>34.45</v>
      </c>
      <c r="AG471" s="73" t="n">
        <v>-12.93</v>
      </c>
      <c r="AH471" s="73" t="n">
        <v>-16.04</v>
      </c>
      <c r="AI471" s="73" t="n">
        <v>-29.88</v>
      </c>
      <c r="AJ471" s="73" t="n">
        <v>64.67</v>
      </c>
      <c r="AK471" s="73" t="n">
        <v>74.62</v>
      </c>
      <c r="AL471" s="73" t="n"/>
      <c r="AM471" s="73" t="n">
        <v>-3.09</v>
      </c>
      <c r="AN471" s="73" t="n">
        <v>-13.64</v>
      </c>
      <c r="AO471" s="73" t="n">
        <v>-12.95</v>
      </c>
      <c r="AP471" s="63" t="inlineStr">
        <is>
          <t>HSTECH (Hang Seng TECH ETF)</t>
        </is>
      </c>
      <c r="AQ471" s="73" t="n">
        <v>34.45</v>
      </c>
      <c r="AR471" s="64" t="inlineStr">
        <is>
          <t>2026-08-20</t>
        </is>
      </c>
      <c r="AS471" s="65" t="n">
        <v>980.4</v>
      </c>
      <c r="AT471" s="68" t="n">
        <v>-253.4</v>
      </c>
      <c r="AU471" s="63" t="inlineStr">
        <is>
          <t>N</t>
        </is>
      </c>
      <c r="AV471" s="63" t="inlineStr">
        <is>
          <t>n/m</t>
        </is>
      </c>
      <c r="AW471" s="74" t="n"/>
      <c r="AX471" s="74" t="n"/>
      <c r="AY471" s="74" t="n">
        <v>8</v>
      </c>
      <c r="AZ471" s="75" t="inlineStr">
        <is>
          <t>N</t>
        </is>
      </c>
      <c r="BA471" s="76">
        <f>IF('BBG Verify'!K471="","not filed — run on terminal",'BBG Verify'!K471)</f>
        <v/>
      </c>
      <c r="BB471" s="63" t="inlineStr">
        <is>
          <t>N/A</t>
        </is>
      </c>
      <c r="BC471" s="63" t="inlineStr">
        <is>
          <t>N/A</t>
        </is>
      </c>
      <c r="BD471" s="63" t="inlineStr">
        <is>
          <t>N/A</t>
        </is>
      </c>
      <c r="BE471" s="63" t="inlineStr">
        <is>
          <t>N/A</t>
        </is>
      </c>
      <c r="BF471" s="63" t="inlineStr">
        <is>
          <t>N/A</t>
        </is>
      </c>
      <c r="BG471" s="75" t="inlineStr">
        <is>
          <t>China International Capital Corporation Hong Kong Securities Limited; CITIC Securities (Hong Kong) Limited</t>
        </is>
      </c>
      <c r="BH471" s="63" t="inlineStr">
        <is>
          <t>China International Capital Corporation Hong Kong Securities Limited; CITIC Securities (Hong Kong) Limited</t>
        </is>
      </c>
      <c r="BI471" s="63" t="inlineStr">
        <is>
          <t>CLSA Limited; GF Securities (Hong Kong) Brokerage Limited; A VICT Global Asset Management Limited; Webull Securities Limited</t>
        </is>
      </c>
      <c r="BJ471" s="63" t="inlineStr">
        <is>
          <t>AVICT Global Asset Management Limited; China International Capital Corporation Hong Kong Securities Limited; CLSA Limited; GF Securities (Hong Kong) Brokerage Limited; Webull Securities Limited</t>
        </is>
      </c>
      <c r="BK471" s="77">
        <f>HYPERLINK("https://www1.hkexnews.hk/listedco/listconews/sehk/2026/0518/2026051800021.pdf","prospectus")</f>
        <v/>
      </c>
      <c r="BL471" s="77">
        <f>HYPERLINK("https://www1.hkexnews.hk/listedco/listconews/sehk/2026/0526/2026052601908.pdf","allotment")</f>
        <v/>
      </c>
      <c r="BM471" s="77">
        <f>HYPERLINK("https://www1.hkexnews.hk/listedco/listconews/sehk/2026/0621/2026062100023.pdf","stabilisation")</f>
        <v/>
      </c>
      <c r="BN471" s="75" t="n"/>
      <c r="BO471" s="63" t="inlineStr">
        <is>
          <t>P/E: n/m — loss-making at IPO (use P/S) · range low: cap-only pricing — the filing publishes a Maximum Offer Price and no indicative floor · A/H: no A-share listing · alpha/index: 3m return is on file but the sector index had no bar for that window</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7" t="n">
        <v>10</v>
      </c>
      <c r="W472" s="63" t="n"/>
      <c r="X472" s="63" t="n"/>
      <c r="Y472" s="67" t="n"/>
      <c r="Z472" s="63" t="n"/>
      <c r="AA472" s="72" t="n">
        <v>265.77</v>
      </c>
      <c r="AB472" s="73" t="n">
        <v>179.28</v>
      </c>
      <c r="AC472" s="73" t="n">
        <v>30.97</v>
      </c>
      <c r="AD472" s="73" t="n">
        <v>543.24</v>
      </c>
      <c r="AE472" s="73" t="n">
        <v>484.14</v>
      </c>
      <c r="AF472" s="73" t="n">
        <v>1085.59</v>
      </c>
      <c r="AG472" s="73" t="n">
        <v>75.86</v>
      </c>
      <c r="AH472" s="73" t="n">
        <v>59.7</v>
      </c>
      <c r="AI472" s="73" t="n">
        <v>224.14</v>
      </c>
      <c r="AJ472" s="73" t="n">
        <v>540.97</v>
      </c>
      <c r="AK472" s="73" t="n">
        <v>497.78</v>
      </c>
      <c r="AL472" s="73" t="n"/>
      <c r="AM472" s="73" t="n">
        <v>72.65000000000001</v>
      </c>
      <c r="AN472" s="73" t="n">
        <v>-13.64</v>
      </c>
      <c r="AO472" s="73" t="n">
        <v>-12.95</v>
      </c>
      <c r="AP472" s="63" t="inlineStr">
        <is>
          <t>HSTECH (Hang Seng TECH ETF)</t>
        </is>
      </c>
      <c r="AQ472" s="73" t="n">
        <v>998.2</v>
      </c>
      <c r="AR472" s="64" t="inlineStr">
        <is>
          <t>2026-08-20</t>
        </is>
      </c>
      <c r="AS472" s="65" t="n">
        <v>634.2</v>
      </c>
      <c r="AT472" s="68" t="n"/>
      <c r="AU472" s="63" t="inlineStr">
        <is>
          <t>Y</t>
        </is>
      </c>
      <c r="AV472" s="78">
        <f>IF('BBG Verify'!O472="","not filed — run on terminal",'BBG Verify'!O472)</f>
        <v/>
      </c>
      <c r="AW472" s="74" t="n"/>
      <c r="AX472" s="74" t="n">
        <v>4730.6</v>
      </c>
      <c r="AY472" s="74" t="n">
        <v>7.9</v>
      </c>
      <c r="AZ472" s="75" t="inlineStr">
        <is>
          <t>N</t>
        </is>
      </c>
      <c r="BA472" s="76">
        <f>IF('BBG Verify'!K472="","not filed — run on terminal",'BBG Verify'!K472)</f>
        <v/>
      </c>
      <c r="BB472" s="63" t="inlineStr">
        <is>
          <t>N/A</t>
        </is>
      </c>
      <c r="BC472" s="63" t="inlineStr">
        <is>
          <t>N/A</t>
        </is>
      </c>
      <c r="BD472" s="63" t="inlineStr">
        <is>
          <t>N/A</t>
        </is>
      </c>
      <c r="BE472" s="63" t="inlineStr">
        <is>
          <t>N/A</t>
        </is>
      </c>
      <c r="BF472" s="63" t="inlineStr">
        <is>
          <t>N/A</t>
        </is>
      </c>
      <c r="BG472" s="75" t="inlineStr">
        <is>
          <t>ICBC International Capital Limited</t>
        </is>
      </c>
      <c r="BH472" s="63" t="inlineStr">
        <is>
          <t>ICBC International Capital Limited</t>
        </is>
      </c>
      <c r="BI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7">
        <f>HYPERLINK("https://www1.hkexnews.hk/listedco/listconews/sehk/2026/0518/2026051800023.pdf","prospectus")</f>
        <v/>
      </c>
      <c r="BL472" s="77">
        <f>HYPERLINK("https://www1.hkexnews.hk/listedco/listconews/sehk/2026/0526/2026052602298.pdf","allotment")</f>
        <v/>
      </c>
      <c r="BM472" s="63" t="n"/>
      <c r="BN472" s="75" t="n"/>
      <c r="BO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financials: financial tables not machine-extractable and the pre-IPO year is outside AAStocks' 5-year window · alpha/index: 3m return is on file but the sector index had no bar for that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6872.9</v>
      </c>
      <c r="R473" s="63" t="inlineStr">
        <is>
          <t>prospectus:stated market capitalisation</t>
        </is>
      </c>
      <c r="S473" s="69" t="n">
        <v>1972</v>
      </c>
      <c r="T473" s="79">
        <f>IF('BBG Verify'!E473="","not filed — run on terminal",'BBG Verify'!E473)</f>
        <v/>
      </c>
      <c r="U473" s="71" t="n">
        <v>0</v>
      </c>
      <c r="V473" s="67" t="n">
        <v>9.17</v>
      </c>
      <c r="W473" s="63" t="n"/>
      <c r="X473" s="63" t="n"/>
      <c r="Y473" s="67" t="n">
        <v>15</v>
      </c>
      <c r="Z473" s="63" t="n"/>
      <c r="AA473" s="72" t="n">
        <v>86.59</v>
      </c>
      <c r="AB473" s="73" t="n">
        <v>100.61</v>
      </c>
      <c r="AC473" s="73" t="n">
        <v>-6.99</v>
      </c>
      <c r="AD473" s="73" t="n">
        <v>104.57</v>
      </c>
      <c r="AE473" s="73" t="n">
        <v>96.19</v>
      </c>
      <c r="AF473" s="73" t="n">
        <v>115.55</v>
      </c>
      <c r="AG473" s="73" t="n">
        <v>9.640000000000001</v>
      </c>
      <c r="AH473" s="73" t="n">
        <v>5.14</v>
      </c>
      <c r="AI473" s="73" t="n">
        <v>15.52</v>
      </c>
      <c r="AJ473" s="73" t="n">
        <v>102.3</v>
      </c>
      <c r="AK473" s="73" t="n">
        <v>109.83</v>
      </c>
      <c r="AL473" s="73" t="n"/>
      <c r="AM473" s="73" t="n">
        <v>18.09</v>
      </c>
      <c r="AN473" s="73" t="n">
        <v>-13.64</v>
      </c>
      <c r="AO473" s="73" t="n">
        <v>-12.95</v>
      </c>
      <c r="AP473" s="63" t="inlineStr">
        <is>
          <t>HSTECH (Hang Seng TECH ETF)</t>
        </is>
      </c>
      <c r="AQ473" s="73" t="n">
        <v>150.3</v>
      </c>
      <c r="AR473" s="64" t="inlineStr">
        <is>
          <t>2026-08-20</t>
        </is>
      </c>
      <c r="AS473" s="65" t="n">
        <v>3704.4</v>
      </c>
      <c r="AT473" s="68" t="n">
        <v>263.1</v>
      </c>
      <c r="AU473" s="63" t="inlineStr">
        <is>
          <t>Y</t>
        </is>
      </c>
      <c r="AV473" s="74" t="n">
        <v>26.1</v>
      </c>
      <c r="AW473" s="74" t="n"/>
      <c r="AX473" s="74" t="n"/>
      <c r="AY473" s="74" t="n">
        <v>1.9</v>
      </c>
      <c r="AZ473" s="75" t="inlineStr">
        <is>
          <t>N</t>
        </is>
      </c>
      <c r="BA473" s="76">
        <f>IF('BBG Verify'!K473="","not filed — run on terminal",'BBG Verify'!K473)</f>
        <v/>
      </c>
      <c r="BB473" s="63" t="inlineStr">
        <is>
          <t>N/A</t>
        </is>
      </c>
      <c r="BC473" s="63" t="inlineStr">
        <is>
          <t>N/A</t>
        </is>
      </c>
      <c r="BD473" s="63" t="inlineStr">
        <is>
          <t>N/A</t>
        </is>
      </c>
      <c r="BE473" s="63" t="inlineStr">
        <is>
          <t>N/A</t>
        </is>
      </c>
      <c r="BF473" s="63" t="inlineStr">
        <is>
          <t>N/A</t>
        </is>
      </c>
      <c r="BG473" s="75" t="n"/>
      <c r="BH473" s="63" t="inlineStr">
        <is>
          <t>China Securities (International) Corporate Finance Company Limited</t>
        </is>
      </c>
      <c r="BI473" s="63"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7">
        <f>HYPERLINK("https://www1.hkexnews.hk/listedco/listconews/sehk/2026/0518/2026051800027.pdf","prospectus")</f>
        <v/>
      </c>
      <c r="BL473" s="77">
        <f>HYPERLINK("https://www1.hkexnews.hk/listedco/listconews/sehk/2026/0526/2026052602392.pdf","allotment")</f>
        <v/>
      </c>
      <c r="BM473" s="63" t="n"/>
      <c r="BN473" s="75" t="n"/>
      <c r="BO473" s="63" t="inlineStr">
        <is>
          <t>intl sub: subscription level not stated in the filing · 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 · alpha/index: 3m return is on file but the sector index had no bar for that window</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7" t="n">
        <v>7.88</v>
      </c>
      <c r="W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3" t="inlineStr">
        <is>
          <t>apex;citic;colloway;cpe;dingxin;gba;boyue;integrated;jump;martis;oasis;optimas;polymer;seven;taikang</t>
        </is>
      </c>
      <c r="Y474" s="67" t="n">
        <v>15</v>
      </c>
      <c r="Z474" s="63" t="inlineStr">
        <is>
          <t>full</t>
        </is>
      </c>
      <c r="AA474" s="72" t="n">
        <v>21.28</v>
      </c>
      <c r="AB474" s="73" t="n">
        <v>80.20999999999999</v>
      </c>
      <c r="AC474" s="73" t="n">
        <v>-32.7</v>
      </c>
      <c r="AD474" s="73" t="n">
        <v>11.17</v>
      </c>
      <c r="AE474" s="73" t="n">
        <v>38.72</v>
      </c>
      <c r="AF474" s="73" t="n"/>
      <c r="AG474" s="73" t="n">
        <v>-8.34</v>
      </c>
      <c r="AH474" s="73" t="n">
        <v>14.38</v>
      </c>
      <c r="AI474" s="73" t="n"/>
      <c r="AJ474" s="73" t="n">
        <v>11.09</v>
      </c>
      <c r="AK474" s="73" t="n">
        <v>46.92</v>
      </c>
      <c r="AL474" s="73" t="n"/>
      <c r="AM474" s="73" t="n">
        <v>22.62</v>
      </c>
      <c r="AN474" s="73" t="n">
        <v>-8.199999999999999</v>
      </c>
      <c r="AO474" s="73" t="n">
        <v>-8.24</v>
      </c>
      <c r="AP474" s="63" t="inlineStr">
        <is>
          <t>HSTECH (Hang Seng TECH ETF)</t>
        </is>
      </c>
      <c r="AQ474" s="73" t="n">
        <v>37.55</v>
      </c>
      <c r="AR474" s="64" t="inlineStr">
        <is>
          <t>2026-08-20</t>
        </is>
      </c>
      <c r="AS474" s="65" t="n">
        <v>3439.7</v>
      </c>
      <c r="AT474" s="68" t="n">
        <v>-226.9</v>
      </c>
      <c r="AU474" s="63" t="inlineStr">
        <is>
          <t>N</t>
        </is>
      </c>
      <c r="AV474" s="63" t="inlineStr">
        <is>
          <t>n/m</t>
        </is>
      </c>
      <c r="AW474" s="74" t="n"/>
      <c r="AX474" s="74" t="n"/>
      <c r="AY474" s="74" t="n">
        <v>2.6</v>
      </c>
      <c r="AZ474" s="75" t="inlineStr">
        <is>
          <t>N</t>
        </is>
      </c>
      <c r="BA474" s="76">
        <f>IF('BBG Verify'!K474="","not filed — run on terminal",'BBG Verify'!K474)</f>
        <v/>
      </c>
      <c r="BB474" s="63" t="inlineStr">
        <is>
          <t>N/A</t>
        </is>
      </c>
      <c r="BC474" s="63" t="inlineStr">
        <is>
          <t>N/A</t>
        </is>
      </c>
      <c r="BD474" s="63" t="inlineStr">
        <is>
          <t>N/A</t>
        </is>
      </c>
      <c r="BE474" s="63" t="inlineStr">
        <is>
          <t>N/A</t>
        </is>
      </c>
      <c r="BF474" s="63" t="inlineStr">
        <is>
          <t>N/A</t>
        </is>
      </c>
      <c r="BG474" s="75" t="n"/>
      <c r="BH474" s="63" t="inlineStr">
        <is>
          <t>China International Capital Corporation Hong Kong Securities Limited</t>
        </is>
      </c>
      <c r="BI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7">
        <f>HYPERLINK("https://www1.hkexnews.hk/listedco/listconews/sehk/2026/0520/2026052000023.pdf","prospectus")</f>
        <v/>
      </c>
      <c r="BL474" s="77">
        <f>HYPERLINK("https://www1.hkexnews.hk/listedco/listconews/sehk/2026/0528/2026052802543.pdf","allotment")</f>
        <v/>
      </c>
      <c r="BM474" s="77">
        <f>HYPERLINK("https://www1.hkexnews.hk/listedco/listconews/sehk/2026/0625/2026062502150.pdf","stabilisation")</f>
        <v/>
      </c>
      <c r="BN474" s="75" t="n"/>
      <c r="BO47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7" t="n">
        <v>10</v>
      </c>
      <c r="W475" s="63" t="n"/>
      <c r="X475" s="63" t="n"/>
      <c r="Y475" s="67" t="n">
        <v>15.9</v>
      </c>
      <c r="Z475" s="63" t="inlineStr">
        <is>
          <t>lapsed (no over-allocation)</t>
        </is>
      </c>
      <c r="AA475" s="72" t="n">
        <v>44.25</v>
      </c>
      <c r="AB475" s="73" t="n">
        <v>91.78</v>
      </c>
      <c r="AC475" s="73" t="n">
        <v>-24.78</v>
      </c>
      <c r="AD475" s="73" t="n">
        <v>115.75</v>
      </c>
      <c r="AE475" s="73" t="n">
        <v>193.84</v>
      </c>
      <c r="AF475" s="73" t="n"/>
      <c r="AG475" s="73" t="n">
        <v>49.57</v>
      </c>
      <c r="AH475" s="73" t="n">
        <v>103.7</v>
      </c>
      <c r="AI475" s="73" t="n"/>
      <c r="AJ475" s="73" t="n">
        <v>123.08</v>
      </c>
      <c r="AK475" s="73" t="n">
        <v>205.32</v>
      </c>
      <c r="AL475" s="73" t="n"/>
      <c r="AM475" s="73" t="n">
        <v>113.29</v>
      </c>
      <c r="AN475" s="73" t="n">
        <v>-11.48</v>
      </c>
      <c r="AO475" s="73" t="n">
        <v>-9.59</v>
      </c>
      <c r="AP475" s="63" t="inlineStr">
        <is>
          <t>Hang Seng Commerce &amp; Industry sub-index</t>
        </is>
      </c>
      <c r="AQ475" s="73" t="n">
        <v>64.11</v>
      </c>
      <c r="AR475" s="64" t="inlineStr">
        <is>
          <t>2026-08-20</t>
        </is>
      </c>
      <c r="AS475" s="65" t="n">
        <v>573.9</v>
      </c>
      <c r="AT475" s="68" t="n">
        <v>-357.4</v>
      </c>
      <c r="AU475" s="63" t="inlineStr">
        <is>
          <t>N</t>
        </is>
      </c>
      <c r="AV475" s="63" t="inlineStr">
        <is>
          <t>n/m</t>
        </is>
      </c>
      <c r="AW475" s="74" t="n"/>
      <c r="AX475" s="74" t="n"/>
      <c r="AY475" s="74" t="n">
        <v>10.2</v>
      </c>
      <c r="AZ475" s="75" t="inlineStr">
        <is>
          <t>N</t>
        </is>
      </c>
      <c r="BA475" s="76">
        <f>IF('BBG Verify'!K475="","not filed — run on terminal",'BBG Verify'!K475)</f>
        <v/>
      </c>
      <c r="BB475" s="63" t="inlineStr">
        <is>
          <t>N/A</t>
        </is>
      </c>
      <c r="BC475" s="63" t="inlineStr">
        <is>
          <t>N/A</t>
        </is>
      </c>
      <c r="BD475" s="63" t="inlineStr">
        <is>
          <t>N/A</t>
        </is>
      </c>
      <c r="BE475" s="63" t="inlineStr">
        <is>
          <t>N/A</t>
        </is>
      </c>
      <c r="BF475" s="63" t="inlineStr">
        <is>
          <t>N/A</t>
        </is>
      </c>
      <c r="BG475" s="75" t="inlineStr">
        <is>
          <t>Yue Xiu Capital Limited</t>
        </is>
      </c>
      <c r="BH475" s="63" t="inlineStr">
        <is>
          <t>Yue Xiu Capital Limited</t>
        </is>
      </c>
      <c r="BI475" s="63"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3" t="inlineStr">
        <is>
          <t>CCB International Capital Limited; CMBC Securities Company Limited; Futu Securities International (Hong Kong) Limited; GEO Securities Limited; Livermore Holdings Limited; Maxa Asset Management Limited; Mango Financial Limited; Skyvast Securities Limited</t>
        </is>
      </c>
      <c r="BK475" s="77">
        <f>HYPERLINK("https://www1.hkexnews.hk/listedco/listconews/sehk/2026/0526/2026052600047.pdf","prospectus")</f>
        <v/>
      </c>
      <c r="BL475" s="77">
        <f>HYPERLINK("https://www1.hkexnews.hk/listedco/listconews/sehk/2026/0602/2026060202644.pdf","allotment")</f>
        <v/>
      </c>
      <c r="BM475" s="77">
        <f>HYPERLINK("https://www1.hkexnews.hk/listedco/listconews/sehk/2026/0630/2026063000051.pdf","stabilisation")</f>
        <v/>
      </c>
      <c r="BN475" s="75" t="n"/>
      <c r="BO475" s="63"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c r="L476" s="66" t="n">
        <v>6.38</v>
      </c>
      <c r="M476" s="66" t="n">
        <v>5.18</v>
      </c>
      <c r="N476" s="63" t="inlineStr">
        <is>
          <t>N</t>
        </is>
      </c>
      <c r="O476" s="67" t="n">
        <v>81.2</v>
      </c>
      <c r="P476" s="67" t="n"/>
      <c r="Q476" s="68" t="n">
        <v>2590</v>
      </c>
      <c r="R476" s="63" t="inlineStr">
        <is>
          <t>derived:price x shares upon listing</t>
        </is>
      </c>
      <c r="S476" s="69" t="n">
        <v>664.92</v>
      </c>
      <c r="T476" s="70" t="n">
        <v>3.18</v>
      </c>
      <c r="U476" s="71" t="n"/>
      <c r="V476" s="67" t="n">
        <v>25</v>
      </c>
      <c r="W476" s="63" t="n"/>
      <c r="X476" s="63" t="n"/>
      <c r="Y476" s="67" t="n">
        <v>15</v>
      </c>
      <c r="Z476" s="63" t="n"/>
      <c r="AA476" s="72" t="n">
        <v>-45.75</v>
      </c>
      <c r="AB476" s="73" t="n">
        <v>-16.6</v>
      </c>
      <c r="AC476" s="73" t="n">
        <v>-34.95</v>
      </c>
      <c r="AD476" s="73" t="n">
        <v>-47.49</v>
      </c>
      <c r="AE476" s="73" t="n">
        <v>-28.57</v>
      </c>
      <c r="AF476" s="73" t="n"/>
      <c r="AG476" s="73" t="n">
        <v>-3.21</v>
      </c>
      <c r="AH476" s="73" t="n">
        <v>31.67</v>
      </c>
      <c r="AI476" s="73" t="n"/>
      <c r="AJ476" s="73" t="n">
        <v>-43.71</v>
      </c>
      <c r="AK476" s="73" t="n">
        <v>-23.07</v>
      </c>
      <c r="AL476" s="73" t="n"/>
      <c r="AM476" s="73" t="n">
        <v>35.88</v>
      </c>
      <c r="AN476" s="73" t="n">
        <v>-5.5</v>
      </c>
      <c r="AO476" s="73" t="n">
        <v>-4.21</v>
      </c>
      <c r="AP476" s="63" t="inlineStr">
        <is>
          <t>Hang Seng Commerce &amp; Industry sub-index</t>
        </is>
      </c>
      <c r="AQ476" s="73" t="n">
        <v>-24.42</v>
      </c>
      <c r="AR476" s="64" t="inlineStr">
        <is>
          <t>2026-08-20</t>
        </is>
      </c>
      <c r="AS476" s="65" t="n">
        <v>2460.5</v>
      </c>
      <c r="AT476" s="68" t="n">
        <v>-27.1</v>
      </c>
      <c r="AU476" s="63" t="inlineStr">
        <is>
          <t>N</t>
        </is>
      </c>
      <c r="AV476" s="63" t="inlineStr">
        <is>
          <t>n/m</t>
        </is>
      </c>
      <c r="AW476" s="74" t="n"/>
      <c r="AX476" s="74" t="n"/>
      <c r="AY476" s="74" t="n">
        <v>1.1</v>
      </c>
      <c r="AZ476" s="75" t="inlineStr">
        <is>
          <t>N</t>
        </is>
      </c>
      <c r="BA476" s="76">
        <f>IF('BBG Verify'!K476="","not filed — run on terminal",'BBG Verify'!K476)</f>
        <v/>
      </c>
      <c r="BB476" s="63" t="inlineStr">
        <is>
          <t>N/A</t>
        </is>
      </c>
      <c r="BC476" s="63" t="inlineStr">
        <is>
          <t>N/A</t>
        </is>
      </c>
      <c r="BD476" s="63" t="inlineStr">
        <is>
          <t>N/A</t>
        </is>
      </c>
      <c r="BE476" s="63" t="inlineStr">
        <is>
          <t>N/A</t>
        </is>
      </c>
      <c r="BF476" s="63" t="inlineStr">
        <is>
          <t>N/A</t>
        </is>
      </c>
      <c r="BG476" s="75"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3" t="inlineStr">
        <is>
          <t>DBS Asia Capital Limited</t>
        </is>
      </c>
      <c r="BI476" s="63" t="inlineStr">
        <is>
          <t>CMB International Capital Limited; DBS Asia Capital Limited; Phillip Securities (Hong Kong) Limited; SPDB International Capital Limited</t>
        </is>
      </c>
      <c r="BJ476" s="63" t="inlineStr">
        <is>
          <t>CMB International Capital Limited; DBS Asia Capital Limited; Phillip Securities (Hong Kong) Limited; SPDB International Capital Limited</t>
        </is>
      </c>
      <c r="BK476" s="77">
        <f>HYPERLINK("https://www1.hkexnews.hk/listedco/listconews/sehk/2026/0528/2026052800031.pdf","prospectus")</f>
        <v/>
      </c>
      <c r="BL476" s="77">
        <f>HYPERLINK("https://www1.hkexnews.hk/listedco/listconews/sehk/2026/0604/2026060402521.pdf","allotment")</f>
        <v/>
      </c>
      <c r="BM476" s="63" t="n"/>
      <c r="BN476" s="75" t="n"/>
      <c r="BO476" s="63"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7" t="n">
        <v>5.28</v>
      </c>
      <c r="W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3" t="inlineStr">
        <is>
          <t>cpe;eastspring;fullgoal;gic;hhlr;hillhouse;icbc;marshall;millennium;pinpoint;psbc;taikang;ubs</t>
        </is>
      </c>
      <c r="Y477" s="67" t="n">
        <v>15</v>
      </c>
      <c r="Z477" s="63" t="inlineStr">
        <is>
          <t>partial</t>
        </is>
      </c>
      <c r="AA477" s="72" t="n">
        <v>0</v>
      </c>
      <c r="AB477" s="73" t="n">
        <v>0</v>
      </c>
      <c r="AC477" s="73" t="n">
        <v>0</v>
      </c>
      <c r="AD477" s="73" t="n">
        <v>-3.69</v>
      </c>
      <c r="AE477" s="73" t="n">
        <v>-30.72</v>
      </c>
      <c r="AF477" s="73" t="n"/>
      <c r="AG477" s="73" t="n">
        <v>-3.69</v>
      </c>
      <c r="AH477" s="73" t="n">
        <v>-30.72</v>
      </c>
      <c r="AI477" s="73" t="n"/>
      <c r="AJ477" s="73" t="n">
        <v>0.09</v>
      </c>
      <c r="AK477" s="73" t="n">
        <v>-25.22</v>
      </c>
      <c r="AL477" s="73" t="n"/>
      <c r="AM477" s="73" t="n">
        <v>-26.51</v>
      </c>
      <c r="AN477" s="73" t="n">
        <v>-5.5</v>
      </c>
      <c r="AO477" s="73" t="n">
        <v>-4.21</v>
      </c>
      <c r="AP477" s="63" t="inlineStr">
        <is>
          <t>Hang Seng Commerce &amp; Industry sub-index</t>
        </is>
      </c>
      <c r="AQ477" s="73" t="n">
        <v>-50.36</v>
      </c>
      <c r="AR477" s="64" t="inlineStr">
        <is>
          <t>2026-08-20</t>
        </is>
      </c>
      <c r="AS477" s="65" t="n">
        <v>6790.9</v>
      </c>
      <c r="AT477" s="68" t="n">
        <v>1213.6</v>
      </c>
      <c r="AU477" s="63" t="inlineStr">
        <is>
          <t>Y</t>
        </is>
      </c>
      <c r="AV477" s="74" t="n">
        <v>53.3</v>
      </c>
      <c r="AW477" s="74" t="n">
        <v>33.2</v>
      </c>
      <c r="AX477" s="74" t="n">
        <v>17.8</v>
      </c>
      <c r="AY477" s="74" t="n">
        <v>9.5</v>
      </c>
      <c r="AZ477" s="75" t="inlineStr">
        <is>
          <t>Y</t>
        </is>
      </c>
      <c r="BA477" s="63" t="inlineStr">
        <is>
          <t>002487.SZ</t>
        </is>
      </c>
      <c r="BB477" s="73" t="n">
        <v>17.8</v>
      </c>
      <c r="BC477" s="66" t="n">
        <v>78.2184</v>
      </c>
      <c r="BD477" s="80" t="n">
        <v>0.3943</v>
      </c>
      <c r="BE477" s="78">
        <f>IF('BBG Verify'!Q477="","run on terminal",'BBG Verify'!Q477)</f>
        <v/>
      </c>
      <c r="BF477" s="78">
        <f>IF('BBG Verify'!R477="","run on terminal",'BBG Verify'!R477)</f>
        <v/>
      </c>
      <c r="BG477" s="75" t="inlineStr">
        <is>
          <t>Huatai Financial Holdings (Hong Kong) Limited; China Merchants Securities (HK) Co., Limited</t>
        </is>
      </c>
      <c r="BH477" s="63" t="inlineStr">
        <is>
          <t>Huatai Financial Holdings (Hong Kong) Limited; China Merchants Securities (HK) Company Limited</t>
        </is>
      </c>
      <c r="BI477" s="63" t="inlineStr">
        <is>
          <t>CCB International Capital Limited; China International Capital Corporation Hong Kong Securities Limited; China Merchants Securities (HK) Company Limited; Huatai Financial Holdings (Hong Kong) Limited; Ping An Securities (Hong Kong) Company Limited</t>
        </is>
      </c>
      <c r="BJ477" s="63" t="inlineStr">
        <is>
          <t>CCB International Capital Limited; China International Capital Corporation Hong Kong Securities Limited; China Merchants Securities (HK) Company Limited; Huatai Financial Holdings (Hong Kong) Limited; Ping An Securities (Hong Kong) Company Limited</t>
        </is>
      </c>
      <c r="BK477" s="77">
        <f>HYPERLINK("https://www1.hkexnews.hk/listedco/listconews/sehk/2026/0528/2026052800019.pdf","prospectus")</f>
        <v/>
      </c>
      <c r="BL477" s="77">
        <f>HYPERLINK("https://www1.hkexnews.hk/listedco/listconews/sehk/2026/0604/2026060402919.pdf","allotment")</f>
        <v/>
      </c>
      <c r="BM477" s="77">
        <f>HYPERLINK("https://www1.hkexnews.hk/listedco/listconews/sehk/2026/0702/2026070203999.pdf","stabilisation")</f>
        <v/>
      </c>
      <c r="BN477" s="75" t="n"/>
      <c r="BO477" s="63"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7" t="n">
        <v>9.57</v>
      </c>
      <c r="W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3" t="inlineStr">
        <is>
          <t>foresight;fr;fullgoal;mega;orbimed;shanghai-gaoyi;biotech;trumed;value;wisdomshire;yuanfeng</t>
        </is>
      </c>
      <c r="Y478" s="67" t="n">
        <v>5.73</v>
      </c>
      <c r="Z478" s="63" t="inlineStr">
        <is>
          <t>full</t>
        </is>
      </c>
      <c r="AA478" s="72" t="n">
        <v>37.21</v>
      </c>
      <c r="AB478" s="73" t="n">
        <v>50.22</v>
      </c>
      <c r="AC478" s="73" t="n">
        <v>-8.66</v>
      </c>
      <c r="AD478" s="73" t="n">
        <v>49.8</v>
      </c>
      <c r="AE478" s="73" t="n">
        <v>-1.05</v>
      </c>
      <c r="AF478" s="73" t="n"/>
      <c r="AG478" s="73" t="n">
        <v>9.18</v>
      </c>
      <c r="AH478" s="73" t="n">
        <v>-27.88</v>
      </c>
      <c r="AI478" s="73" t="n"/>
      <c r="AJ478" s="73" t="n">
        <v>50.3</v>
      </c>
      <c r="AK478" s="73" t="n">
        <v>-9.859999999999999</v>
      </c>
      <c r="AL478" s="73" t="n"/>
      <c r="AM478" s="73" t="n">
        <v>-37.41</v>
      </c>
      <c r="AN478" s="73" t="n">
        <v>8.81</v>
      </c>
      <c r="AO478" s="73" t="n">
        <v>9.529999999999999</v>
      </c>
      <c r="AP478" s="63" t="inlineStr">
        <is>
          <t>China Biotech ETF (HS biotech proxy)</t>
        </is>
      </c>
      <c r="AQ478" s="73" t="n">
        <v>21.17</v>
      </c>
      <c r="AR478" s="64" t="inlineStr">
        <is>
          <t>2026-08-20</t>
        </is>
      </c>
      <c r="AS478" s="65" t="n">
        <v>2.2</v>
      </c>
      <c r="AT478" s="68" t="n">
        <v>-151.1</v>
      </c>
      <c r="AU478" s="63" t="inlineStr">
        <is>
          <t>N</t>
        </is>
      </c>
      <c r="AV478" s="63" t="inlineStr">
        <is>
          <t>n/m</t>
        </is>
      </c>
      <c r="AW478" s="74" t="n"/>
      <c r="AX478" s="74" t="n"/>
      <c r="AY478" s="74" t="n">
        <v>3239.5</v>
      </c>
      <c r="AZ478" s="75" t="inlineStr">
        <is>
          <t>N</t>
        </is>
      </c>
      <c r="BA478" s="76">
        <f>IF('BBG Verify'!K478="","not filed — run on terminal",'BBG Verify'!K478)</f>
        <v/>
      </c>
      <c r="BB478" s="63" t="inlineStr">
        <is>
          <t>N/A</t>
        </is>
      </c>
      <c r="BC478" s="63" t="inlineStr">
        <is>
          <t>N/A</t>
        </is>
      </c>
      <c r="BD478" s="63" t="inlineStr">
        <is>
          <t>N/A</t>
        </is>
      </c>
      <c r="BE478" s="63" t="inlineStr">
        <is>
          <t>N/A</t>
        </is>
      </c>
      <c r="BF478" s="63" t="inlineStr">
        <is>
          <t>N/A</t>
        </is>
      </c>
      <c r="BG478" s="75" t="inlineStr">
        <is>
          <t>Sinolink Securities (Hong Kong) Company Limited</t>
        </is>
      </c>
      <c r="BH478" s="63" t="inlineStr">
        <is>
          <t>Sinolink Securities (Hong Kong) Company Limited</t>
        </is>
      </c>
      <c r="BI478" s="63" t="inlineStr">
        <is>
          <t>GF Securities (Hong Kong) Brokerage Limited; Wan Chai, Hong Kong ABCI Capital Limited; ABCI Securities Company Limited</t>
        </is>
      </c>
      <c r="BJ478" s="63" t="inlineStr">
        <is>
          <t>ABCI Securities Company Limited; CCB International Capital Limited; GF Securities (Hong Kong) Brokerage Limited; Sinolink Securities (Hong Kong) Company Limited; Shanxi Securities International Limited; TradeGo Markets Limited</t>
        </is>
      </c>
      <c r="BK478" s="77">
        <f>HYPERLINK("https://www1.hkexnews.hk/listedco/listconews/sehk/2026/0528/2026052800023.pdf","prospectus")</f>
        <v/>
      </c>
      <c r="BL478" s="77">
        <f>HYPERLINK("https://www1.hkexnews.hk/listedco/listconews/sehk/2026/0604/2026060402923.pdf","allotment")</f>
        <v/>
      </c>
      <c r="BM478" s="77">
        <f>HYPERLINK("https://www1.hkexnews.hk/listedco/listconews/sehk/2026/0702/2026070203309.pdf","stabilisation")</f>
        <v/>
      </c>
      <c r="BN478" s="75" t="n"/>
      <c r="BO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7" t="n">
        <v>10.25</v>
      </c>
      <c r="W479" s="63" t="inlineStr">
        <is>
          <t>Top New Development Limited</t>
        </is>
      </c>
      <c r="X479" s="63" t="inlineStr">
        <is>
          <t>top</t>
        </is>
      </c>
      <c r="Y479" s="67" t="n">
        <v>11.9</v>
      </c>
      <c r="Z479" s="63" t="n"/>
      <c r="AA479" s="72" t="n">
        <v>193.71</v>
      </c>
      <c r="AB479" s="73" t="n">
        <v>117.99</v>
      </c>
      <c r="AC479" s="73" t="n">
        <v>34.74</v>
      </c>
      <c r="AD479" s="73" t="n">
        <v>225.61</v>
      </c>
      <c r="AE479" s="73" t="n">
        <v>277.93</v>
      </c>
      <c r="AF479" s="73" t="n"/>
      <c r="AG479" s="73" t="n">
        <v>10.86</v>
      </c>
      <c r="AH479" s="73" t="n">
        <v>28.67</v>
      </c>
      <c r="AI479" s="73" t="n"/>
      <c r="AJ479" s="73" t="n">
        <v>233.32</v>
      </c>
      <c r="AK479" s="73" t="n">
        <v>275.73</v>
      </c>
      <c r="AL479" s="73" t="n"/>
      <c r="AM479" s="73" t="n">
        <v>26.76</v>
      </c>
      <c r="AN479" s="73" t="n">
        <v>2.2</v>
      </c>
      <c r="AO479" s="73" t="n">
        <v>1.91</v>
      </c>
      <c r="AP479" s="63" t="inlineStr">
        <is>
          <t>Hang Seng Commerce &amp; Industry sub-index</t>
        </is>
      </c>
      <c r="AQ479" s="73" t="n">
        <v>244.88</v>
      </c>
      <c r="AR479" s="64" t="inlineStr">
        <is>
          <t>2026-08-21</t>
        </is>
      </c>
      <c r="AS479" s="65" t="n">
        <v>1881.8</v>
      </c>
      <c r="AT479" s="68" t="n">
        <v>200.3</v>
      </c>
      <c r="AU479" s="63" t="inlineStr">
        <is>
          <t>Y</t>
        </is>
      </c>
      <c r="AV479" s="74" t="n">
        <v>17.1</v>
      </c>
      <c r="AW479" s="74" t="n"/>
      <c r="AX479" s="74" t="n"/>
      <c r="AY479" s="74" t="n">
        <v>1.8</v>
      </c>
      <c r="AZ479" s="75" t="inlineStr">
        <is>
          <t>N</t>
        </is>
      </c>
      <c r="BA479" s="76">
        <f>IF('BBG Verify'!K479="","not filed — run on terminal",'BBG Verify'!K479)</f>
        <v/>
      </c>
      <c r="BB479" s="63" t="inlineStr">
        <is>
          <t>N/A</t>
        </is>
      </c>
      <c r="BC479" s="63" t="inlineStr">
        <is>
          <t>N/A</t>
        </is>
      </c>
      <c r="BD479" s="63" t="inlineStr">
        <is>
          <t>N/A</t>
        </is>
      </c>
      <c r="BE479" s="63" t="inlineStr">
        <is>
          <t>N/A</t>
        </is>
      </c>
      <c r="BF479" s="63" t="inlineStr">
        <is>
          <t>N/A</t>
        </is>
      </c>
      <c r="BG479" s="75" t="inlineStr">
        <is>
          <t>CITIC Securities (Hong Kong) Limited; Guoyuan Capital (Hong Kong) Limited</t>
        </is>
      </c>
      <c r="BH479" s="63" t="inlineStr">
        <is>
          <t>CITIC Securities (Hong Kong) Limited; Guoyuan Capital (Hong Kong) Limited</t>
        </is>
      </c>
      <c r="BI479" s="63"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7">
        <f>HYPERLINK("https://www1.hkexnews.hk/listedco/listconews/sehk/2026/0605/2026060500023.pdf","prospectus")</f>
        <v/>
      </c>
      <c r="BL479" s="77">
        <f>HYPERLINK("https://www1.hkexnews.hk/listedco/listconews/sehk/2026/0612/2026061202100.pdf","allotment")</f>
        <v/>
      </c>
      <c r="BM479" s="63" t="n"/>
      <c r="BN479" s="75" t="n"/>
      <c r="BO479" s="63"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7" t="n">
        <v>11.29</v>
      </c>
      <c r="W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3" t="inlineStr">
        <is>
          <t>chample;libra;longwei;mr-andrew;oakwise;rime;sunwoda;tembusu;thalassa</t>
        </is>
      </c>
      <c r="Y480" s="67" t="n">
        <v>5.3</v>
      </c>
      <c r="Z480" s="63" t="inlineStr">
        <is>
          <t>partial</t>
        </is>
      </c>
      <c r="AA480" s="72" t="n">
        <v>127.12</v>
      </c>
      <c r="AB480" s="73" t="n">
        <v>72.11</v>
      </c>
      <c r="AC480" s="73" t="n">
        <v>31.96</v>
      </c>
      <c r="AD480" s="73" t="n">
        <v>105.88</v>
      </c>
      <c r="AE480" s="73" t="n">
        <v>10.02</v>
      </c>
      <c r="AF480" s="73" t="n"/>
      <c r="AG480" s="73" t="n">
        <v>-9.35</v>
      </c>
      <c r="AH480" s="73" t="n">
        <v>-51.56</v>
      </c>
      <c r="AI480" s="73" t="n"/>
      <c r="AJ480" s="73" t="n">
        <v>110.97</v>
      </c>
      <c r="AK480" s="73" t="n">
        <v>8.09</v>
      </c>
      <c r="AL480" s="73" t="n"/>
      <c r="AM480" s="73" t="n">
        <v>-53.4</v>
      </c>
      <c r="AN480" s="73" t="n">
        <v>1.93</v>
      </c>
      <c r="AO480" s="73" t="n">
        <v>1.84</v>
      </c>
      <c r="AP480" s="63" t="inlineStr">
        <is>
          <t>HSTECH (Hang Seng TECH ETF)</t>
        </is>
      </c>
      <c r="AQ480" s="73" t="n">
        <v>71.02</v>
      </c>
      <c r="AR480" s="64" t="inlineStr">
        <is>
          <t>2026-08-20</t>
        </is>
      </c>
      <c r="AS480" s="65" t="n">
        <v>525.6</v>
      </c>
      <c r="AT480" s="68" t="n">
        <v>-386.5</v>
      </c>
      <c r="AU480" s="63" t="inlineStr">
        <is>
          <t>N</t>
        </is>
      </c>
      <c r="AV480" s="63" t="inlineStr">
        <is>
          <t>n/m</t>
        </is>
      </c>
      <c r="AW480" s="74" t="n"/>
      <c r="AX480" s="74" t="n"/>
      <c r="AY480" s="74" t="n">
        <v>11.8</v>
      </c>
      <c r="AZ480" s="75" t="inlineStr">
        <is>
          <t>N</t>
        </is>
      </c>
      <c r="BA480" s="76">
        <f>IF('BBG Verify'!K480="","not filed — run on terminal",'BBG Verify'!K480)</f>
        <v/>
      </c>
      <c r="BB480" s="63" t="inlineStr">
        <is>
          <t>N/A</t>
        </is>
      </c>
      <c r="BC480" s="63" t="inlineStr">
        <is>
          <t>N/A</t>
        </is>
      </c>
      <c r="BD480" s="63" t="inlineStr">
        <is>
          <t>N/A</t>
        </is>
      </c>
      <c r="BE480" s="63" t="inlineStr">
        <is>
          <t>N/A</t>
        </is>
      </c>
      <c r="BF480" s="63" t="inlineStr">
        <is>
          <t>N/A</t>
        </is>
      </c>
      <c r="BG480" s="75" t="inlineStr">
        <is>
          <t>China International Capital Corporation Hong Kong Securities Limited; Guotai Junan Capital Limited; OCs China International Capital Corporation Hong Kong Securities Limited; Guotai Junan Securities (Hong Kong) Limited</t>
        </is>
      </c>
      <c r="BH480" s="63" t="inlineStr">
        <is>
          <t>China International Capital Corporation Hong Kong Securities Limited; Guotai Junan Capital Limited</t>
        </is>
      </c>
      <c r="BI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7">
        <f>HYPERLINK("https://www1.hkexnews.hk/listedco/listconews/sehk/2026/0609/2026060900029.pdf","prospectus")</f>
        <v/>
      </c>
      <c r="BL480" s="77">
        <f>HYPERLINK("https://www1.hkexnews.hk/listedco/listconews/sehk/2026/0616/2026061601760.pdf","allotment")</f>
        <v/>
      </c>
      <c r="BM480" s="77">
        <f>HYPERLINK("https://www1.hkexnews.hk/listedco/listconews/sehk/2026/0712/2026071200003.pdf","stabilisation")</f>
        <v/>
      </c>
      <c r="BN480" s="75" t="n"/>
      <c r="BO480"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7" t="n">
        <v>11</v>
      </c>
      <c r="W481" s="63" t="n"/>
      <c r="X481" s="63" t="n"/>
      <c r="Y481" s="67" t="n"/>
      <c r="Z481" s="63" t="n"/>
      <c r="AA481" s="72" t="n">
        <v>270.83</v>
      </c>
      <c r="AB481" s="73" t="n">
        <v>302.78</v>
      </c>
      <c r="AC481" s="73" t="n">
        <v>-7.93</v>
      </c>
      <c r="AD481" s="73" t="n">
        <v>143.75</v>
      </c>
      <c r="AE481" s="73" t="n">
        <v>95.83</v>
      </c>
      <c r="AF481" s="73" t="n"/>
      <c r="AG481" s="73" t="n">
        <v>-34.27</v>
      </c>
      <c r="AH481" s="73" t="n">
        <v>-47.19</v>
      </c>
      <c r="AI481" s="73" t="n"/>
      <c r="AJ481" s="73" t="n">
        <v>148.27</v>
      </c>
      <c r="AK481" s="73" t="n">
        <v>94.31999999999999</v>
      </c>
      <c r="AL481" s="73" t="n"/>
      <c r="AM481" s="73" t="n">
        <v>-49.79</v>
      </c>
      <c r="AN481" s="73" t="n">
        <v>1.51</v>
      </c>
      <c r="AO481" s="73" t="n">
        <v>2.6</v>
      </c>
      <c r="AP481" s="63" t="inlineStr">
        <is>
          <t>HSTECH (Hang Seng TECH ETF)</t>
        </is>
      </c>
      <c r="AQ481" s="73" t="n">
        <v>189.72</v>
      </c>
      <c r="AR481" s="64" t="inlineStr">
        <is>
          <t>2026-08-21</t>
        </is>
      </c>
      <c r="AS481" s="65" t="n">
        <v>735.4</v>
      </c>
      <c r="AT481" s="68" t="n">
        <v>32.3</v>
      </c>
      <c r="AU481" s="63" t="inlineStr">
        <is>
          <t>Y</t>
        </is>
      </c>
      <c r="AV481" s="74" t="n">
        <v>172.6</v>
      </c>
      <c r="AW481" s="74" t="n"/>
      <c r="AX481" s="74" t="n"/>
      <c r="AY481" s="74" t="n">
        <v>7.6</v>
      </c>
      <c r="AZ481" s="75" t="inlineStr">
        <is>
          <t>N</t>
        </is>
      </c>
      <c r="BA481" s="76">
        <f>IF('BBG Verify'!K481="","not filed — run on terminal",'BBG Verify'!K481)</f>
        <v/>
      </c>
      <c r="BB481" s="63" t="inlineStr">
        <is>
          <t>N/A</t>
        </is>
      </c>
      <c r="BC481" s="63" t="inlineStr">
        <is>
          <t>N/A</t>
        </is>
      </c>
      <c r="BD481" s="63" t="inlineStr">
        <is>
          <t>N/A</t>
        </is>
      </c>
      <c r="BE481" s="63" t="inlineStr">
        <is>
          <t>N/A</t>
        </is>
      </c>
      <c r="BF481" s="63" t="inlineStr">
        <is>
          <t>N/A</t>
        </is>
      </c>
      <c r="BG481" s="75" t="inlineStr">
        <is>
          <t>CMBC International Capital Limited; Central, Hong Kong SPDB International Capital Limited</t>
        </is>
      </c>
      <c r="BH481" s="63" t="inlineStr">
        <is>
          <t>CMBC International Capital Limited; SPDB International Capital Limited</t>
        </is>
      </c>
      <c r="BI481" s="63"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7">
        <f>HYPERLINK("https://www1.hkexnews.hk/listedco/listconews/sehk/2026/0611/2026061100015.pdf","prospectus")</f>
        <v/>
      </c>
      <c r="BL481" s="77">
        <f>HYPERLINK("https://www1.hkexnews.hk/listedco/listconews/sehk/2026/0618/2026061802066.pdf","allotment")</f>
        <v/>
      </c>
      <c r="BM481" s="63" t="n"/>
      <c r="BN481" s="75" t="n"/>
      <c r="BO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7" t="n">
        <v>12.07</v>
      </c>
      <c r="W482" s="63" t="inlineStr">
        <is>
          <t>Foresight Fund Management Company Limited; Key Broad Future Limited; LBC HK Opportunity Fund Limited; Panjing Harbourview Investment Fund; Sage Partners Master Fund; Taikang Life Insurance Co., Ltd</t>
        </is>
      </c>
      <c r="X482" s="63" t="inlineStr">
        <is>
          <t>foresight;key;lbc;panjing;sage;taikang</t>
        </is>
      </c>
      <c r="Y482" s="67" t="n">
        <v>7.5</v>
      </c>
      <c r="Z482" s="63" t="inlineStr">
        <is>
          <t>lapsed</t>
        </is>
      </c>
      <c r="AA482" s="72" t="n">
        <v>-56.89</v>
      </c>
      <c r="AB482" s="73" t="n">
        <v>0</v>
      </c>
      <c r="AC482" s="73" t="n">
        <v>-56.89</v>
      </c>
      <c r="AD482" s="73" t="n">
        <v>-56.14</v>
      </c>
      <c r="AE482" s="73" t="n">
        <v>-42.52</v>
      </c>
      <c r="AF482" s="73" t="n"/>
      <c r="AG482" s="73" t="n">
        <v>1.74</v>
      </c>
      <c r="AH482" s="73" t="n">
        <v>33.33</v>
      </c>
      <c r="AI482" s="73" t="n"/>
      <c r="AJ482" s="73" t="n">
        <v>-64.12</v>
      </c>
      <c r="AK482" s="73" t="n">
        <v>-61.81</v>
      </c>
      <c r="AL482" s="73" t="n"/>
      <c r="AM482" s="73" t="n">
        <v>14.16</v>
      </c>
      <c r="AN482" s="73" t="n">
        <v>19.29</v>
      </c>
      <c r="AO482" s="73" t="n">
        <v>19.17</v>
      </c>
      <c r="AP482" s="63" t="inlineStr">
        <is>
          <t>China Biotech ETF (HS biotech proxy)</t>
        </is>
      </c>
      <c r="AQ482" s="73" t="n">
        <v>-52.64</v>
      </c>
      <c r="AR482" s="64" t="inlineStr">
        <is>
          <t>2026-08-20</t>
        </is>
      </c>
      <c r="AS482" s="65" t="n">
        <v>14.3</v>
      </c>
      <c r="AT482" s="68" t="n">
        <v>-148.6</v>
      </c>
      <c r="AU482" s="63" t="inlineStr">
        <is>
          <t>N</t>
        </is>
      </c>
      <c r="AV482" s="63" t="inlineStr">
        <is>
          <t>n/m</t>
        </is>
      </c>
      <c r="AW482" s="74" t="n"/>
      <c r="AX482" s="74" t="n"/>
      <c r="AY482" s="74" t="n">
        <v>421</v>
      </c>
      <c r="AZ482" s="75" t="inlineStr">
        <is>
          <t>N</t>
        </is>
      </c>
      <c r="BA482" s="76">
        <f>IF('BBG Verify'!K482="","not filed — run on terminal",'BBG Verify'!K482)</f>
        <v/>
      </c>
      <c r="BB482" s="63" t="inlineStr">
        <is>
          <t>N/A</t>
        </is>
      </c>
      <c r="BC482" s="63" t="inlineStr">
        <is>
          <t>N/A</t>
        </is>
      </c>
      <c r="BD482" s="63" t="inlineStr">
        <is>
          <t>N/A</t>
        </is>
      </c>
      <c r="BE482" s="63" t="inlineStr">
        <is>
          <t>N/A</t>
        </is>
      </c>
      <c r="BF482" s="63" t="inlineStr">
        <is>
          <t>N/A</t>
        </is>
      </c>
      <c r="BG482" s="75" t="inlineStr">
        <is>
          <t>CITIC Securities (Hong Kong) Limited</t>
        </is>
      </c>
      <c r="BH482" s="63" t="inlineStr">
        <is>
          <t>CITIC Securities (Hong Kong) Limited</t>
        </is>
      </c>
      <c r="BI482" s="63" t="inlineStr">
        <is>
          <t>CLSA Limited</t>
        </is>
      </c>
      <c r="BJ482" s="63" t="inlineStr">
        <is>
          <t>CLSA Limited</t>
        </is>
      </c>
      <c r="BK482" s="77">
        <f>HYPERLINK("https://www1.hkexnews.hk/listedco/listconews/sehk/2026/0612/2026061200083.pdf","prospectus")</f>
        <v/>
      </c>
      <c r="BL482" s="77">
        <f>HYPERLINK("https://www1.hkexnews.hk/listedco/listconews/sehk/2026/0622/2026062201627.pdf","allotment")</f>
        <v/>
      </c>
      <c r="BM482" s="77">
        <f>HYPERLINK("https://www1.hkexnews.hk/listedco/listconews/sehk/2026/0717/2026071700724.pdf","stabilisation")</f>
        <v/>
      </c>
      <c r="BN482" s="75" t="n"/>
      <c r="BO482" s="63"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7" t="n">
        <v>5.49</v>
      </c>
      <c r="W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3" t="inlineStr">
        <is>
          <t>bona;china-international;fullgoal;gf;harvest;jinkosolar;mondeomax;mr-chen;sheen;sinsanwa;springs;sunwoda;taikang</t>
        </is>
      </c>
      <c r="Y483" s="67" t="n"/>
      <c r="Z483" s="63" t="n"/>
      <c r="AA483" s="72" t="n">
        <v>22.49</v>
      </c>
      <c r="AB483" s="73" t="n">
        <v>38.42</v>
      </c>
      <c r="AC483" s="73" t="n">
        <v>-11.51</v>
      </c>
      <c r="AD483" s="73" t="n">
        <v>10.24</v>
      </c>
      <c r="AE483" s="73" t="n">
        <v>-12.25</v>
      </c>
      <c r="AF483" s="73" t="n"/>
      <c r="AG483" s="73" t="n">
        <v>-10</v>
      </c>
      <c r="AH483" s="73" t="n">
        <v>-28.36</v>
      </c>
      <c r="AI483" s="73" t="n"/>
      <c r="AJ483" s="73" t="n">
        <v>13.81</v>
      </c>
      <c r="AK483" s="73" t="n">
        <v>-18.87</v>
      </c>
      <c r="AL483" s="73" t="n"/>
      <c r="AM483" s="73" t="n">
        <v>-38.07</v>
      </c>
      <c r="AN483" s="73" t="n">
        <v>6.62</v>
      </c>
      <c r="AO483" s="73" t="n">
        <v>9.710000000000001</v>
      </c>
      <c r="AP483" s="63" t="inlineStr">
        <is>
          <t>Hang Seng Commerce &amp; Industry sub-index</t>
        </is>
      </c>
      <c r="AQ483" s="73" t="n">
        <v>-12.47</v>
      </c>
      <c r="AR483" s="64" t="inlineStr">
        <is>
          <t>2026-08-20</t>
        </is>
      </c>
      <c r="AS483" s="65" t="n">
        <v>4484.5</v>
      </c>
      <c r="AT483" s="68" t="n">
        <v>157.4</v>
      </c>
      <c r="AU483" s="63" t="inlineStr">
        <is>
          <t>Y</t>
        </is>
      </c>
      <c r="AV483" s="74" t="n">
        <v>85.3</v>
      </c>
      <c r="AW483" s="74" t="n">
        <v>297.2</v>
      </c>
      <c r="AX483" s="74" t="n">
        <v>224.7</v>
      </c>
      <c r="AY483" s="74" t="n">
        <v>3</v>
      </c>
      <c r="AZ483" s="75" t="inlineStr">
        <is>
          <t>Y</t>
        </is>
      </c>
      <c r="BA483" s="63" t="inlineStr">
        <is>
          <t>300568.SZ</t>
        </is>
      </c>
      <c r="BB483" s="73" t="n">
        <v>162.05</v>
      </c>
      <c r="BC483" s="66" t="n">
        <v>23.5319</v>
      </c>
      <c r="BD483" s="80" t="n">
        <v>1.1825</v>
      </c>
      <c r="BE483" s="78">
        <f>IF('BBG Verify'!Q483="","run on terminal",'BBG Verify'!Q483)</f>
        <v/>
      </c>
      <c r="BF483" s="78">
        <f>IF('BBG Verify'!R483="","run on terminal",'BBG Verify'!R483)</f>
        <v/>
      </c>
      <c r="BG483" s="75" t="inlineStr">
        <is>
          <t>China Securities (International) Corporate Finance Company Limited</t>
        </is>
      </c>
      <c r="BH483" s="63" t="inlineStr">
        <is>
          <t>China Securities (International) Corporate Finance Company Limited</t>
        </is>
      </c>
      <c r="BI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7">
        <f>HYPERLINK("https://www1.hkexnews.hk/listedco/listconews/sehk/2026/0612/2026061200031.pdf","prospectus")</f>
        <v/>
      </c>
      <c r="BL483" s="77">
        <f>HYPERLINK("https://www1.hkexnews.hk/listedco/listconews/sehk/2026/0622/2026062202141.pdf","allotment")</f>
        <v/>
      </c>
      <c r="BM483" s="63" t="n"/>
      <c r="BN483" s="75" t="n"/>
      <c r="BO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7" t="n">
        <v>10.06</v>
      </c>
      <c r="W484" s="63" t="inlineStr">
        <is>
          <t>Everest Medicines Limited; Qiyuan High-tech Innovation Investment (Hong Kong) Limited; Summit Capital Limited</t>
        </is>
      </c>
      <c r="X484" s="63" t="inlineStr">
        <is>
          <t>everest;qiyuan;summit</t>
        </is>
      </c>
      <c r="Y484" s="67" t="n">
        <v>8.24</v>
      </c>
      <c r="Z484" s="63" t="n"/>
      <c r="AA484" s="72" t="n">
        <v>102.75</v>
      </c>
      <c r="AB484" s="73" t="n">
        <v>86.92</v>
      </c>
      <c r="AC484" s="73" t="n">
        <v>8.470000000000001</v>
      </c>
      <c r="AD484" s="73" t="n">
        <v>97.58</v>
      </c>
      <c r="AE484" s="73" t="n">
        <v>86.81</v>
      </c>
      <c r="AF484" s="73" t="n"/>
      <c r="AG484" s="73" t="n">
        <v>-2.55</v>
      </c>
      <c r="AH484" s="73" t="n">
        <v>-7.86</v>
      </c>
      <c r="AI484" s="73" t="n"/>
      <c r="AJ484" s="73" t="n">
        <v>86.28</v>
      </c>
      <c r="AK484" s="73" t="n">
        <v>70.06</v>
      </c>
      <c r="AL484" s="73" t="n"/>
      <c r="AM484" s="73" t="n">
        <v>-21.18</v>
      </c>
      <c r="AN484" s="73" t="n">
        <v>16.75</v>
      </c>
      <c r="AO484" s="73" t="n">
        <v>13.32</v>
      </c>
      <c r="AP484" s="63" t="inlineStr">
        <is>
          <t>China Biotech ETF (HS biotech proxy)</t>
        </is>
      </c>
      <c r="AQ484" s="73" t="n">
        <v>65.93000000000001</v>
      </c>
      <c r="AR484" s="64" t="inlineStr">
        <is>
          <t>2026-08-20</t>
        </is>
      </c>
      <c r="AS484" s="65" t="n">
        <v>2.2</v>
      </c>
      <c r="AT484" s="68" t="n">
        <v>-203.4</v>
      </c>
      <c r="AU484" s="63" t="inlineStr">
        <is>
          <t>N</t>
        </is>
      </c>
      <c r="AV484" s="63" t="inlineStr">
        <is>
          <t>n/m</t>
        </is>
      </c>
      <c r="AW484" s="74" t="n"/>
      <c r="AX484" s="74" t="n"/>
      <c r="AY484" s="74" t="n">
        <v>2744.4</v>
      </c>
      <c r="AZ484" s="75" t="inlineStr">
        <is>
          <t>N</t>
        </is>
      </c>
      <c r="BA484" s="76">
        <f>IF('BBG Verify'!K484="","not filed — run on terminal",'BBG Verify'!K484)</f>
        <v/>
      </c>
      <c r="BB484" s="63" t="inlineStr">
        <is>
          <t>N/A</t>
        </is>
      </c>
      <c r="BC484" s="63" t="inlineStr">
        <is>
          <t>N/A</t>
        </is>
      </c>
      <c r="BD484" s="63" t="inlineStr">
        <is>
          <t>N/A</t>
        </is>
      </c>
      <c r="BE484" s="63" t="inlineStr">
        <is>
          <t>N/A</t>
        </is>
      </c>
      <c r="BF484" s="63" t="inlineStr">
        <is>
          <t>N/A</t>
        </is>
      </c>
      <c r="BG484" s="75" t="n"/>
      <c r="BH484" s="63" t="inlineStr">
        <is>
          <t>CCB International Capital Limited; China Merchants Securities (HK) Company Limited</t>
        </is>
      </c>
      <c r="BI484" s="63" t="inlineStr">
        <is>
          <t>CCB International Capital Limited; China Merchants Securities (HK) Company Limited; Jakota Securities Group Limited; Ruibang Securities Limited; Sinolink Securities (Hong Kong) Company Limited; Somerley Capital Limited</t>
        </is>
      </c>
      <c r="BJ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7">
        <f>HYPERLINK("https://www1.hkexnews.hk/listedco/listconews/sehk/2026/0615/2026061500009.pdf","prospectus")</f>
        <v/>
      </c>
      <c r="BL484" s="77">
        <f>HYPERLINK("https://www1.hkexnews.hk/listedco/listconews/sehk/2026/0623/2026062301227.pdf","allotment")</f>
        <v/>
      </c>
      <c r="BM484" s="63" t="n"/>
      <c r="BN484" s="75" t="n"/>
      <c r="BO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7" t="n">
        <v>6.12</v>
      </c>
      <c r="W485" s="63" t="inlineStr">
        <is>
          <t>3W Fund Management Limited; GF Fund Management Co., Ltd; HHLR Advisors, Ltd; Nova Kerry Inc; Ruihua (International) Investment Limited; Splendid Zhonghe (Tianjin) Investment Management Co., Ltd; Yishao Capital Management (HK) Limited; Yuanbao Family Office Limited</t>
        </is>
      </c>
      <c r="X485" s="63" t="inlineStr">
        <is>
          <t>3w;gf;hhlr;nova;ruihua;splendid;yishao;yuanbao</t>
        </is>
      </c>
      <c r="Y485" s="67" t="n">
        <v>15</v>
      </c>
      <c r="Z485" s="63" t="inlineStr">
        <is>
          <t>lapsed</t>
        </is>
      </c>
      <c r="AA485" s="72" t="n">
        <v>4.33</v>
      </c>
      <c r="AB485" s="73" t="n">
        <v>0</v>
      </c>
      <c r="AC485" s="73" t="n">
        <v>4.33</v>
      </c>
      <c r="AD485" s="73" t="n">
        <v>-19.54</v>
      </c>
      <c r="AE485" s="73" t="n">
        <v>-44.69</v>
      </c>
      <c r="AF485" s="73" t="n"/>
      <c r="AG485" s="73" t="n">
        <v>-22.88</v>
      </c>
      <c r="AH485" s="73" t="n">
        <v>-46.99</v>
      </c>
      <c r="AI485" s="73" t="n"/>
      <c r="AJ485" s="73" t="n">
        <v>-20.7</v>
      </c>
      <c r="AK485" s="73" t="n">
        <v>-49.98</v>
      </c>
      <c r="AL485" s="73" t="n"/>
      <c r="AM485" s="73" t="n">
        <v>-50.23</v>
      </c>
      <c r="AN485" s="73" t="n">
        <v>5.29</v>
      </c>
      <c r="AO485" s="73" t="n">
        <v>3.24</v>
      </c>
      <c r="AP485" s="63" t="inlineStr">
        <is>
          <t>HSTECH (Hang Seng TECH ETF)</t>
        </is>
      </c>
      <c r="AQ485" s="73" t="n">
        <v>-37.7</v>
      </c>
      <c r="AR485" s="64" t="inlineStr">
        <is>
          <t>2026-08-20</t>
        </is>
      </c>
      <c r="AS485" s="65" t="n">
        <v>486.1</v>
      </c>
      <c r="AT485" s="68" t="n">
        <v>-51.8</v>
      </c>
      <c r="AU485" s="63" t="inlineStr">
        <is>
          <t>N</t>
        </is>
      </c>
      <c r="AV485" s="63" t="inlineStr">
        <is>
          <t>n/m</t>
        </is>
      </c>
      <c r="AW485" s="74" t="n"/>
      <c r="AX485" s="74" t="n"/>
      <c r="AY485" s="74" t="n">
        <v>20.4</v>
      </c>
      <c r="AZ485" s="75" t="inlineStr">
        <is>
          <t>N</t>
        </is>
      </c>
      <c r="BA485" s="76">
        <f>IF('BBG Verify'!K485="","not filed — run on terminal",'BBG Verify'!K485)</f>
        <v/>
      </c>
      <c r="BB485" s="63" t="inlineStr">
        <is>
          <t>N/A</t>
        </is>
      </c>
      <c r="BC485" s="63" t="inlineStr">
        <is>
          <t>N/A</t>
        </is>
      </c>
      <c r="BD485" s="63" t="inlineStr">
        <is>
          <t>N/A</t>
        </is>
      </c>
      <c r="BE485" s="63" t="inlineStr">
        <is>
          <t>N/A</t>
        </is>
      </c>
      <c r="BF485" s="63" t="inlineStr">
        <is>
          <t>N/A</t>
        </is>
      </c>
      <c r="BG485" s="75" t="n"/>
      <c r="BH485" s="63" t="inlineStr">
        <is>
          <t>China International Capital Corporation Hong Kong Securities Limited</t>
        </is>
      </c>
      <c r="BI485" s="63"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7">
        <f>HYPERLINK("https://www1.hkexnews.hk/listedco/listconews/sehk/2026/0615/2026061500013.pdf","prospectus")</f>
        <v/>
      </c>
      <c r="BL485" s="77">
        <f>HYPERLINK("https://www1.hkexnews.hk/listedco/listconews/sehk/2026/0623/2026062302143.pdf","allotment")</f>
        <v/>
      </c>
      <c r="BM485" s="77">
        <f>HYPERLINK("https://www1.hkexnews.hk/listedco/listconews/sehk/2026/0719/2026071900001.pdf","stabilisation")</f>
        <v/>
      </c>
      <c r="BN485" s="75" t="n"/>
      <c r="BO485"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7" t="n">
        <v>10</v>
      </c>
      <c r="W486" s="63" t="n"/>
      <c r="X486" s="63" t="n"/>
      <c r="Y486" s="67" t="n">
        <v>10</v>
      </c>
      <c r="Z486" s="63" t="n"/>
      <c r="AA486" s="72" t="n">
        <v>203.92</v>
      </c>
      <c r="AB486" s="73" t="n">
        <v>178.38</v>
      </c>
      <c r="AC486" s="73" t="n">
        <v>9.17</v>
      </c>
      <c r="AD486" s="73" t="n">
        <v>199.87</v>
      </c>
      <c r="AE486" s="73" t="n">
        <v>176.86</v>
      </c>
      <c r="AF486" s="73" t="n"/>
      <c r="AG486" s="73" t="n">
        <v>-1.33</v>
      </c>
      <c r="AH486" s="73" t="n">
        <v>-8.9</v>
      </c>
      <c r="AI486" s="73" t="n"/>
      <c r="AJ486" s="73" t="n">
        <v>196.96</v>
      </c>
      <c r="AK486" s="73" t="n">
        <v>169.61</v>
      </c>
      <c r="AL486" s="73" t="n"/>
      <c r="AM486" s="73" t="n">
        <v>-19.99</v>
      </c>
      <c r="AN486" s="73" t="n">
        <v>7.25</v>
      </c>
      <c r="AO486" s="73" t="n">
        <v>11.09</v>
      </c>
      <c r="AP486" s="63" t="inlineStr">
        <is>
          <t>HSTECH (Hang Seng TECH ETF)</t>
        </is>
      </c>
      <c r="AQ486" s="73" t="n">
        <v>167.76</v>
      </c>
      <c r="AR486" s="64" t="inlineStr">
        <is>
          <t>2026-08-20</t>
        </is>
      </c>
      <c r="AS486" s="65" t="n">
        <v>913.7</v>
      </c>
      <c r="AT486" s="68" t="n">
        <v>103</v>
      </c>
      <c r="AU486" s="63" t="inlineStr">
        <is>
          <t>Y</t>
        </is>
      </c>
      <c r="AV486" s="74" t="n">
        <v>38.8</v>
      </c>
      <c r="AW486" s="74" t="n"/>
      <c r="AX486" s="74" t="n"/>
      <c r="AY486" s="74" t="n">
        <v>4.4</v>
      </c>
      <c r="AZ486" s="75" t="inlineStr">
        <is>
          <t>N</t>
        </is>
      </c>
      <c r="BA486" s="76">
        <f>IF('BBG Verify'!K486="","not filed — run on terminal",'BBG Verify'!K486)</f>
        <v/>
      </c>
      <c r="BB486" s="63" t="inlineStr">
        <is>
          <t>N/A</t>
        </is>
      </c>
      <c r="BC486" s="63" t="inlineStr">
        <is>
          <t>N/A</t>
        </is>
      </c>
      <c r="BD486" s="63" t="inlineStr">
        <is>
          <t>N/A</t>
        </is>
      </c>
      <c r="BE486" s="63" t="inlineStr">
        <is>
          <t>N/A</t>
        </is>
      </c>
      <c r="BF486" s="63" t="inlineStr">
        <is>
          <t>N/A</t>
        </is>
      </c>
      <c r="BG486" s="75" t="inlineStr">
        <is>
          <t>China International Capital Corporation Hong Kong Securities Limited; Sponsor-OCs China International Capital Corporation Hong Kong Securities Limited; CMBC Securities Company Limited</t>
        </is>
      </c>
      <c r="BH486" s="63" t="inlineStr">
        <is>
          <t>China International Capital Corporation Hong Kong Securities Limited; CMBC International Capital Limited</t>
        </is>
      </c>
      <c r="BI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7">
        <f>HYPERLINK("https://www1.hkexnews.hk/listedco/listconews/sehk/2026/0617/2026061700071.pdf","prospectus")</f>
        <v/>
      </c>
      <c r="BL486" s="77">
        <f>HYPERLINK("https://www1.hkexnews.hk/listedco/listconews/sehk/2026/0625/2026062501916.pdf","allotment")</f>
        <v/>
      </c>
      <c r="BM486" s="63" t="n"/>
      <c r="BN486" s="75" t="n"/>
      <c r="BO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7" t="n">
        <v>6.26</v>
      </c>
      <c r="W487" s="63" t="inlineStr">
        <is>
          <t>China Orient Enhanced Income Fund; CMBC INTERNATIONAL INVESTMENT (HK) LIMITED; First Seafront Asset Management Limited; Guohui (HK) Holdings Co., Limited; Harvest Global Investments Limited; Huatai Capital Investment Limited</t>
        </is>
      </c>
      <c r="X487" s="63" t="inlineStr">
        <is>
          <t>orient;cmbc;first-seafront;guohui;harvest;huatai</t>
        </is>
      </c>
      <c r="Y487" s="67" t="n">
        <v>20</v>
      </c>
      <c r="Z487" s="63" t="inlineStr">
        <is>
          <t>partial</t>
        </is>
      </c>
      <c r="AA487" s="72" t="n">
        <v>84.02</v>
      </c>
      <c r="AB487" s="73" t="n">
        <v>81.22</v>
      </c>
      <c r="AC487" s="73" t="n">
        <v>1.55</v>
      </c>
      <c r="AD487" s="73" t="n">
        <v>30.07</v>
      </c>
      <c r="AE487" s="73" t="n">
        <v>0.99</v>
      </c>
      <c r="AF487" s="73" t="n"/>
      <c r="AG487" s="73" t="n">
        <v>-29.32</v>
      </c>
      <c r="AH487" s="73" t="n">
        <v>-45.12</v>
      </c>
      <c r="AI487" s="73" t="n"/>
      <c r="AJ487" s="73" t="n">
        <v>27.16</v>
      </c>
      <c r="AK487" s="73" t="n">
        <v>-6.26</v>
      </c>
      <c r="AL487" s="73" t="n"/>
      <c r="AM487" s="73" t="n">
        <v>-56.21</v>
      </c>
      <c r="AN487" s="73" t="n">
        <v>7.25</v>
      </c>
      <c r="AO487" s="73" t="n">
        <v>11.09</v>
      </c>
      <c r="AP487" s="63" t="inlineStr">
        <is>
          <t>HSTECH (Hang Seng TECH ETF)</t>
        </is>
      </c>
      <c r="AQ487" s="73" t="n">
        <v>39.04</v>
      </c>
      <c r="AR487" s="64" t="inlineStr">
        <is>
          <t>2026-08-20</t>
        </is>
      </c>
      <c r="AS487" s="65" t="n">
        <v>445.8</v>
      </c>
      <c r="AT487" s="68" t="n">
        <v>-172.8</v>
      </c>
      <c r="AU487" s="63" t="inlineStr">
        <is>
          <t>N</t>
        </is>
      </c>
      <c r="AV487" s="63" t="inlineStr">
        <is>
          <t>n/m</t>
        </is>
      </c>
      <c r="AW487" s="74" t="n"/>
      <c r="AX487" s="74" t="n"/>
      <c r="AY487" s="74" t="n">
        <v>23.6</v>
      </c>
      <c r="AZ487" s="75" t="inlineStr">
        <is>
          <t>N</t>
        </is>
      </c>
      <c r="BA487" s="76">
        <f>IF('BBG Verify'!K487="","not filed — run on terminal",'BBG Verify'!K487)</f>
        <v/>
      </c>
      <c r="BB487" s="63" t="inlineStr">
        <is>
          <t>N/A</t>
        </is>
      </c>
      <c r="BC487" s="63" t="inlineStr">
        <is>
          <t>N/A</t>
        </is>
      </c>
      <c r="BD487" s="63" t="inlineStr">
        <is>
          <t>N/A</t>
        </is>
      </c>
      <c r="BE487" s="63" t="inlineStr">
        <is>
          <t>N/A</t>
        </is>
      </c>
      <c r="BF487" s="63" t="inlineStr">
        <is>
          <t>N/A</t>
        </is>
      </c>
      <c r="BG487" s="75" t="n"/>
      <c r="BH487" s="63" t="inlineStr">
        <is>
          <t>China International Capital Corporation Hong Kong Securities Limited</t>
        </is>
      </c>
      <c r="BI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7">
        <f>HYPERLINK("https://www1.hkexnews.hk/listedco/listconews/sehk/2026/0617/2026061700025.pdf","prospectus")</f>
        <v/>
      </c>
      <c r="BL487" s="77">
        <f>HYPERLINK("https://www1.hkexnews.hk/listedco/listconews/sehk/2026/0625/2026062501938.pdf","allotment")</f>
        <v/>
      </c>
      <c r="BM487" s="77">
        <f>HYPERLINK("https://www1.hkexnews.hk/listedco/listconews/sehk/2026/0724/2026072401850.pdf","stabilisation")</f>
        <v/>
      </c>
      <c r="BN487" s="75" t="n"/>
      <c r="BO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81">
        <f>IF('BBG Verify'!M488="","not filed — run on terminal",'BBG Verify'!M488)</f>
        <v/>
      </c>
      <c r="R488" s="63" t="n"/>
      <c r="S488" s="69" t="n">
        <v>251.73</v>
      </c>
      <c r="T488" s="70" t="n">
        <v>23.5</v>
      </c>
      <c r="U488" s="71" t="n">
        <v>49.89</v>
      </c>
      <c r="V488" s="67" t="n"/>
      <c r="W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3" t="inlineStr">
        <is>
          <t>cpe;da;dajia;dymon;first-sentier;gf;gic;harvest;hhlr;hq;huadeng;icbc;jpmorgan;lmr;millennium;ninety;ocean;psbc;sungrow;taikang;value</t>
        </is>
      </c>
      <c r="Y488" s="67" t="n">
        <v>15</v>
      </c>
      <c r="Z488" s="63" t="inlineStr">
        <is>
          <t>full</t>
        </is>
      </c>
      <c r="AA488" s="72" t="n">
        <v>47.07</v>
      </c>
      <c r="AB488" s="73" t="n">
        <v>23.36</v>
      </c>
      <c r="AC488" s="73" t="n">
        <v>19.22</v>
      </c>
      <c r="AD488" s="73" t="n">
        <v>37.91</v>
      </c>
      <c r="AE488" s="73" t="n">
        <v>4.93</v>
      </c>
      <c r="AF488" s="73" t="n"/>
      <c r="AG488" s="73" t="n">
        <v>-6.23</v>
      </c>
      <c r="AH488" s="73" t="n">
        <v>-28.65</v>
      </c>
      <c r="AI488" s="73" t="n"/>
      <c r="AJ488" s="73" t="n">
        <v>35</v>
      </c>
      <c r="AK488" s="73" t="n">
        <v>-2.32</v>
      </c>
      <c r="AL488" s="73" t="n"/>
      <c r="AM488" s="73" t="n">
        <v>-39.74</v>
      </c>
      <c r="AN488" s="73" t="n">
        <v>7.25</v>
      </c>
      <c r="AO488" s="73" t="n">
        <v>11.09</v>
      </c>
      <c r="AP488" s="63" t="inlineStr">
        <is>
          <t>HSTECH (Hang Seng TECH ETF)</t>
        </is>
      </c>
      <c r="AQ488" s="73" t="n">
        <v>13.09</v>
      </c>
      <c r="AR488" s="64" t="inlineStr">
        <is>
          <t>2026-08-20</t>
        </is>
      </c>
      <c r="AS488" s="65" t="n">
        <v>4287.9</v>
      </c>
      <c r="AT488" s="68" t="n">
        <v>587.8</v>
      </c>
      <c r="AU488" s="63" t="inlineStr">
        <is>
          <t>Y</t>
        </is>
      </c>
      <c r="AV488" s="74" t="n">
        <v>122.6</v>
      </c>
      <c r="AW488" s="74" t="n">
        <v>122.6</v>
      </c>
      <c r="AX488" s="74" t="n">
        <v>102.3</v>
      </c>
      <c r="AY488" s="74" t="n"/>
      <c r="AZ488" s="75" t="inlineStr">
        <is>
          <t>Y</t>
        </is>
      </c>
      <c r="BA488" s="63" t="inlineStr">
        <is>
          <t>300661.SZ</t>
        </is>
      </c>
      <c r="BB488" s="73" t="n">
        <v>87.31999999999999</v>
      </c>
      <c r="BC488" s="66" t="n">
        <v>159.5961</v>
      </c>
      <c r="BD488" s="80" t="n">
        <v>0.3953</v>
      </c>
      <c r="BE488" s="78">
        <f>IF('BBG Verify'!Q488="","run on terminal",'BBG Verify'!Q488)</f>
        <v/>
      </c>
      <c r="BF488" s="78">
        <f>IF('BBG Verify'!R488="","run on terminal",'BBG Verify'!R488)</f>
        <v/>
      </c>
      <c r="BG488" s="75" t="inlineStr">
        <is>
          <t>Huatai Financial Holdings (Hong Kong) Limited</t>
        </is>
      </c>
      <c r="BH488" s="63" t="inlineStr">
        <is>
          <t>China International Capital Corporation Hong Kong Securities Limited; Huatai Financial Holdings (Hong Kong) Limited</t>
        </is>
      </c>
      <c r="BI488" s="63" t="inlineStr">
        <is>
          <t>China International Capital Corporation Hong Kong Securities Limited; Huatai Financial Holdings (Hong Kong) Limited</t>
        </is>
      </c>
      <c r="BJ488" s="63" t="inlineStr">
        <is>
          <t>China International Capital Corporation Hong Kong Securities Limited; Huatai Financial Holdings (Hong Kong) Limited</t>
        </is>
      </c>
      <c r="BK488" s="77">
        <f>HYPERLINK("https://www1.hkexnews.hk/listedco/listconews/sehk/2026/0617/2026061700162.htm","prospectus")</f>
        <v/>
      </c>
      <c r="BL488" s="77">
        <f>HYPERLINK("https://www1.hkexnews.hk/listedco/listconews/sehk/2026/0625/2026062502076.pdf","allotment")</f>
        <v/>
      </c>
      <c r="BM488" s="77">
        <f>HYPERLINK("https://www1.hkexnews.hk/listedco/listconews/sehk/2026/0723/2026072301288.pdf","stabilisation")</f>
        <v/>
      </c>
      <c r="BN488" s="75" t="n"/>
      <c r="BO488" s="63"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38.59</v>
      </c>
      <c r="V489" s="67" t="n">
        <v>6.14</v>
      </c>
      <c r="W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3" t="inlineStr">
        <is>
          <t>3w;da;deliante;everbright;gf;granite;greenwoods;hongxing;honor;jain;kaide;morgan;qube;seven;sunny;taikang;ti;value;verition</t>
        </is>
      </c>
      <c r="Y489" s="67" t="n">
        <v>15</v>
      </c>
      <c r="Z489" s="63" t="n"/>
      <c r="AA489" s="72" t="n">
        <v>-4.62</v>
      </c>
      <c r="AB489" s="73" t="n">
        <v>6.09</v>
      </c>
      <c r="AC489" s="73" t="n">
        <v>-10.1</v>
      </c>
      <c r="AD489" s="73" t="n">
        <v>-5.11</v>
      </c>
      <c r="AE489" s="73" t="n">
        <v>-37.23</v>
      </c>
      <c r="AF489" s="73" t="n"/>
      <c r="AG489" s="73" t="n">
        <v>-0.51</v>
      </c>
      <c r="AH489" s="73" t="n">
        <v>-34.19</v>
      </c>
      <c r="AI489" s="73" t="n"/>
      <c r="AJ489" s="73" t="n">
        <v>-8.02</v>
      </c>
      <c r="AK489" s="73" t="n">
        <v>-44.48</v>
      </c>
      <c r="AL489" s="73" t="n"/>
      <c r="AM489" s="73" t="n">
        <v>-45.28</v>
      </c>
      <c r="AN489" s="73" t="n">
        <v>7.25</v>
      </c>
      <c r="AO489" s="73" t="n">
        <v>11.09</v>
      </c>
      <c r="AP489" s="63" t="inlineStr">
        <is>
          <t>HSTECH (Hang Seng TECH ETF)</t>
        </is>
      </c>
      <c r="AQ489" s="73" t="n">
        <v>-39.39</v>
      </c>
      <c r="AR489" s="64" t="inlineStr">
        <is>
          <t>2026-08-20</t>
        </is>
      </c>
      <c r="AS489" s="65" t="n">
        <v>56571.8</v>
      </c>
      <c r="AT489" s="68" t="n">
        <v>2559.5</v>
      </c>
      <c r="AU489" s="63" t="inlineStr">
        <is>
          <t>Y</t>
        </is>
      </c>
      <c r="AV489" s="74" t="n">
        <v>32.3</v>
      </c>
      <c r="AW489" s="74" t="n">
        <v>28.8</v>
      </c>
      <c r="AX489" s="74" t="n">
        <v>19.6</v>
      </c>
      <c r="AY489" s="74" t="n">
        <v>1.5</v>
      </c>
      <c r="AZ489" s="75" t="inlineStr">
        <is>
          <t>Y</t>
        </is>
      </c>
      <c r="BA489" s="63" t="inlineStr">
        <is>
          <t>002600.SZ</t>
        </is>
      </c>
      <c r="BB489" s="73" t="n">
        <v>102.71</v>
      </c>
      <c r="BC489" s="66" t="n">
        <v>20.6362</v>
      </c>
      <c r="BD489" s="80" t="n">
        <v>1.28</v>
      </c>
      <c r="BE489" s="78">
        <f>IF('BBG Verify'!Q489="","run on terminal",'BBG Verify'!Q489)</f>
        <v/>
      </c>
      <c r="BF489" s="78">
        <f>IF('BBG Verify'!R489="","run on terminal",'BBG Verify'!R489)</f>
        <v/>
      </c>
      <c r="BG489" s="75" t="inlineStr">
        <is>
          <t>Guotai Junan Capital Limited</t>
        </is>
      </c>
      <c r="BH489" s="63" t="inlineStr">
        <is>
          <t>Guotai Junan Capital Limited</t>
        </is>
      </c>
      <c r="BI489" s="63" t="inlineStr">
        <is>
          <t>Guotai Junan Securities (Hong Kong) Limited; CLSA Limited; J.P. Morgan Securities (Asia Pacific) Limited; Citigroup Global Markets Asia Limited; Futu Securities International (Hong Kong) Limited; Tiger Brokers (HK) Global Limited</t>
        </is>
      </c>
      <c r="BJ489" s="63" t="inlineStr">
        <is>
          <t>Citigroup Global Markets Asia Limited; CLSA Limited; Futu Securities International (Hong Kong) Limited; Guotai Junan Securities (Hong Kong) Limited; J.P. Morgan Securities (Asia Pacific) Limited; Tiger Brokers (HK) Global Limited</t>
        </is>
      </c>
      <c r="BK489" s="77">
        <f>HYPERLINK("https://www1.hkexnews.hk/listedco/listconews/sehk/2026/0617/2026061700029.pdf","prospectus")</f>
        <v/>
      </c>
      <c r="BL489" s="77">
        <f>HYPERLINK("https://www1.hkexnews.hk/listedco/listconews/sehk/2026/0625/2026062502292.pdf","allotment")</f>
        <v/>
      </c>
      <c r="BM489" s="63" t="n"/>
      <c r="BN489" s="75" t="n"/>
      <c r="BO489" s="63"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7" t="n">
        <v>5.19</v>
      </c>
      <c r="W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3" t="inlineStr">
        <is>
          <t>bosera;universal;china-international;cpe;gf;hefei;hhlr;yonglian;xinyao;huadeng;jpmorgan;lion;montage;monterey;nexchip;ocean;sungrow;victory</t>
        </is>
      </c>
      <c r="Y490" s="67" t="n">
        <v>8.880000000000001</v>
      </c>
      <c r="Z490" s="63" t="inlineStr">
        <is>
          <t>full</t>
        </is>
      </c>
      <c r="AA490" s="72" t="n">
        <v>103.77</v>
      </c>
      <c r="AB490" s="73" t="n">
        <v>73.7</v>
      </c>
      <c r="AC490" s="73" t="n">
        <v>17.31</v>
      </c>
      <c r="AD490" s="73" t="n">
        <v>55.11</v>
      </c>
      <c r="AE490" s="73" t="n">
        <v>30.26</v>
      </c>
      <c r="AF490" s="73" t="n"/>
      <c r="AG490" s="73" t="n">
        <v>-23.88</v>
      </c>
      <c r="AH490" s="73" t="n">
        <v>-36.07</v>
      </c>
      <c r="AI490" s="73" t="n"/>
      <c r="AJ490" s="73" t="n">
        <v>52.2</v>
      </c>
      <c r="AK490" s="73" t="n">
        <v>23.01</v>
      </c>
      <c r="AL490" s="73" t="n"/>
      <c r="AM490" s="73" t="n">
        <v>-47.16</v>
      </c>
      <c r="AN490" s="73" t="n">
        <v>7.25</v>
      </c>
      <c r="AO490" s="73" t="n">
        <v>11.09</v>
      </c>
      <c r="AP490" s="63" t="inlineStr">
        <is>
          <t>HSTECH (Hang Seng TECH ETF)</t>
        </is>
      </c>
      <c r="AQ490" s="73" t="n">
        <v>31.52</v>
      </c>
      <c r="AR490" s="64" t="inlineStr">
        <is>
          <t>2026-08-24</t>
        </is>
      </c>
      <c r="AS490" s="65" t="n">
        <v>1548.9</v>
      </c>
      <c r="AT490" s="68" t="n">
        <v>318.9</v>
      </c>
      <c r="AU490" s="63" t="inlineStr">
        <is>
          <t>Y</t>
        </is>
      </c>
      <c r="AV490" s="74" t="n">
        <v>100.9</v>
      </c>
      <c r="AW490" s="74" t="n">
        <v>202.5</v>
      </c>
      <c r="AX490" s="74" t="n">
        <v>147.3</v>
      </c>
      <c r="AY490" s="74" t="n">
        <v>20.8</v>
      </c>
      <c r="AZ490" s="75" t="inlineStr">
        <is>
          <t>Y</t>
        </is>
      </c>
      <c r="BA490" s="63" t="inlineStr">
        <is>
          <t>688630.SS</t>
        </is>
      </c>
      <c r="BB490" s="73" t="n">
        <v>153.68</v>
      </c>
      <c r="BC490" s="66" t="n">
        <v>641.1315</v>
      </c>
      <c r="BD490" s="80" t="n">
        <v>0.4954</v>
      </c>
      <c r="BE490" s="78">
        <f>IF('BBG Verify'!Q490="","run on terminal",'BBG Verify'!Q490)</f>
        <v/>
      </c>
      <c r="BF490" s="78">
        <f>IF('BBG Verify'!R490="","run on terminal",'BBG Verify'!R490)</f>
        <v/>
      </c>
      <c r="BG490" s="75" t="n"/>
      <c r="BH490" s="63" t="inlineStr">
        <is>
          <t>China International Capital Corporation Hong Kong Securities Limited</t>
        </is>
      </c>
      <c r="BI490" s="63" t="inlineStr">
        <is>
          <t>BOCI Asia Limited</t>
        </is>
      </c>
      <c r="BJ490" s="63" t="inlineStr">
        <is>
          <t>BOCI Asia Limited; China International Capital Corporation Hong Kong Securities Limited; CMB International Capital Limited; Futu Securities International (Hong Kong) Limited; Guoyuan Securities Brokerage (Hong Kong) Limited</t>
        </is>
      </c>
      <c r="BK490" s="77">
        <f>HYPERLINK("https://www1.hkexnews.hk/listedco/listconews/sehk/2026/0617/2026061700039.pdf","prospectus")</f>
        <v/>
      </c>
      <c r="BL490" s="77">
        <f>HYPERLINK("https://www1.hkexnews.hk/listedco/listconews/sehk/2026/0625/2026062502296.pdf","allotment")</f>
        <v/>
      </c>
      <c r="BM490" s="77">
        <f>HYPERLINK("https://www1.hkexnews.hk/listedco/listconews/sehk/2026/0723/2026072300312.pdf","stabilisation")</f>
        <v/>
      </c>
      <c r="BN490" s="75" t="n"/>
      <c r="BO490" s="63"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7" t="n">
        <v>3.51</v>
      </c>
      <c r="W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3" t="inlineStr">
        <is>
          <t>cngr;dymon;gf;glencore;intera;mercuria;orix;ping;trafigura;wanguo;wind</t>
        </is>
      </c>
      <c r="Y491" s="67" t="n">
        <v>15</v>
      </c>
      <c r="Z491" s="63" t="inlineStr">
        <is>
          <t>partial</t>
        </is>
      </c>
      <c r="AA491" s="72" t="n">
        <v>-6.54</v>
      </c>
      <c r="AB491" s="73" t="n">
        <v>0</v>
      </c>
      <c r="AC491" s="73" t="n">
        <v>-6.54</v>
      </c>
      <c r="AD491" s="73" t="n">
        <v>-2.26</v>
      </c>
      <c r="AE491" s="73" t="n">
        <v>-0.38</v>
      </c>
      <c r="AF491" s="73" t="n"/>
      <c r="AG491" s="73" t="n">
        <v>4.58</v>
      </c>
      <c r="AH491" s="73" t="n">
        <v>6.59</v>
      </c>
      <c r="AI491" s="73" t="n"/>
      <c r="AJ491" s="73" t="n">
        <v>-6.28</v>
      </c>
      <c r="AK491" s="73" t="n">
        <v>-10.75</v>
      </c>
      <c r="AL491" s="73" t="n"/>
      <c r="AM491" s="73" t="n">
        <v>-6.32</v>
      </c>
      <c r="AN491" s="73" t="n">
        <v>10.37</v>
      </c>
      <c r="AO491" s="73" t="n">
        <v>12.91</v>
      </c>
      <c r="AP491" s="63" t="inlineStr">
        <is>
          <t>Hang Seng Commerce &amp; Industry sub-index</t>
        </is>
      </c>
      <c r="AQ491" s="73" t="n">
        <v>34.44</v>
      </c>
      <c r="AR491" s="64" t="inlineStr">
        <is>
          <t>2026-08-20</t>
        </is>
      </c>
      <c r="AS491" s="65" t="n">
        <v>1</v>
      </c>
      <c r="AT491" s="68" t="n">
        <v>-214.4</v>
      </c>
      <c r="AU491" s="63" t="inlineStr">
        <is>
          <t>N</t>
        </is>
      </c>
      <c r="AV491" s="63" t="inlineStr">
        <is>
          <t>n/m</t>
        </is>
      </c>
      <c r="AW491" s="74" t="n"/>
      <c r="AX491" s="74" t="n"/>
      <c r="AY491" s="74" t="n">
        <v>34074</v>
      </c>
      <c r="AZ491" s="75" t="inlineStr">
        <is>
          <t>N</t>
        </is>
      </c>
      <c r="BA491" s="76">
        <f>IF('BBG Verify'!K491="","not filed — run on terminal",'BBG Verify'!K491)</f>
        <v/>
      </c>
      <c r="BB491" s="63" t="inlineStr">
        <is>
          <t>N/A</t>
        </is>
      </c>
      <c r="BC491" s="63" t="inlineStr">
        <is>
          <t>N/A</t>
        </is>
      </c>
      <c r="BD491" s="63" t="inlineStr">
        <is>
          <t>N/A</t>
        </is>
      </c>
      <c r="BE491" s="63" t="inlineStr">
        <is>
          <t>N/A</t>
        </is>
      </c>
      <c r="BF491" s="63" t="inlineStr">
        <is>
          <t>N/A</t>
        </is>
      </c>
      <c r="BG491" s="75" t="inlineStr">
        <is>
          <t>UBS Securities Hong Kong Limited; CITIC Securities (Hong Kong) Limited</t>
        </is>
      </c>
      <c r="BH491" s="63" t="inlineStr">
        <is>
          <t>UBS Securities Hong Kong Limited; CITIC Securities (Hong Kong) Limited</t>
        </is>
      </c>
      <c r="BI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7">
        <f>HYPERLINK("https://www1.hkexnews.hk/listedco/listconews/sehk/2026/0617/2026061700075.pdf","prospectus")</f>
        <v/>
      </c>
      <c r="BL491" s="77">
        <f>HYPERLINK("https://www1.hkexnews.hk/listedco/listconews/sehk/2026/0625/2026062502338.pdf","allotment")</f>
        <v/>
      </c>
      <c r="BM491" s="77">
        <f>HYPERLINK("https://www1.hkexnews.hk/listedco/listconews/sehk/2026/0723/2026072301404.pdf","stabilisation")</f>
        <v/>
      </c>
      <c r="BN491" s="75" t="n"/>
      <c r="BO491" s="63"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7" t="n">
        <v>10</v>
      </c>
      <c r="W492" s="63" t="inlineStr">
        <is>
          <t>GLY New Mobility 2. LP; Mr. Ke Jiaqi</t>
        </is>
      </c>
      <c r="X492" s="63" t="inlineStr">
        <is>
          <t>gly;mr-ke</t>
        </is>
      </c>
      <c r="Y492" s="67" t="n">
        <v>11.8</v>
      </c>
      <c r="Z492" s="63" t="n"/>
      <c r="AA492" s="72" t="n">
        <v>367.95</v>
      </c>
      <c r="AB492" s="73" t="n">
        <v>291.67</v>
      </c>
      <c r="AC492" s="73" t="n">
        <v>19.48</v>
      </c>
      <c r="AD492" s="73" t="n">
        <v>295.19</v>
      </c>
      <c r="AE492" s="73" t="n">
        <v>280.77</v>
      </c>
      <c r="AF492" s="73" t="n"/>
      <c r="AG492" s="73" t="n">
        <v>-15.55</v>
      </c>
      <c r="AH492" s="73" t="n">
        <v>-18.63</v>
      </c>
      <c r="AI492" s="73" t="n"/>
      <c r="AJ492" s="73" t="n">
        <v>294.57</v>
      </c>
      <c r="AK492" s="73" t="n">
        <v>269.3</v>
      </c>
      <c r="AL492" s="73" t="n"/>
      <c r="AM492" s="73" t="n">
        <v>-29.49</v>
      </c>
      <c r="AN492" s="73" t="n">
        <v>11.47</v>
      </c>
      <c r="AO492" s="73" t="n">
        <v>10.86</v>
      </c>
      <c r="AP492" s="63" t="inlineStr">
        <is>
          <t>Hang Seng Finance sub-index</t>
        </is>
      </c>
      <c r="AQ492" s="73" t="n">
        <v>306.73</v>
      </c>
      <c r="AR492" s="64" t="inlineStr">
        <is>
          <t>2026-08-21</t>
        </is>
      </c>
      <c r="AS492" s="65" t="n">
        <v>1349.8</v>
      </c>
      <c r="AT492" s="68" t="n">
        <v>-51.3</v>
      </c>
      <c r="AU492" s="63" t="inlineStr">
        <is>
          <t>N</t>
        </is>
      </c>
      <c r="AV492" s="63" t="inlineStr">
        <is>
          <t>n/m</t>
        </is>
      </c>
      <c r="AW492" s="74" t="n"/>
      <c r="AX492" s="74" t="n"/>
      <c r="AY492" s="74" t="n">
        <v>3.7</v>
      </c>
      <c r="AZ492" s="75" t="inlineStr">
        <is>
          <t>N</t>
        </is>
      </c>
      <c r="BA492" s="76">
        <f>IF('BBG Verify'!K492="","not filed — run on terminal",'BBG Verify'!K492)</f>
        <v/>
      </c>
      <c r="BB492" s="63" t="inlineStr">
        <is>
          <t>N/A</t>
        </is>
      </c>
      <c r="BC492" s="63" t="inlineStr">
        <is>
          <t>N/A</t>
        </is>
      </c>
      <c r="BD492" s="63" t="inlineStr">
        <is>
          <t>N/A</t>
        </is>
      </c>
      <c r="BE492" s="63" t="inlineStr">
        <is>
          <t>N/A</t>
        </is>
      </c>
      <c r="BF492" s="63" t="inlineStr">
        <is>
          <t>N/A</t>
        </is>
      </c>
      <c r="BG492" s="75" t="inlineStr">
        <is>
          <t>CMBC International Capital Limited; BOCI Asia Limited</t>
        </is>
      </c>
      <c r="BH492" s="63" t="inlineStr">
        <is>
          <t>BOCI Asia Limited; CMBC International Capital Limited</t>
        </is>
      </c>
      <c r="BI492" s="63" t="inlineStr">
        <is>
          <t>ICBC International Securities Limited</t>
        </is>
      </c>
      <c r="BJ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7">
        <f>HYPERLINK("https://www1.hkexnews.hk/listedco/listconews/sehk/2026/0618/2026061800045.pdf","prospectus")</f>
        <v/>
      </c>
      <c r="BL492" s="77">
        <f>HYPERLINK("https://www1.hkexnews.hk/listedco/listconews/sehk/2026/0626/2026062602363.pdf","allotment")</f>
        <v/>
      </c>
      <c r="BM492" s="63" t="n"/>
      <c r="BN492" s="75" t="n"/>
      <c r="BO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4000</v>
      </c>
      <c r="R493" s="63" t="inlineStr">
        <is>
          <t>prospectus:stated market capitalisation</t>
        </is>
      </c>
      <c r="S493" s="69" t="n">
        <v>1296.89</v>
      </c>
      <c r="T493" s="70" t="n">
        <v>15.51</v>
      </c>
      <c r="U493" s="71" t="n">
        <v>49.85</v>
      </c>
      <c r="V493" s="67" t="n">
        <v>19.2</v>
      </c>
      <c r="W493" s="63" t="inlineStr">
        <is>
          <t>E Fund Management Co., Ltd; JSC International Investment Fund SPC; Kingsoft Cloud Network Corporation Limited; Perseverance Asset Management International (Singapore) Pte. Ltd; UBS Asset Management (Singapore) Ltd; Winwin Technology Investment Co., Limited</t>
        </is>
      </c>
      <c r="X493" s="63" t="inlineStr">
        <is>
          <t>fund-management;jsc;kingsoft;perseverance;ubs;winwin</t>
        </is>
      </c>
      <c r="Y493" s="67" t="n">
        <v>15</v>
      </c>
      <c r="Z493" s="63" t="n"/>
      <c r="AA493" s="72" t="n">
        <v>44.74</v>
      </c>
      <c r="AB493" s="73" t="n">
        <v>75.34999999999999</v>
      </c>
      <c r="AC493" s="73" t="n">
        <v>-17.46</v>
      </c>
      <c r="AD493" s="73" t="n">
        <v>60.53</v>
      </c>
      <c r="AE493" s="73" t="n">
        <v>-41.67</v>
      </c>
      <c r="AF493" s="73" t="n"/>
      <c r="AG493" s="73" t="n">
        <v>10.91</v>
      </c>
      <c r="AH493" s="73" t="n">
        <v>-59.7</v>
      </c>
      <c r="AI493" s="73" t="n"/>
      <c r="AJ493" s="73" t="n">
        <v>54.84</v>
      </c>
      <c r="AK493" s="73" t="n">
        <v>-55.74</v>
      </c>
      <c r="AL493" s="73" t="n"/>
      <c r="AM493" s="73" t="n">
        <v>-70.38</v>
      </c>
      <c r="AN493" s="73" t="n">
        <v>14.07</v>
      </c>
      <c r="AO493" s="73" t="n">
        <v>10.68</v>
      </c>
      <c r="AP493" s="63" t="inlineStr">
        <is>
          <t>HSTECH (Hang Seng TECH ETF)</t>
        </is>
      </c>
      <c r="AQ493" s="73" t="n">
        <v>-8.859999999999999</v>
      </c>
      <c r="AR493" s="64" t="inlineStr">
        <is>
          <t>2026-08-21</t>
        </is>
      </c>
      <c r="AS493" s="65" t="n">
        <v>1343.2</v>
      </c>
      <c r="AT493" s="68" t="n">
        <v>-110.2</v>
      </c>
      <c r="AU493" s="63" t="inlineStr">
        <is>
          <t>N</t>
        </is>
      </c>
      <c r="AV493" s="63" t="inlineStr">
        <is>
          <t>n/m</t>
        </is>
      </c>
      <c r="AW493" s="74" t="n"/>
      <c r="AX493" s="74" t="n"/>
      <c r="AY493" s="74" t="n">
        <v>3</v>
      </c>
      <c r="AZ493" s="75" t="inlineStr">
        <is>
          <t>N</t>
        </is>
      </c>
      <c r="BA493" s="76">
        <f>IF('BBG Verify'!K493="","not filed — run on terminal",'BBG Verify'!K493)</f>
        <v/>
      </c>
      <c r="BB493" s="63" t="inlineStr">
        <is>
          <t>N/A</t>
        </is>
      </c>
      <c r="BC493" s="63" t="inlineStr">
        <is>
          <t>N/A</t>
        </is>
      </c>
      <c r="BD493" s="63" t="inlineStr">
        <is>
          <t>N/A</t>
        </is>
      </c>
      <c r="BE493" s="63" t="inlineStr">
        <is>
          <t>N/A</t>
        </is>
      </c>
      <c r="BF493" s="63" t="inlineStr">
        <is>
          <t>N/A</t>
        </is>
      </c>
      <c r="BG493" s="75"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3" t="inlineStr">
        <is>
          <t>Huatai Financial Holdings (Hong Kong) Limited</t>
        </is>
      </c>
      <c r="BI493" s="63" t="inlineStr">
        <is>
          <t>Huatai Financial Holdings (Hong Kong) Limited</t>
        </is>
      </c>
      <c r="BJ493" s="63" t="inlineStr">
        <is>
          <t>Huatai Financial Holdings (Hong Kong) Limited</t>
        </is>
      </c>
      <c r="BK493" s="77">
        <f>HYPERLINK("https://www1.hkexnews.hk/listedco/listconews/sehk/2026/0618/2026061800079.pdf","prospectus")</f>
        <v/>
      </c>
      <c r="BL493" s="77">
        <f>HYPERLINK("https://www1.hkexnews.hk/listedco/listconews/sehk/2026/0626/2026062602599.pdf","allotment")</f>
        <v/>
      </c>
      <c r="BM493" s="63" t="n"/>
      <c r="BN493" s="75" t="n"/>
      <c r="BO493"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7" t="n">
        <v>9.390000000000001</v>
      </c>
      <c r="W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3" t="inlineStr">
        <is>
          <t>universal;cormorant;dymon;fund-management;gf;gic;golden-valley;huang-river;loomis;loyal;perfect;rtw;symbiosis</t>
        </is>
      </c>
      <c r="Y494" s="67" t="n">
        <v>7.9</v>
      </c>
      <c r="Z494" s="63" t="inlineStr">
        <is>
          <t>full</t>
        </is>
      </c>
      <c r="AA494" s="72" t="n">
        <v>103.54</v>
      </c>
      <c r="AB494" s="73" t="n">
        <v>85.84</v>
      </c>
      <c r="AC494" s="73" t="n">
        <v>9.52</v>
      </c>
      <c r="AD494" s="73" t="n">
        <v>29.12</v>
      </c>
      <c r="AE494" s="73" t="n">
        <v>19.47</v>
      </c>
      <c r="AF494" s="73" t="n"/>
      <c r="AG494" s="73" t="n">
        <v>-36.56</v>
      </c>
      <c r="AH494" s="73" t="n">
        <v>-41.3</v>
      </c>
      <c r="AI494" s="73" t="n"/>
      <c r="AJ494" s="73" t="n">
        <v>16.76</v>
      </c>
      <c r="AK494" s="73" t="n">
        <v>2.47</v>
      </c>
      <c r="AL494" s="73" t="n"/>
      <c r="AM494" s="73" t="n">
        <v>-49.96</v>
      </c>
      <c r="AN494" s="73" t="n">
        <v>17</v>
      </c>
      <c r="AO494" s="73" t="n">
        <v>8.66</v>
      </c>
      <c r="AP494" s="63" t="inlineStr">
        <is>
          <t>China Biotech ETF (HS biotech proxy)</t>
        </is>
      </c>
      <c r="AQ494" s="73" t="n">
        <v>46.55</v>
      </c>
      <c r="AR494" s="64" t="inlineStr">
        <is>
          <t>2026-08-21</t>
        </is>
      </c>
      <c r="AS494" s="65" t="n">
        <v>33.6</v>
      </c>
      <c r="AT494" s="68" t="n">
        <v>-827</v>
      </c>
      <c r="AU494" s="63" t="inlineStr">
        <is>
          <t>N</t>
        </is>
      </c>
      <c r="AV494" s="63" t="inlineStr">
        <is>
          <t>n/m</t>
        </is>
      </c>
      <c r="AW494" s="74" t="n"/>
      <c r="AX494" s="74" t="n"/>
      <c r="AY494" s="74" t="n">
        <v>204.1</v>
      </c>
      <c r="AZ494" s="75" t="inlineStr">
        <is>
          <t>N</t>
        </is>
      </c>
      <c r="BA494" s="76">
        <f>IF('BBG Verify'!K494="","not filed — run on terminal",'BBG Verify'!K494)</f>
        <v/>
      </c>
      <c r="BB494" s="63" t="inlineStr">
        <is>
          <t>N/A</t>
        </is>
      </c>
      <c r="BC494" s="63" t="inlineStr">
        <is>
          <t>N/A</t>
        </is>
      </c>
      <c r="BD494" s="63" t="inlineStr">
        <is>
          <t>N/A</t>
        </is>
      </c>
      <c r="BE494" s="63" t="inlineStr">
        <is>
          <t>N/A</t>
        </is>
      </c>
      <c r="BF494" s="63" t="inlineStr">
        <is>
          <t>N/A</t>
        </is>
      </c>
      <c r="BG494" s="75" t="n"/>
      <c r="BH494" s="63" t="inlineStr">
        <is>
          <t>Jefferies Hong Kong Limited; Merrill Lynch (Asia Pacific) Limited; Huatai Financial Holdings (Hong Kong) Limited</t>
        </is>
      </c>
      <c r="BI494" s="63" t="inlineStr">
        <is>
          <t>BOCI Asia Limited</t>
        </is>
      </c>
      <c r="BJ494" s="63" t="inlineStr">
        <is>
          <t>BOCI Asia Limited; CLSA Limited; Huatai Financial Holdings (Hong Kong) Limited; Jefferies Hong Kong Limited; Merrill Lynch (Asia Pacific) Limited</t>
        </is>
      </c>
      <c r="BK494" s="77">
        <f>HYPERLINK("https://www1.hkexnews.hk/listedco/listconews/sehk/2026/0618/2026061800025.pdf","prospectus")</f>
        <v/>
      </c>
      <c r="BL494" s="77">
        <f>HYPERLINK("https://www1.hkexnews.hk/listedco/listconews/sehk/2026/0626/2026062603033.pdf","allotment")</f>
        <v/>
      </c>
      <c r="BM494" s="77">
        <f>HYPERLINK("https://www1.hkexnews.hk/listedco/listconews/sehk/2026/0724/2026072400262.pdf","stabilisation")</f>
        <v/>
      </c>
      <c r="BN494" s="75" t="n"/>
      <c r="BO49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7" t="n">
        <v>10</v>
      </c>
      <c r="W495" s="63" t="n"/>
      <c r="X495" s="63" t="n"/>
      <c r="Y495" s="67" t="n">
        <v>14.5</v>
      </c>
      <c r="Z495" s="63" t="n"/>
      <c r="AA495" s="72" t="n">
        <v>216.96</v>
      </c>
      <c r="AB495" s="73" t="n">
        <v>159.27</v>
      </c>
      <c r="AC495" s="73" t="n">
        <v>22.25</v>
      </c>
      <c r="AD495" s="73" t="n">
        <v>202.22</v>
      </c>
      <c r="AE495" s="73" t="n">
        <v>325.91</v>
      </c>
      <c r="AF495" s="73" t="n"/>
      <c r="AG495" s="73" t="n">
        <v>-4.65</v>
      </c>
      <c r="AH495" s="73" t="n">
        <v>34.37</v>
      </c>
      <c r="AI495" s="73" t="n"/>
      <c r="AJ495" s="73" t="n">
        <v>199.84</v>
      </c>
      <c r="AK495" s="73" t="n">
        <v>319.19</v>
      </c>
      <c r="AL495" s="73" t="n"/>
      <c r="AM495" s="73" t="n">
        <v>26.64</v>
      </c>
      <c r="AN495" s="73" t="n">
        <v>6.72</v>
      </c>
      <c r="AO495" s="73" t="n">
        <v>7.73</v>
      </c>
      <c r="AP495" s="63" t="inlineStr">
        <is>
          <t>China Biotech ETF (HS biotech proxy)</t>
        </is>
      </c>
      <c r="AQ495" s="73" t="n">
        <v>403.17</v>
      </c>
      <c r="AR495" s="64" t="inlineStr">
        <is>
          <t>2026-08-20</t>
        </is>
      </c>
      <c r="AS495" s="65" t="n">
        <v>13.4</v>
      </c>
      <c r="AT495" s="68" t="n">
        <v>-99.09999999999999</v>
      </c>
      <c r="AU495" s="63" t="inlineStr">
        <is>
          <t>N</t>
        </is>
      </c>
      <c r="AV495" s="63" t="inlineStr">
        <is>
          <t>n/m</t>
        </is>
      </c>
      <c r="AW495" s="74" t="n"/>
      <c r="AX495" s="74" t="n"/>
      <c r="AY495" s="74" t="n">
        <v>335.7</v>
      </c>
      <c r="AZ495" s="75" t="inlineStr">
        <is>
          <t>N</t>
        </is>
      </c>
      <c r="BA495" s="76">
        <f>IF('BBG Verify'!K495="","not filed — run on terminal",'BBG Verify'!K495)</f>
        <v/>
      </c>
      <c r="BB495" s="63" t="inlineStr">
        <is>
          <t>N/A</t>
        </is>
      </c>
      <c r="BC495" s="63" t="inlineStr">
        <is>
          <t>N/A</t>
        </is>
      </c>
      <c r="BD495" s="63" t="inlineStr">
        <is>
          <t>N/A</t>
        </is>
      </c>
      <c r="BE495" s="63" t="inlineStr">
        <is>
          <t>N/A</t>
        </is>
      </c>
      <c r="BF495" s="63" t="inlineStr">
        <is>
          <t>N/A</t>
        </is>
      </c>
      <c r="BG495" s="75" t="inlineStr">
        <is>
          <t>China International Capital Corporation Hong Kong Securities Limited; DBS Asia Capital Limited</t>
        </is>
      </c>
      <c r="BH495" s="63" t="inlineStr">
        <is>
          <t>China International Capital Corporation Hong Kong Securities Limited; DBS Asia Capital Limited</t>
        </is>
      </c>
      <c r="BI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7">
        <f>HYPERLINK("https://www1.hkexnews.hk/listedco/listconews/sehk/2026/0622/2026062200041.pdf","prospectus")</f>
        <v/>
      </c>
      <c r="BL495" s="77">
        <f>HYPERLINK("https://www1.hkexnews.hk/listedco/listconews/sehk/2026/0629/2026062901959.pdf","allotment")</f>
        <v/>
      </c>
      <c r="BM495" s="63" t="n"/>
      <c r="BN495" s="75" t="n"/>
      <c r="BO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7" t="n">
        <v>10.21</v>
      </c>
      <c r="W496" s="63" t="inlineStr">
        <is>
          <t>Wealth Strategy Holding Limited</t>
        </is>
      </c>
      <c r="X496" s="63" t="inlineStr">
        <is>
          <t>wealth</t>
        </is>
      </c>
      <c r="Y496" s="67" t="n">
        <v>15</v>
      </c>
      <c r="Z496" s="63" t="inlineStr">
        <is>
          <t>lapsed</t>
        </is>
      </c>
      <c r="AA496" s="72" t="n">
        <v>-12.68</v>
      </c>
      <c r="AB496" s="73" t="n">
        <v>-33.93</v>
      </c>
      <c r="AC496" s="73" t="n">
        <v>32.16</v>
      </c>
      <c r="AD496" s="73" t="n">
        <v>-62.41</v>
      </c>
      <c r="AE496" s="73" t="n">
        <v>24.82</v>
      </c>
      <c r="AF496" s="73" t="n"/>
      <c r="AG496" s="73" t="n">
        <v>-56.95</v>
      </c>
      <c r="AH496" s="73" t="n">
        <v>42.95</v>
      </c>
      <c r="AI496" s="73" t="n"/>
      <c r="AJ496" s="73" t="n">
        <v>-64.79000000000001</v>
      </c>
      <c r="AK496" s="73" t="n">
        <v>18.1</v>
      </c>
      <c r="AL496" s="73" t="n"/>
      <c r="AM496" s="73" t="n">
        <v>35.22</v>
      </c>
      <c r="AN496" s="73" t="n">
        <v>6.72</v>
      </c>
      <c r="AO496" s="73" t="n">
        <v>7.73</v>
      </c>
      <c r="AP496" s="63" t="inlineStr">
        <is>
          <t>China Biotech ETF (HS biotech proxy)</t>
        </is>
      </c>
      <c r="AQ496" s="73" t="n">
        <v>36.43</v>
      </c>
      <c r="AR496" s="64" t="inlineStr">
        <is>
          <t>2026-08-20</t>
        </is>
      </c>
      <c r="AS496" s="65" t="n">
        <v>242.8</v>
      </c>
      <c r="AT496" s="68" t="n">
        <v>104.3</v>
      </c>
      <c r="AU496" s="63" t="inlineStr">
        <is>
          <t>Y</t>
        </is>
      </c>
      <c r="AV496" s="74" t="n">
        <v>33.1</v>
      </c>
      <c r="AW496" s="74" t="n"/>
      <c r="AX496" s="74" t="n"/>
      <c r="AY496" s="74" t="n">
        <v>14.2</v>
      </c>
      <c r="AZ496" s="75" t="inlineStr">
        <is>
          <t>N</t>
        </is>
      </c>
      <c r="BA496" s="76">
        <f>IF('BBG Verify'!K496="","not filed — run on terminal",'BBG Verify'!K496)</f>
        <v/>
      </c>
      <c r="BB496" s="63" t="inlineStr">
        <is>
          <t>N/A</t>
        </is>
      </c>
      <c r="BC496" s="63" t="inlineStr">
        <is>
          <t>N/A</t>
        </is>
      </c>
      <c r="BD496" s="63" t="inlineStr">
        <is>
          <t>N/A</t>
        </is>
      </c>
      <c r="BE496" s="63" t="inlineStr">
        <is>
          <t>N/A</t>
        </is>
      </c>
      <c r="BF496" s="63" t="inlineStr">
        <is>
          <t>N/A</t>
        </is>
      </c>
      <c r="BG496" s="75" t="inlineStr">
        <is>
          <t>China Merchants Securities (HK) Co., Limited</t>
        </is>
      </c>
      <c r="BH496" s="63" t="inlineStr">
        <is>
          <t>China International Capital Corporation Hong Kong Securities Limited; China Merchants Securities (HK) Company Limited</t>
        </is>
      </c>
      <c r="BI496" s="63" t="inlineStr">
        <is>
          <t>China Merchants Securities (HK) Co., Limited; Futu Securities International (Hong Kong) Limited; CMBC Securities Company Limited; Arta Asset Management Limited</t>
        </is>
      </c>
      <c r="BJ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7">
        <f>HYPERLINK("https://www1.hkexnews.hk/listedco/listconews/sehk/2026/0622/2026062200065.pdf","prospectus")</f>
        <v/>
      </c>
      <c r="BL496" s="77">
        <f>HYPERLINK("https://www1.hkexnews.hk/listedco/listconews/sehk/2026/0629/2026062902075.pdf","allotment")</f>
        <v/>
      </c>
      <c r="BM496" s="77">
        <f>HYPERLINK("https://www1.hkexnews.hk/listedco/listconews/sehk/2026/0726/2026072600027.pdf","stabilisation")</f>
        <v/>
      </c>
      <c r="BN496" s="75" t="n"/>
      <c r="BO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7" t="n">
        <v>8.41</v>
      </c>
      <c r="W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3" t="inlineStr">
        <is>
          <t>alphahill;cdh;dreamee;eurus;factorial;harvest;lbc;oaktree;oasis</t>
        </is>
      </c>
      <c r="Y497" s="67" t="n">
        <v>8.699999999999999</v>
      </c>
      <c r="Z497" s="63" t="inlineStr">
        <is>
          <t>partial</t>
        </is>
      </c>
      <c r="AA497" s="72" t="n">
        <v>-14.62</v>
      </c>
      <c r="AB497" s="73" t="n">
        <v>3.16</v>
      </c>
      <c r="AC497" s="73" t="n">
        <v>-17.24</v>
      </c>
      <c r="AD497" s="73" t="n">
        <v>21.87</v>
      </c>
      <c r="AE497" s="73" t="n">
        <v>-42.22</v>
      </c>
      <c r="AF497" s="73" t="n"/>
      <c r="AG497" s="73" t="n">
        <v>42.74</v>
      </c>
      <c r="AH497" s="73" t="n">
        <v>-32.33</v>
      </c>
      <c r="AI497" s="73" t="n"/>
      <c r="AJ497" s="73" t="n">
        <v>14.78</v>
      </c>
      <c r="AK497" s="73" t="n">
        <v>-55.12</v>
      </c>
      <c r="AL497" s="73" t="n"/>
      <c r="AM497" s="73" t="n">
        <v>-45.4</v>
      </c>
      <c r="AN497" s="73" t="n">
        <v>12.9</v>
      </c>
      <c r="AO497" s="73" t="n">
        <v>13.07</v>
      </c>
      <c r="AP497" s="63" t="inlineStr">
        <is>
          <t>Hang Seng Commerce &amp; Industry sub-index</t>
        </is>
      </c>
      <c r="AQ497" s="73" t="n">
        <v>-28.07</v>
      </c>
      <c r="AR497" s="64" t="inlineStr">
        <is>
          <t>2026-08-20</t>
        </is>
      </c>
      <c r="AS497" s="65" t="n">
        <v>287</v>
      </c>
      <c r="AT497" s="68" t="n">
        <v>-185.7</v>
      </c>
      <c r="AU497" s="63" t="inlineStr">
        <is>
          <t>N</t>
        </is>
      </c>
      <c r="AV497" s="63" t="inlineStr">
        <is>
          <t>n/m</t>
        </is>
      </c>
      <c r="AW497" s="74" t="n"/>
      <c r="AX497" s="74" t="n"/>
      <c r="AY497" s="74" t="n">
        <v>27.2</v>
      </c>
      <c r="AZ497" s="75" t="inlineStr">
        <is>
          <t>N</t>
        </is>
      </c>
      <c r="BA497" s="76">
        <f>IF('BBG Verify'!K497="","not filed — run on terminal",'BBG Verify'!K497)</f>
        <v/>
      </c>
      <c r="BB497" s="63" t="inlineStr">
        <is>
          <t>N/A</t>
        </is>
      </c>
      <c r="BC497" s="63" t="inlineStr">
        <is>
          <t>N/A</t>
        </is>
      </c>
      <c r="BD497" s="63" t="inlineStr">
        <is>
          <t>N/A</t>
        </is>
      </c>
      <c r="BE497" s="63" t="inlineStr">
        <is>
          <t>N/A</t>
        </is>
      </c>
      <c r="BF497" s="63" t="inlineStr">
        <is>
          <t>N/A</t>
        </is>
      </c>
      <c r="BG497" s="75" t="inlineStr">
        <is>
          <t>CMB International Capital Limited</t>
        </is>
      </c>
      <c r="BH497" s="63" t="inlineStr">
        <is>
          <t>CMB International Capital Limited</t>
        </is>
      </c>
      <c r="BI497" s="63" t="inlineStr">
        <is>
          <t>CMB International Capital Limited</t>
        </is>
      </c>
      <c r="BJ497" s="63" t="inlineStr">
        <is>
          <t>CMB International Capital Limited</t>
        </is>
      </c>
      <c r="BK497" s="77">
        <f>HYPERLINK("https://www1.hkexnews.hk/listedco/listconews/sehk/2026/0622/2026062200047.pdf","prospectus")</f>
        <v/>
      </c>
      <c r="BL497" s="77">
        <f>HYPERLINK("https://www1.hkexnews.hk/listedco/listconews/sehk/2026/0629/2026062902089.pdf","allotment")</f>
        <v/>
      </c>
      <c r="BM497" s="77">
        <f>HYPERLINK("https://www1.hkexnews.hk/listedco/listconews/sehk/2026/0726/2026072600013.pdf","stabilisation")</f>
        <v/>
      </c>
      <c r="BN497" s="75" t="n"/>
      <c r="BO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7" t="n">
        <v>7.55</v>
      </c>
      <c r="W498" s="63" t="inlineStr">
        <is>
          <t>Baring Asset Management (Asia) Limited; BlackRock, Inc; ICBC Wealth Management Co., Ltd; Mirae Asset Securities (HK) Limited; Nova Kerry Inc; Taikang Life Insurance Co., Ltd</t>
        </is>
      </c>
      <c r="X498" s="63" t="inlineStr">
        <is>
          <t>baring;blackrock;icbc;mirae;nova;taikang</t>
        </is>
      </c>
      <c r="Y498" s="67" t="n">
        <v>15</v>
      </c>
      <c r="Z498" s="63" t="inlineStr">
        <is>
          <t>lapsed</t>
        </is>
      </c>
      <c r="AA498" s="72" t="n">
        <v>50.99</v>
      </c>
      <c r="AB498" s="73" t="n">
        <v>36.42</v>
      </c>
      <c r="AC498" s="73" t="n">
        <v>10.68</v>
      </c>
      <c r="AD498" s="73" t="n">
        <v>3.97</v>
      </c>
      <c r="AE498" s="73" t="n">
        <v>-22.72</v>
      </c>
      <c r="AF498" s="73" t="n"/>
      <c r="AG498" s="73" t="n">
        <v>-31.14</v>
      </c>
      <c r="AH498" s="73" t="n">
        <v>-48.82</v>
      </c>
      <c r="AI498" s="73" t="n"/>
      <c r="AJ498" s="73" t="n">
        <v>-3.12</v>
      </c>
      <c r="AK498" s="73" t="n">
        <v>-35.62</v>
      </c>
      <c r="AL498" s="73" t="n"/>
      <c r="AM498" s="73" t="n">
        <v>-61.89</v>
      </c>
      <c r="AN498" s="73" t="n">
        <v>12.9</v>
      </c>
      <c r="AO498" s="73" t="n">
        <v>13.07</v>
      </c>
      <c r="AP498" s="63" t="inlineStr">
        <is>
          <t>Hang Seng Commerce &amp; Industry sub-index</t>
        </is>
      </c>
      <c r="AQ498" s="73" t="n">
        <v>-10.86</v>
      </c>
      <c r="AR498" s="64" t="inlineStr">
        <is>
          <t>2026-08-20</t>
        </is>
      </c>
      <c r="AS498" s="65" t="n">
        <v>845.9</v>
      </c>
      <c r="AT498" s="68" t="n">
        <v>399.7</v>
      </c>
      <c r="AU498" s="63" t="inlineStr">
        <is>
          <t>Y</t>
        </is>
      </c>
      <c r="AV498" s="74" t="n">
        <v>20.6</v>
      </c>
      <c r="AW498" s="74" t="n"/>
      <c r="AX498" s="74" t="n"/>
      <c r="AY498" s="74" t="n">
        <v>9.699999999999999</v>
      </c>
      <c r="AZ498" s="75" t="inlineStr">
        <is>
          <t>N</t>
        </is>
      </c>
      <c r="BA498" s="76">
        <f>IF('BBG Verify'!K498="","not filed — run on terminal",'BBG Verify'!K498)</f>
        <v/>
      </c>
      <c r="BB498" s="63" t="inlineStr">
        <is>
          <t>N/A</t>
        </is>
      </c>
      <c r="BC498" s="63" t="inlineStr">
        <is>
          <t>N/A</t>
        </is>
      </c>
      <c r="BD498" s="63" t="inlineStr">
        <is>
          <t>N/A</t>
        </is>
      </c>
      <c r="BE498" s="63" t="inlineStr">
        <is>
          <t>N/A</t>
        </is>
      </c>
      <c r="BF498" s="63" t="inlineStr">
        <is>
          <t>N/A</t>
        </is>
      </c>
      <c r="BG498" s="75" t="inlineStr">
        <is>
          <t>CITIC Securities (Hong Kong) Limited; China Securities (Internat ional) Corporate Finance Company Limited; CLSA Limited</t>
        </is>
      </c>
      <c r="BH498" s="63" t="inlineStr">
        <is>
          <t>CITIC Securities (Hong Kong) Limited; China Securities (International) Corporate Finance Company Limited</t>
        </is>
      </c>
      <c r="BI498" s="63" t="inlineStr">
        <is>
          <t>China Industrial Securities International Capital Limited; CLSA Limited; China Securities (International) Corporate Finance Company Limited; Huafu International Securities Limited</t>
        </is>
      </c>
      <c r="BJ498" s="63" t="inlineStr">
        <is>
          <t>China Industrial Securities International Capital Limited; CLSA Limited; China Securities (International) Corporate Finance Company Limited; Huafu International Securities Limited</t>
        </is>
      </c>
      <c r="BK498" s="77">
        <f>HYPERLINK("https://www1.hkexnews.hk/listedco/listconews/sehk/2026/0622/2026062200025.pdf","prospectus")</f>
        <v/>
      </c>
      <c r="BL498" s="77">
        <f>HYPERLINK("https://www1.hkexnews.hk/listedco/listconews/sehk/2026/0629/2026062902679.pdf","allotment")</f>
        <v/>
      </c>
      <c r="BM498" s="77">
        <f>HYPERLINK("https://www1.hkexnews.hk/listedco/listconews/sehk/2026/0726/2026072600021.pdf","stabilisation")</f>
        <v/>
      </c>
      <c r="BN498" s="75" t="n"/>
      <c r="BO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385966.7</v>
      </c>
      <c r="R499" s="63" t="inlineStr">
        <is>
          <t>derived:deal size / offer % of enlarged capital</t>
        </is>
      </c>
      <c r="S499" s="69" t="n">
        <v>27.57</v>
      </c>
      <c r="T499" s="70" t="n">
        <v>10.24</v>
      </c>
      <c r="U499" s="71" t="n">
        <v>49.9</v>
      </c>
      <c r="V499" s="67" t="n">
        <v>0.6</v>
      </c>
      <c r="W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3" t="inlineStr">
        <is>
          <t>aspex;franklin;greenwoods;hacf;jane;principal;schroder;shanghai-greenwoods;taikang;ubs;value;wt</t>
        </is>
      </c>
      <c r="Y499" s="67" t="n">
        <v>15</v>
      </c>
      <c r="Z499" s="63" t="n"/>
      <c r="AA499" s="72" t="n">
        <v>15.69</v>
      </c>
      <c r="AB499" s="73" t="n">
        <v>-0.02</v>
      </c>
      <c r="AC499" s="73" t="n">
        <v>15.71</v>
      </c>
      <c r="AD499" s="73" t="n">
        <v>1.29</v>
      </c>
      <c r="AE499" s="73" t="n">
        <v>10.55</v>
      </c>
      <c r="AF499" s="73" t="n"/>
      <c r="AG499" s="73" t="n">
        <v>-12.45</v>
      </c>
      <c r="AH499" s="73" t="n">
        <v>-4.44</v>
      </c>
      <c r="AI499" s="73" t="n"/>
      <c r="AJ499" s="73" t="n">
        <v>-4.4</v>
      </c>
      <c r="AK499" s="73" t="n">
        <v>2.81</v>
      </c>
      <c r="AL499" s="73" t="n"/>
      <c r="AM499" s="73" t="n">
        <v>-12.82</v>
      </c>
      <c r="AN499" s="73" t="n">
        <v>7.74</v>
      </c>
      <c r="AO499" s="73" t="n">
        <v>8.380000000000001</v>
      </c>
      <c r="AP499" s="63" t="inlineStr">
        <is>
          <t>HSTECH (Hang Seng TECH ETF)</t>
        </is>
      </c>
      <c r="AQ499" s="73" t="n">
        <v>20.42</v>
      </c>
      <c r="AR499" s="64" t="inlineStr">
        <is>
          <t>2026-08-24</t>
        </is>
      </c>
      <c r="AS499" s="65" t="n">
        <v>33565.8</v>
      </c>
      <c r="AT499" s="68" t="n">
        <v>2878.9</v>
      </c>
      <c r="AU499" s="63" t="inlineStr">
        <is>
          <t>Y</t>
        </is>
      </c>
      <c r="AV499" s="74" t="n">
        <v>134.1</v>
      </c>
      <c r="AW499" s="74" t="n"/>
      <c r="AX499" s="74" t="n"/>
      <c r="AY499" s="74" t="n">
        <v>11.5</v>
      </c>
      <c r="AZ499" s="75" t="inlineStr">
        <is>
          <t>Y</t>
        </is>
      </c>
      <c r="BA499" s="63" t="inlineStr">
        <is>
          <t>300866.SZ</t>
        </is>
      </c>
      <c r="BB499" s="73" t="n">
        <v>25.2</v>
      </c>
      <c r="BC499" s="66" t="n">
        <v>124.3512</v>
      </c>
      <c r="BD499" s="80" t="n">
        <v>0.1257</v>
      </c>
      <c r="BE499" s="78">
        <f>IF('BBG Verify'!Q499="","run on terminal",'BBG Verify'!Q499)</f>
        <v/>
      </c>
      <c r="BF499" s="78">
        <f>IF('BBG Verify'!R499="","run on terminal",'BBG Verify'!R499)</f>
        <v/>
      </c>
      <c r="BG499" s="75" t="inlineStr">
        <is>
          <t>China International Capital Corporation Hong Kong Securities Limited; Goldman Sachs (Asia) L.L.C.; J.P. Morgan Securities (Far East) Limited</t>
        </is>
      </c>
      <c r="BH499" s="63" t="inlineStr">
        <is>
          <t>China International Capital Corporation Hong Kong Securities Limited; J.P. Morgan Securities (Far East) Limited; Goldman Sachs (Asia) L.L.C.</t>
        </is>
      </c>
      <c r="BI499" s="63" t="inlineStr">
        <is>
          <t>China International Capital Corporation Hong Kong Securities Limited; Goldman Sachs (Asia) L.L.C.; J.P. Morgan Securities (Asia Pacific) Limited</t>
        </is>
      </c>
      <c r="BJ499" s="63" t="inlineStr">
        <is>
          <t>China International Capital Corporation Hong Kong Securities Limited; Goldman Sachs (Asia) L.L.C.; J.P. Morgan Securities (Asia Pacific) Limited</t>
        </is>
      </c>
      <c r="BK499" s="77">
        <f>HYPERLINK("https://www1.hkexnews.hk/listedco/listconews/sehk/2026/0623/2026062300037.pdf","prospectus")</f>
        <v/>
      </c>
      <c r="BL499" s="77">
        <f>HYPERLINK("https://www1.hkexnews.hk/listedco/listconews/sehk/2026/0630/2026063003481.pdf","allotment")</f>
        <v/>
      </c>
      <c r="BM499" s="63" t="n"/>
      <c r="BN499" s="75" t="n"/>
      <c r="BO499" s="63"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c r="L500" s="66" t="n">
        <v>6.21</v>
      </c>
      <c r="M500" s="66" t="n">
        <v>5.5</v>
      </c>
      <c r="N500" s="63" t="inlineStr">
        <is>
          <t>N</t>
        </is>
      </c>
      <c r="O500" s="67" t="n">
        <v>88.59999999999999</v>
      </c>
      <c r="P500" s="67" t="n"/>
      <c r="Q500" s="68" t="n">
        <v>2550.2</v>
      </c>
      <c r="R500" s="63" t="inlineStr">
        <is>
          <t>prospectus:stated market capitalisation</t>
        </is>
      </c>
      <c r="S500" s="69" t="n">
        <v>251.74</v>
      </c>
      <c r="T500" s="70" t="n">
        <v>2.84</v>
      </c>
      <c r="U500" s="71" t="n">
        <v>44.08</v>
      </c>
      <c r="V500" s="67" t="n">
        <v>13.04</v>
      </c>
      <c r="W500" s="63" t="inlineStr">
        <is>
          <t>AIRPORT TECHNOLOGY CAPITAL (HONG KONG) CO., LIMITED; Aurora SF; CICC Financial Trading Limited</t>
        </is>
      </c>
      <c r="X500" s="63" t="inlineStr">
        <is>
          <t>airport;aurora;china-international</t>
        </is>
      </c>
      <c r="Y500" s="67" t="n">
        <v>15</v>
      </c>
      <c r="Z500" s="63" t="inlineStr">
        <is>
          <t>lapsed</t>
        </is>
      </c>
      <c r="AA500" s="72" t="n">
        <v>-39.09</v>
      </c>
      <c r="AB500" s="73" t="n">
        <v>-13.45</v>
      </c>
      <c r="AC500" s="73" t="n">
        <v>-29.62</v>
      </c>
      <c r="AD500" s="73" t="n">
        <v>-44.73</v>
      </c>
      <c r="AE500" s="73" t="n">
        <v>-49.09</v>
      </c>
      <c r="AF500" s="73" t="n"/>
      <c r="AG500" s="73" t="n">
        <v>-9.26</v>
      </c>
      <c r="AH500" s="73" t="n">
        <v>-16.42</v>
      </c>
      <c r="AI500" s="73" t="n"/>
      <c r="AJ500" s="73" t="n">
        <v>-43.95</v>
      </c>
      <c r="AK500" s="73" t="n">
        <v>-50.53</v>
      </c>
      <c r="AL500" s="73" t="n"/>
      <c r="AM500" s="73" t="n">
        <v>-21.75</v>
      </c>
      <c r="AN500" s="73" t="n">
        <v>1.44</v>
      </c>
      <c r="AO500" s="73" t="n">
        <v>5.33</v>
      </c>
      <c r="AP500" s="63" t="inlineStr">
        <is>
          <t>China Biotech ETF (HS biotech proxy)</t>
        </is>
      </c>
      <c r="AQ500" s="73" t="n">
        <v>-51.73</v>
      </c>
      <c r="AR500" s="64" t="inlineStr">
        <is>
          <t>2026-08-20</t>
        </is>
      </c>
      <c r="AS500" s="65" t="n">
        <v>1288.4</v>
      </c>
      <c r="AT500" s="68" t="n">
        <v>37.1</v>
      </c>
      <c r="AU500" s="63" t="inlineStr">
        <is>
          <t>Y</t>
        </is>
      </c>
      <c r="AV500" s="74" t="n">
        <v>68.7</v>
      </c>
      <c r="AW500" s="74" t="n"/>
      <c r="AX500" s="74" t="n"/>
      <c r="AY500" s="74" t="n">
        <v>2</v>
      </c>
      <c r="AZ500" s="75" t="inlineStr">
        <is>
          <t>N</t>
        </is>
      </c>
      <c r="BA500" s="76">
        <f>IF('BBG Verify'!K500="","not filed — run on terminal",'BBG Verify'!K500)</f>
        <v/>
      </c>
      <c r="BB500" s="63" t="inlineStr">
        <is>
          <t>N/A</t>
        </is>
      </c>
      <c r="BC500" s="63" t="inlineStr">
        <is>
          <t>N/A</t>
        </is>
      </c>
      <c r="BD500" s="63" t="inlineStr">
        <is>
          <t>N/A</t>
        </is>
      </c>
      <c r="BE500" s="63" t="inlineStr">
        <is>
          <t>N/A</t>
        </is>
      </c>
      <c r="BF500" s="63" t="inlineStr">
        <is>
          <t>N/A</t>
        </is>
      </c>
      <c r="BG500" s="75" t="n"/>
      <c r="BH500" s="63" t="inlineStr">
        <is>
          <t>China International Capital Corporation Hong Kong Securities Limited</t>
        </is>
      </c>
      <c r="BI500" s="63"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7">
        <f>HYPERLINK("https://www1.hkexnews.hk/listedco/listconews/sehk/2026/0626/2026062600021.pdf","prospectus")</f>
        <v/>
      </c>
      <c r="BL500" s="77">
        <f>HYPERLINK("https://www1.hkexnews.hk/listedco/listconews/sehk/2026/0706/2026070602117.pdf","allotment")</f>
        <v/>
      </c>
      <c r="BM500" s="77">
        <f>HYPERLINK("https://www1.hkexnews.hk/listedco/listconews/sehk/2026/0803/2026080301376.pdf","stabilisation")</f>
        <v/>
      </c>
      <c r="BN500" s="75" t="n"/>
      <c r="BO500" s="63"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7" t="n">
        <v>9.199999999999999</v>
      </c>
      <c r="W501" s="63" t="n"/>
      <c r="X501" s="63" t="n"/>
      <c r="Y501" s="67" t="n"/>
      <c r="Z501" s="63" t="n"/>
      <c r="AA501" s="72" t="n">
        <v>-3.05</v>
      </c>
      <c r="AB501" s="73" t="n">
        <v>-16.9</v>
      </c>
      <c r="AC501" s="73" t="n">
        <v>16.67</v>
      </c>
      <c r="AD501" s="73" t="n">
        <v>31.12</v>
      </c>
      <c r="AE501" s="73" t="n">
        <v>53.74</v>
      </c>
      <c r="AF501" s="73" t="n"/>
      <c r="AG501" s="73" t="n">
        <v>35.24</v>
      </c>
      <c r="AH501" s="73" t="n">
        <v>58.58</v>
      </c>
      <c r="AI501" s="73" t="n"/>
      <c r="AJ501" s="73" t="n">
        <v>25.91</v>
      </c>
      <c r="AK501" s="73" t="n">
        <v>46.59</v>
      </c>
      <c r="AL501" s="73" t="n"/>
      <c r="AM501" s="73" t="n">
        <v>56.55</v>
      </c>
      <c r="AN501" s="73" t="n">
        <v>7.15</v>
      </c>
      <c r="AO501" s="73" t="n">
        <v>2.03</v>
      </c>
      <c r="AP501" s="63" t="inlineStr">
        <is>
          <t>HSTECH (Hang Seng TECH ETF)</t>
        </is>
      </c>
      <c r="AQ501" s="73" t="n">
        <v>28.72</v>
      </c>
      <c r="AR501" s="64" t="inlineStr">
        <is>
          <t>2026-08-20</t>
        </is>
      </c>
      <c r="AS501" s="65" t="n">
        <v>487.3</v>
      </c>
      <c r="AT501" s="68" t="n">
        <v>-75</v>
      </c>
      <c r="AU501" s="63" t="inlineStr">
        <is>
          <t>N</t>
        </is>
      </c>
      <c r="AV501" s="63" t="inlineStr">
        <is>
          <t>n/m</t>
        </is>
      </c>
      <c r="AW501" s="74" t="n"/>
      <c r="AX501" s="74" t="n"/>
      <c r="AY501" s="74" t="n">
        <v>13.6</v>
      </c>
      <c r="AZ501" s="75" t="inlineStr">
        <is>
          <t>N</t>
        </is>
      </c>
      <c r="BA501" s="76">
        <f>IF('BBG Verify'!K501="","not filed — run on terminal",'BBG Verify'!K501)</f>
        <v/>
      </c>
      <c r="BB501" s="63" t="inlineStr">
        <is>
          <t>N/A</t>
        </is>
      </c>
      <c r="BC501" s="63" t="inlineStr">
        <is>
          <t>N/A</t>
        </is>
      </c>
      <c r="BD501" s="63" t="inlineStr">
        <is>
          <t>N/A</t>
        </is>
      </c>
      <c r="BE501" s="63" t="inlineStr">
        <is>
          <t>N/A</t>
        </is>
      </c>
      <c r="BF501" s="63" t="inlineStr">
        <is>
          <t>N/A</t>
        </is>
      </c>
      <c r="BG501" s="75" t="inlineStr">
        <is>
          <t>and Joint Sponsor-OCs Huatai Financial Holdings (Hong Kong) Limited; CCB International Capital Limited; Central, Hong Kong ABCI Capital Limited</t>
        </is>
      </c>
      <c r="BH501" s="63" t="inlineStr">
        <is>
          <t>CCB International Capital Limited; Huatai Financial Holdings (Hong Kong) Limited; ABCI Capital Limited</t>
        </is>
      </c>
      <c r="BI501" s="63"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7">
        <f>HYPERLINK("https://www1.hkexnews.hk/listedco/listconews/sehk/2026/0629/2026062900145.pdf","prospectus")</f>
        <v/>
      </c>
      <c r="BL501" s="77">
        <f>HYPERLINK("https://www1.hkexnews.hk/listedco/listconews/sehk/2026/0707/2026070701895.pdf","allotment")</f>
        <v/>
      </c>
      <c r="BM501" s="63" t="n"/>
      <c r="BN501" s="75" t="n"/>
      <c r="BO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7" t="n">
        <v>9</v>
      </c>
      <c r="W502" s="63" t="n"/>
      <c r="X502" s="63" t="n"/>
      <c r="Y502" s="67" t="n">
        <v>17.41</v>
      </c>
      <c r="Z502" s="63" t="inlineStr">
        <is>
          <t>lapsed (no over-allocation)</t>
        </is>
      </c>
      <c r="AA502" s="72" t="n">
        <v>5.06</v>
      </c>
      <c r="AB502" s="73" t="n">
        <v>7.91</v>
      </c>
      <c r="AC502" s="73" t="n">
        <v>-2.64</v>
      </c>
      <c r="AD502" s="73" t="n">
        <v>33.71</v>
      </c>
      <c r="AE502" s="73" t="n">
        <v>74.89</v>
      </c>
      <c r="AF502" s="73" t="n"/>
      <c r="AG502" s="73" t="n">
        <v>27.27</v>
      </c>
      <c r="AH502" s="73" t="n">
        <v>66.47</v>
      </c>
      <c r="AI502" s="73" t="n"/>
      <c r="AJ502" s="73" t="n">
        <v>28.5</v>
      </c>
      <c r="AK502" s="73" t="n">
        <v>67.73999999999999</v>
      </c>
      <c r="AL502" s="73" t="n"/>
      <c r="AM502" s="73" t="n">
        <v>64.44</v>
      </c>
      <c r="AN502" s="73" t="n">
        <v>7.15</v>
      </c>
      <c r="AO502" s="73" t="n">
        <v>2.03</v>
      </c>
      <c r="AP502" s="63" t="inlineStr">
        <is>
          <t>HSTECH (Hang Seng TECH ETF)</t>
        </is>
      </c>
      <c r="AQ502" s="73" t="n">
        <v>115.05</v>
      </c>
      <c r="AR502" s="64" t="inlineStr">
        <is>
          <t>2026-08-20</t>
        </is>
      </c>
      <c r="AS502" s="65" t="n">
        <v>342.3</v>
      </c>
      <c r="AT502" s="68" t="n">
        <v>-260.8</v>
      </c>
      <c r="AU502" s="63" t="inlineStr">
        <is>
          <t>N</t>
        </is>
      </c>
      <c r="AV502" s="63" t="inlineStr">
        <is>
          <t>n/m</t>
        </is>
      </c>
      <c r="AW502" s="74" t="n"/>
      <c r="AX502" s="74" t="n"/>
      <c r="AY502" s="74" t="n">
        <v>28.1</v>
      </c>
      <c r="AZ502" s="75" t="inlineStr">
        <is>
          <t>N</t>
        </is>
      </c>
      <c r="BA502" s="76">
        <f>IF('BBG Verify'!K502="","not filed — run on terminal",'BBG Verify'!K502)</f>
        <v/>
      </c>
      <c r="BB502" s="63" t="inlineStr">
        <is>
          <t>N/A</t>
        </is>
      </c>
      <c r="BC502" s="63" t="inlineStr">
        <is>
          <t>N/A</t>
        </is>
      </c>
      <c r="BD502" s="63" t="inlineStr">
        <is>
          <t>N/A</t>
        </is>
      </c>
      <c r="BE502" s="63" t="inlineStr">
        <is>
          <t>N/A</t>
        </is>
      </c>
      <c r="BF502" s="63" t="inlineStr">
        <is>
          <t>N/A</t>
        </is>
      </c>
      <c r="BG502" s="75" t="inlineStr">
        <is>
          <t>Sinolink Securities (Hong Kong) Company Limited; Sheung Wan, Hong Kong BOCI Asia Limited</t>
        </is>
      </c>
      <c r="BH502" s="63" t="inlineStr">
        <is>
          <t>BOCI Asia Limited; Sinolink Securities (Hong Kong) Company Limited</t>
        </is>
      </c>
      <c r="BI502" s="63" t="inlineStr">
        <is>
          <t>Fortune (HK) Securities Limited; Futu Securities International (Hong Kong) Limited; Guosen Securities (HK) Capital Company Limited; Patrons Securities Limited; Tiger Brokers (HK) Global Limited; TradeGo Markets Limited; Yue Xiu Securities Company Limited</t>
        </is>
      </c>
      <c r="BJ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7">
        <f>HYPERLINK("https://www1.hkexnews.hk/listedco/listconews/sehk/2026/0629/2026062900049.pdf","prospectus")</f>
        <v/>
      </c>
      <c r="BL502" s="77">
        <f>HYPERLINK("https://www1.hkexnews.hk/listedco/listconews/sehk/2026/0707/2026070701913.pdf","allotment")</f>
        <v/>
      </c>
      <c r="BM502" s="77">
        <f>HYPERLINK("https://www1.hkexnews.hk/listedco/listconews/sehk/2026/0803/2026080300057.pdf","stabilisation")</f>
        <v/>
      </c>
      <c r="BN502" s="75" t="n"/>
      <c r="BO502" s="63"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10000</v>
      </c>
      <c r="R503" s="63" t="inlineStr">
        <is>
          <t>prospectus:stated market capitalisation</t>
        </is>
      </c>
      <c r="S503" s="69" t="n">
        <v>413.63</v>
      </c>
      <c r="T503" s="70" t="n">
        <v>20.31</v>
      </c>
      <c r="U503" s="71" t="n">
        <v>49.95</v>
      </c>
      <c r="V503" s="67" t="n">
        <v>29.5</v>
      </c>
      <c r="W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3" t="inlineStr">
        <is>
          <t>blackrock;boyu;china-asset;cpic;fil;gf;gic;gigadevice;golden-link;mercedes;oaktree;suzhou;templeton</t>
        </is>
      </c>
      <c r="Y503" s="67" t="n">
        <v>15</v>
      </c>
      <c r="Z503" s="63" t="n"/>
      <c r="AA503" s="72" t="n">
        <v>0</v>
      </c>
      <c r="AB503" s="73" t="n">
        <v>1.83</v>
      </c>
      <c r="AC503" s="73" t="n">
        <v>-1.8</v>
      </c>
      <c r="AD503" s="73" t="n">
        <v>0.27</v>
      </c>
      <c r="AE503" s="73" t="n">
        <v>-10.08</v>
      </c>
      <c r="AF503" s="73" t="n"/>
      <c r="AG503" s="73" t="n">
        <v>0.27</v>
      </c>
      <c r="AH503" s="73" t="n">
        <v>-10.08</v>
      </c>
      <c r="AI503" s="73" t="n"/>
      <c r="AJ503" s="73" t="n">
        <v>-4.94</v>
      </c>
      <c r="AK503" s="73" t="n">
        <v>-17.23</v>
      </c>
      <c r="AL503" s="73" t="n"/>
      <c r="AM503" s="73" t="n">
        <v>-12.11</v>
      </c>
      <c r="AN503" s="73" t="n">
        <v>7.15</v>
      </c>
      <c r="AO503" s="73" t="n">
        <v>2.03</v>
      </c>
      <c r="AP503" s="63" t="inlineStr">
        <is>
          <t>HSTECH (Hang Seng TECH ETF)</t>
        </is>
      </c>
      <c r="AQ503" s="73" t="n">
        <v>-7.1</v>
      </c>
      <c r="AR503" s="64" t="inlineStr">
        <is>
          <t>2026-08-20</t>
        </is>
      </c>
      <c r="AS503" s="65" t="n">
        <v>2653.8</v>
      </c>
      <c r="AT503" s="68" t="n">
        <v>-3803.7</v>
      </c>
      <c r="AU503" s="63" t="inlineStr">
        <is>
          <t>N</t>
        </is>
      </c>
      <c r="AV503" s="63" t="inlineStr">
        <is>
          <t>n/m</t>
        </is>
      </c>
      <c r="AW503" s="74" t="n"/>
      <c r="AX503" s="74" t="n"/>
      <c r="AY503" s="74" t="n">
        <v>3.8</v>
      </c>
      <c r="AZ503" s="75" t="inlineStr">
        <is>
          <t>N</t>
        </is>
      </c>
      <c r="BA503" s="76">
        <f>IF('BBG Verify'!K503="","not filed — run on terminal",'BBG Verify'!K503)</f>
        <v/>
      </c>
      <c r="BB503" s="63" t="inlineStr">
        <is>
          <t>N/A</t>
        </is>
      </c>
      <c r="BC503" s="63" t="inlineStr">
        <is>
          <t>N/A</t>
        </is>
      </c>
      <c r="BD503" s="63" t="inlineStr">
        <is>
          <t>N/A</t>
        </is>
      </c>
      <c r="BE503" s="63" t="inlineStr">
        <is>
          <t>N/A</t>
        </is>
      </c>
      <c r="BF503" s="63" t="inlineStr">
        <is>
          <t>N/A</t>
        </is>
      </c>
      <c r="BG503" s="75" t="inlineStr">
        <is>
          <t>China International Capital Corporation Hong Kong Securities Limited; Deutsche Securities Asia Limited</t>
        </is>
      </c>
      <c r="BH503" s="63" t="inlineStr">
        <is>
          <t>China International Capital Corporation Hong Kong Securities Limited; Deutsche Securities Asia Limited</t>
        </is>
      </c>
      <c r="BI503" s="63" t="inlineStr">
        <is>
          <t>No. 95 Queensway Admiralty, Hong Kong Tiger Brokers (HK) Global Limited</t>
        </is>
      </c>
      <c r="BJ503" s="63" t="inlineStr">
        <is>
          <t>China International Capital Corporation Hong Kong Securities Limited; Deutsche Bank AG, Hong Kong Branch; Futu Securities International (Hong Kong) Limited; J.P. Morgan Securities (Asia Pacific) Limited; Tiger Brokers (HK) Global Limited</t>
        </is>
      </c>
      <c r="BK503" s="77">
        <f>HYPERLINK("https://www1.hkexnews.hk/listedco/listconews/sehk/2026/0629/2026062900057.pdf","prospectus")</f>
        <v/>
      </c>
      <c r="BL503" s="77">
        <f>HYPERLINK("https://www1.hkexnews.hk/listedco/listconews/sehk/2026/0707/2026070701963.pdf","allotment")</f>
        <v/>
      </c>
      <c r="BM503" s="63" t="n"/>
      <c r="BN503" s="75" t="n"/>
      <c r="BO503"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7" t="n">
        <v>9.94</v>
      </c>
      <c r="W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3" t="inlineStr">
        <is>
          <t>aurora;baring;cdh;fil;gf;indus;jain;jpmorgan;regal;seven;zijinning</t>
        </is>
      </c>
      <c r="Y504" s="67" t="n">
        <v>6.2</v>
      </c>
      <c r="Z504" s="63" t="inlineStr">
        <is>
          <t>partial</t>
        </is>
      </c>
      <c r="AA504" s="72" t="n">
        <v>9.99</v>
      </c>
      <c r="AB504" s="73" t="n">
        <v>3.5</v>
      </c>
      <c r="AC504" s="73" t="n">
        <v>6.27</v>
      </c>
      <c r="AD504" s="73" t="n">
        <v>2.59</v>
      </c>
      <c r="AE504" s="73" t="n">
        <v>-5.6</v>
      </c>
      <c r="AF504" s="73" t="n"/>
      <c r="AG504" s="73" t="n">
        <v>-6.73</v>
      </c>
      <c r="AH504" s="73" t="n">
        <v>-14.17</v>
      </c>
      <c r="AI504" s="73" t="n"/>
      <c r="AJ504" s="73" t="n">
        <v>-2.62</v>
      </c>
      <c r="AK504" s="73" t="n">
        <v>-12.75</v>
      </c>
      <c r="AL504" s="73" t="n"/>
      <c r="AM504" s="73" t="n">
        <v>-16.2</v>
      </c>
      <c r="AN504" s="73" t="n">
        <v>7.15</v>
      </c>
      <c r="AO504" s="73" t="n">
        <v>2.03</v>
      </c>
      <c r="AP504" s="63" t="inlineStr">
        <is>
          <t>HSTECH (Hang Seng TECH ETF)</t>
        </is>
      </c>
      <c r="AQ504" s="73" t="n">
        <v>-6.22</v>
      </c>
      <c r="AR504" s="64" t="inlineStr">
        <is>
          <t>2026-08-20</t>
        </is>
      </c>
      <c r="AS504" s="65" t="n">
        <v>1578.8</v>
      </c>
      <c r="AT504" s="68" t="n">
        <v>-567.1</v>
      </c>
      <c r="AU504" s="63" t="inlineStr">
        <is>
          <t>N</t>
        </is>
      </c>
      <c r="AV504" s="63" t="inlineStr">
        <is>
          <t>n/m</t>
        </is>
      </c>
      <c r="AW504" s="74" t="n"/>
      <c r="AX504" s="74" t="n"/>
      <c r="AY504" s="74" t="n">
        <v>7.3</v>
      </c>
      <c r="AZ504" s="75" t="inlineStr">
        <is>
          <t>N</t>
        </is>
      </c>
      <c r="BA504" s="76">
        <f>IF('BBG Verify'!K504="","not filed — run on terminal",'BBG Verify'!K504)</f>
        <v/>
      </c>
      <c r="BB504" s="63" t="inlineStr">
        <is>
          <t>N/A</t>
        </is>
      </c>
      <c r="BC504" s="63" t="inlineStr">
        <is>
          <t>N/A</t>
        </is>
      </c>
      <c r="BD504" s="63" t="inlineStr">
        <is>
          <t>N/A</t>
        </is>
      </c>
      <c r="BE504" s="63" t="inlineStr">
        <is>
          <t>N/A</t>
        </is>
      </c>
      <c r="BF504" s="63" t="inlineStr">
        <is>
          <t>N/A</t>
        </is>
      </c>
      <c r="BG504" s="75" t="inlineStr">
        <is>
          <t>Haitong International Capital Limited</t>
        </is>
      </c>
      <c r="BH504" s="63" t="inlineStr">
        <is>
          <t>Haitong International Capital Limited</t>
        </is>
      </c>
      <c r="BI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7">
        <f>HYPERLINK("https://www1.hkexnews.hk/listedco/listconews/sehk/2026/0629/2026062900135.pdf","prospectus")</f>
        <v/>
      </c>
      <c r="BL504" s="77">
        <f>HYPERLINK("https://www1.hkexnews.hk/listedco/listconews/sehk/2026/0707/2026070702043.pdf","allotment")</f>
        <v/>
      </c>
      <c r="BM504" s="77">
        <f>HYPERLINK("https://www1.hkexnews.hk/listedco/listconews/sehk/2026/0802/2026080200017.pdf","stabilisation")</f>
        <v/>
      </c>
      <c r="BN504" s="75" t="n"/>
      <c r="BO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c r="L505" s="66" t="n">
        <v>8</v>
      </c>
      <c r="M505" s="66" t="n">
        <v>8</v>
      </c>
      <c r="N505" s="63" t="inlineStr">
        <is>
          <t>Y</t>
        </is>
      </c>
      <c r="O505" s="67" t="n">
        <v>100</v>
      </c>
      <c r="P505" s="67" t="n"/>
      <c r="Q505" s="68" t="n">
        <v>800</v>
      </c>
      <c r="R505" s="63" t="inlineStr">
        <is>
          <t>derived:price x shares upon listing</t>
        </is>
      </c>
      <c r="S505" s="69" t="n">
        <v>1688.1</v>
      </c>
      <c r="T505" s="70" t="n">
        <v>1.51</v>
      </c>
      <c r="U505" s="71" t="n">
        <v>0</v>
      </c>
      <c r="V505" s="67" t="n">
        <v>25</v>
      </c>
      <c r="W505" s="63" t="n"/>
      <c r="X505" s="63" t="n"/>
      <c r="Y505" s="67" t="n">
        <v>15</v>
      </c>
      <c r="Z505" s="63" t="inlineStr">
        <is>
          <t>lapsed (no over-allocation)</t>
        </is>
      </c>
      <c r="AA505" s="72" t="n">
        <v>162.5</v>
      </c>
      <c r="AB505" s="73" t="n">
        <v>100</v>
      </c>
      <c r="AC505" s="73" t="n">
        <v>31.25</v>
      </c>
      <c r="AD505" s="73" t="n">
        <v>267.5</v>
      </c>
      <c r="AE505" s="73" t="n">
        <v>1146.88</v>
      </c>
      <c r="AF505" s="73" t="n"/>
      <c r="AG505" s="73" t="n">
        <v>40</v>
      </c>
      <c r="AH505" s="73" t="n">
        <v>375</v>
      </c>
      <c r="AI505" s="73" t="n"/>
      <c r="AJ505" s="73" t="n">
        <v>263.44</v>
      </c>
      <c r="AK505" s="73" t="n">
        <v>1140.07</v>
      </c>
      <c r="AL505" s="73" t="n"/>
      <c r="AM505" s="73" t="n">
        <v>367.59</v>
      </c>
      <c r="AN505" s="73" t="n">
        <v>6.81</v>
      </c>
      <c r="AO505" s="73" t="n">
        <v>7.41</v>
      </c>
      <c r="AP505" s="63" t="inlineStr">
        <is>
          <t>Hang Seng Commerce &amp; Industry sub-index</t>
        </is>
      </c>
      <c r="AQ505" s="73" t="n">
        <v>1275</v>
      </c>
      <c r="AR505" s="64" t="inlineStr">
        <is>
          <t>2026-08-20</t>
        </is>
      </c>
      <c r="AS505" s="65" t="n">
        <v>345.1</v>
      </c>
      <c r="AT505" s="68" t="n">
        <v>53.8</v>
      </c>
      <c r="AU505" s="63" t="inlineStr">
        <is>
          <t>Y</t>
        </is>
      </c>
      <c r="AV505" s="74" t="n">
        <v>14.9</v>
      </c>
      <c r="AW505" s="74" t="n"/>
      <c r="AX505" s="74" t="n"/>
      <c r="AY505" s="74" t="n">
        <v>2.3</v>
      </c>
      <c r="AZ505" s="75" t="inlineStr">
        <is>
          <t>N</t>
        </is>
      </c>
      <c r="BA505" s="76">
        <f>IF('BBG Verify'!K505="","not filed — run on terminal",'BBG Verify'!K505)</f>
        <v/>
      </c>
      <c r="BB505" s="63" t="inlineStr">
        <is>
          <t>N/A</t>
        </is>
      </c>
      <c r="BC505" s="63" t="inlineStr">
        <is>
          <t>N/A</t>
        </is>
      </c>
      <c r="BD505" s="63" t="inlineStr">
        <is>
          <t>N/A</t>
        </is>
      </c>
      <c r="BE505" s="63" t="inlineStr">
        <is>
          <t>N/A</t>
        </is>
      </c>
      <c r="BF505" s="63" t="inlineStr">
        <is>
          <t>N/A</t>
        </is>
      </c>
      <c r="BG505" s="75" t="inlineStr">
        <is>
          <t>Zhongtai Inte rnational Capital Limited</t>
        </is>
      </c>
      <c r="BH505" s="63" t="inlineStr">
        <is>
          <t>Zhongtai International Capital Limited</t>
        </is>
      </c>
      <c r="BI505" s="63" t="inlineStr">
        <is>
          <t>CCB International Capital Limited; ABCI Capital Limited</t>
        </is>
      </c>
      <c r="BJ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7">
        <f>HYPERLINK("https://www1.hkexnews.hk/listedco/listconews/sehk/2026/0630/2026063000055.pdf","prospectus")</f>
        <v/>
      </c>
      <c r="BL505" s="77">
        <f>HYPERLINK("https://www1.hkexnews.hk/listedco/listconews/sehk/2026/0708/2026070801132.pdf","allotment")</f>
        <v/>
      </c>
      <c r="BM505" s="77">
        <f>HYPERLINK("https://www1.hkexnews.hk/listedco/listconews/sehk/2026/0805/2026080501400.pdf","stabilisation")</f>
        <v/>
      </c>
      <c r="BN505" s="75" t="n"/>
      <c r="BO505"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7" t="n">
        <v>10</v>
      </c>
      <c r="W506" s="63" t="n"/>
      <c r="X506" s="63" t="n"/>
      <c r="Y506" s="67" t="n">
        <v>10</v>
      </c>
      <c r="Z506" s="63" t="inlineStr">
        <is>
          <t>lapsed (no over-allocation)</t>
        </is>
      </c>
      <c r="AA506" s="72" t="n">
        <v>1.73</v>
      </c>
      <c r="AB506" s="73" t="n">
        <v>-1.89</v>
      </c>
      <c r="AC506" s="73" t="n">
        <v>3.69</v>
      </c>
      <c r="AD506" s="73" t="n">
        <v>-1.2</v>
      </c>
      <c r="AE506" s="73" t="n">
        <v>42.42</v>
      </c>
      <c r="AF506" s="73" t="n"/>
      <c r="AG506" s="73" t="n">
        <v>-2.88</v>
      </c>
      <c r="AH506" s="73" t="n">
        <v>40</v>
      </c>
      <c r="AI506" s="73" t="n"/>
      <c r="AJ506" s="73" t="n">
        <v>-3.53</v>
      </c>
      <c r="AK506" s="73" t="n">
        <v>39.7</v>
      </c>
      <c r="AL506" s="73" t="n"/>
      <c r="AM506" s="73" t="n">
        <v>37.28</v>
      </c>
      <c r="AN506" s="73" t="n">
        <v>2.72</v>
      </c>
      <c r="AO506" s="73" t="n">
        <v>2.72</v>
      </c>
      <c r="AP506" s="63" t="inlineStr">
        <is>
          <t>HSTECH (Hang Seng TECH ETF)</t>
        </is>
      </c>
      <c r="AQ506" s="73" t="n">
        <v>33.01</v>
      </c>
      <c r="AR506" s="64" t="inlineStr">
        <is>
          <t>2026-08-20</t>
        </is>
      </c>
      <c r="AS506" s="65" t="n">
        <v>571.6</v>
      </c>
      <c r="AT506" s="68" t="n">
        <v>88.3</v>
      </c>
      <c r="AU506" s="63" t="inlineStr">
        <is>
          <t>Y</t>
        </is>
      </c>
      <c r="AV506" s="74" t="n">
        <v>45.6</v>
      </c>
      <c r="AW506" s="74" t="n"/>
      <c r="AX506" s="74" t="n"/>
      <c r="AY506" s="74" t="n">
        <v>7</v>
      </c>
      <c r="AZ506" s="75" t="inlineStr">
        <is>
          <t>N</t>
        </is>
      </c>
      <c r="BA506" s="76">
        <f>IF('BBG Verify'!K506="","not filed — run on terminal",'BBG Verify'!K506)</f>
        <v/>
      </c>
      <c r="BB506" s="63" t="inlineStr">
        <is>
          <t>N/A</t>
        </is>
      </c>
      <c r="BC506" s="63" t="inlineStr">
        <is>
          <t>N/A</t>
        </is>
      </c>
      <c r="BD506" s="63" t="inlineStr">
        <is>
          <t>N/A</t>
        </is>
      </c>
      <c r="BE506" s="63" t="inlineStr">
        <is>
          <t>N/A</t>
        </is>
      </c>
      <c r="BF506" s="63" t="inlineStr">
        <is>
          <t>N/A</t>
        </is>
      </c>
      <c r="BG506" s="75" t="inlineStr">
        <is>
          <t>CITIC Securities (Hong Kong) Limited</t>
        </is>
      </c>
      <c r="BH506" s="63" t="inlineStr">
        <is>
          <t>CITIC Securities (Hong Kong) Limited</t>
        </is>
      </c>
      <c r="BI506" s="63" t="inlineStr">
        <is>
          <t>Wanchai, Hong Kong CMBC Securities Company Limited; JA Securities Limited</t>
        </is>
      </c>
      <c r="BJ506" s="63" t="inlineStr">
        <is>
          <t>China Harbour International Securities Limited; CLSA Limited; CMBC Securities Company Limited; JA Securities Limited; SPDB International Capital Limited</t>
        </is>
      </c>
      <c r="BK506" s="77">
        <f>HYPERLINK("https://www1.hkexnews.hk/listedco/listconews/sehk/2026/0629/2026062900101.pdf","prospectus")</f>
        <v/>
      </c>
      <c r="BL506" s="77">
        <f>HYPERLINK("https://www1.hkexnews.hk/listedco/listconews/sehk/2026/0708/2026070801214.pdf","allotment")</f>
        <v/>
      </c>
      <c r="BM506" s="77">
        <f>HYPERLINK("https://www1.hkexnews.hk/listedco/listconews/sehk/2026/0803/2026080303735.pdf","stabilisation")</f>
        <v/>
      </c>
      <c r="BN506" s="75" t="n"/>
      <c r="BO506"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7" t="n">
        <v>6.03</v>
      </c>
      <c r="W507" s="63" t="inlineStr">
        <is>
          <t>All View Focus Fund LPF; Beijing Financial Street Capital Operation Group Co., Ltd; GF Management Co., Ltd; Huatai Capital Investment Limited; Yishao Capital Management (HK) Limited</t>
        </is>
      </c>
      <c r="X507" s="63" t="inlineStr">
        <is>
          <t>all;beijing-financial;gf;huatai;yishao</t>
        </is>
      </c>
      <c r="Y507" s="67" t="n">
        <v>15</v>
      </c>
      <c r="Z507" s="63" t="inlineStr">
        <is>
          <t>full</t>
        </is>
      </c>
      <c r="AA507" s="72" t="n">
        <v>15.21</v>
      </c>
      <c r="AB507" s="73" t="n">
        <v>0.05</v>
      </c>
      <c r="AC507" s="73" t="n">
        <v>15.15</v>
      </c>
      <c r="AD507" s="73" t="n">
        <v>28.63</v>
      </c>
      <c r="AE507" s="73" t="n">
        <v>88.95</v>
      </c>
      <c r="AF507" s="73" t="n"/>
      <c r="AG507" s="73" t="n">
        <v>11.65</v>
      </c>
      <c r="AH507" s="73" t="n">
        <v>64</v>
      </c>
      <c r="AI507" s="73" t="n"/>
      <c r="AJ507" s="73" t="n">
        <v>26.3</v>
      </c>
      <c r="AK507" s="73" t="n">
        <v>86.23</v>
      </c>
      <c r="AL507" s="73" t="n"/>
      <c r="AM507" s="73" t="n">
        <v>61.28</v>
      </c>
      <c r="AN507" s="73" t="n">
        <v>2.72</v>
      </c>
      <c r="AO507" s="73" t="n">
        <v>2.72</v>
      </c>
      <c r="AP507" s="63" t="inlineStr">
        <is>
          <t>HSTECH (Hang Seng TECH ETF)</t>
        </is>
      </c>
      <c r="AQ507" s="73" t="n">
        <v>86.84</v>
      </c>
      <c r="AR507" s="64" t="inlineStr">
        <is>
          <t>2026-08-20</t>
        </is>
      </c>
      <c r="AS507" s="65" t="n">
        <v>573.9</v>
      </c>
      <c r="AT507" s="68" t="n">
        <v>-197.2</v>
      </c>
      <c r="AU507" s="63" t="inlineStr">
        <is>
          <t>N</t>
        </is>
      </c>
      <c r="AV507" s="63" t="inlineStr">
        <is>
          <t>n/m</t>
        </is>
      </c>
      <c r="AW507" s="74" t="n"/>
      <c r="AX507" s="74" t="n"/>
      <c r="AY507" s="74" t="n">
        <v>17.3</v>
      </c>
      <c r="AZ507" s="75" t="inlineStr">
        <is>
          <t>N</t>
        </is>
      </c>
      <c r="BA507" s="76">
        <f>IF('BBG Verify'!K507="","not filed — run on terminal",'BBG Verify'!K507)</f>
        <v/>
      </c>
      <c r="BB507" s="63" t="inlineStr">
        <is>
          <t>N/A</t>
        </is>
      </c>
      <c r="BC507" s="63" t="inlineStr">
        <is>
          <t>N/A</t>
        </is>
      </c>
      <c r="BD507" s="63" t="inlineStr">
        <is>
          <t>N/A</t>
        </is>
      </c>
      <c r="BE507" s="63" t="inlineStr">
        <is>
          <t>N/A</t>
        </is>
      </c>
      <c r="BF507" s="63" t="inlineStr">
        <is>
          <t>N/A</t>
        </is>
      </c>
      <c r="BG507" s="75" t="inlineStr">
        <is>
          <t>China International Capital Corporation Hong Kong Securities Limited; Guotai Junan Capital Limited</t>
        </is>
      </c>
      <c r="BH507" s="63" t="inlineStr">
        <is>
          <t>China International Capital Corporation Hong Kong Securities Limited; Guotai Junan Capital Limited</t>
        </is>
      </c>
      <c r="BI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7">
        <f>HYPERLINK("https://www1.hkexnews.hk/listedco/listconews/sehk/2026/0630/2026063000033.pdf","prospectus")</f>
        <v/>
      </c>
      <c r="BL507" s="77">
        <f>HYPERLINK("https://www1.hkexnews.hk/listedco/listconews/sehk/2026/0708/2026070801234.pdf","allotment")</f>
        <v/>
      </c>
      <c r="BM507" s="77">
        <f>HYPERLINK("https://www1.hkexnews.hk/listedco/listconews/sehk/2026/0805/2026080501829.pdf","stabilisation")</f>
        <v/>
      </c>
      <c r="BN507" s="75" t="n"/>
      <c r="BO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7" t="n">
        <v>6.57</v>
      </c>
      <c r="W508" s="63" t="inlineStr">
        <is>
          <t>CITIC-Prudential Fund Management Company Ltd; CPE Hemlock Investment Limited; HHLR Advisors, Ltd; Hua Yuan International Limited; Purple Diamond Ltd; Sungrow Power (Hong Kong) Co., Limited; Suzhou Taihu Golden Valley Construction and Development Co., Ltd</t>
        </is>
      </c>
      <c r="X508" s="63" t="inlineStr">
        <is>
          <t>citic;cpe;hhlr;hua;purple;sungrow;suzhou</t>
        </is>
      </c>
      <c r="Y508" s="67" t="n"/>
      <c r="Z508" s="63" t="n"/>
      <c r="AA508" s="72" t="n">
        <v>-37.36</v>
      </c>
      <c r="AB508" s="73" t="n">
        <v>-18.75</v>
      </c>
      <c r="AC508" s="73" t="n">
        <v>-22.9</v>
      </c>
      <c r="AD508" s="73" t="n">
        <v>-44.32</v>
      </c>
      <c r="AE508" s="73" t="n">
        <v>-45.06</v>
      </c>
      <c r="AF508" s="73" t="n"/>
      <c r="AG508" s="73" t="n">
        <v>-11.11</v>
      </c>
      <c r="AH508" s="73" t="n">
        <v>-12.29</v>
      </c>
      <c r="AI508" s="73" t="n"/>
      <c r="AJ508" s="73" t="n">
        <v>-48.38</v>
      </c>
      <c r="AK508" s="73" t="n">
        <v>-51.87</v>
      </c>
      <c r="AL508" s="73" t="n"/>
      <c r="AM508" s="73" t="n">
        <v>-19.7</v>
      </c>
      <c r="AN508" s="73" t="n">
        <v>6.81</v>
      </c>
      <c r="AO508" s="73" t="n">
        <v>7.41</v>
      </c>
      <c r="AP508" s="63" t="inlineStr">
        <is>
          <t>Hang Seng Commerce &amp; Industry sub-index</t>
        </is>
      </c>
      <c r="AQ508" s="73" t="n">
        <v>-44.85</v>
      </c>
      <c r="AR508" s="64" t="inlineStr">
        <is>
          <t>2026-08-20</t>
        </is>
      </c>
      <c r="AS508" s="65" t="n">
        <v>853.4</v>
      </c>
      <c r="AT508" s="68" t="n">
        <v>94.7</v>
      </c>
      <c r="AU508" s="63" t="inlineStr">
        <is>
          <t>Y</t>
        </is>
      </c>
      <c r="AV508" s="74" t="n">
        <v>106.2</v>
      </c>
      <c r="AW508" s="74" t="n"/>
      <c r="AX508" s="74" t="n"/>
      <c r="AY508" s="74" t="n">
        <v>11.8</v>
      </c>
      <c r="AZ508" s="75" t="inlineStr">
        <is>
          <t>Y</t>
        </is>
      </c>
      <c r="BA508" s="63" t="inlineStr">
        <is>
          <t>688337.SS</t>
        </is>
      </c>
      <c r="BB508" s="73" t="n">
        <v>43.58</v>
      </c>
      <c r="BC508" s="66" t="n">
        <v>66.0176</v>
      </c>
      <c r="BD508" s="80" t="n">
        <v>1.0859</v>
      </c>
      <c r="BE508" s="78">
        <f>IF('BBG Verify'!Q508="","run on terminal",'BBG Verify'!Q508)</f>
        <v/>
      </c>
      <c r="BF508" s="78">
        <f>IF('BBG Verify'!R508="","run on terminal",'BBG Verify'!R508)</f>
        <v/>
      </c>
      <c r="BG508" s="75" t="inlineStr">
        <is>
          <t>CITIC Securities (Hong Kong) Limited</t>
        </is>
      </c>
      <c r="BH508" s="63" t="inlineStr">
        <is>
          <t>CITIC Securities (Hong Kong) Limited</t>
        </is>
      </c>
      <c r="BI508" s="63" t="inlineStr">
        <is>
          <t>CLSA Limited; CMB International Capital Limited; ICBC International Securities Limited</t>
        </is>
      </c>
      <c r="BJ508" s="63" t="inlineStr">
        <is>
          <t>CLSA Limited; CMB International Capital Limited; ICBC International Securities Limited</t>
        </is>
      </c>
      <c r="BK508" s="77">
        <f>HYPERLINK("https://www1.hkexnews.hk/listedco/listconews/sehk/2026/0630/2026063000023.pdf","prospectus")</f>
        <v/>
      </c>
      <c r="BL508" s="77">
        <f>HYPERLINK("https://www1.hkexnews.hk/listedco/listconews/sehk/2026/0708/2026070801336.pdf","allotment")</f>
        <v/>
      </c>
      <c r="BM508" s="63" t="n"/>
      <c r="BN508" s="75" t="n"/>
      <c r="BO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81">
        <f>IF('BBG Verify'!M509="","not filed — run on terminal",'BBG Verify'!M509)</f>
        <v/>
      </c>
      <c r="R509" s="63" t="n"/>
      <c r="S509" s="69" t="n">
        <v>3.78</v>
      </c>
      <c r="T509" s="70" t="n">
        <v>9.460000000000001</v>
      </c>
      <c r="U509" s="71" t="n">
        <v>48.4</v>
      </c>
      <c r="V509" s="67" t="n"/>
      <c r="W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3" t="inlineStr">
        <is>
          <t>bosera;universal;cpe;cpp;eastspring;fil;first-sentier;foresight;gf;gic;greenwoods;harvest;hhlr;huang-river;jane;millennium;mirae;my;perseverance;polymer;prosper</t>
        </is>
      </c>
      <c r="Y509" s="67" t="n">
        <v>15</v>
      </c>
      <c r="Z509" s="63" t="inlineStr">
        <is>
          <t>partial</t>
        </is>
      </c>
      <c r="AA509" s="72" t="n">
        <v>-1.55</v>
      </c>
      <c r="AB509" s="73" t="n">
        <v>-0.05</v>
      </c>
      <c r="AC509" s="73" t="n">
        <v>-1.5</v>
      </c>
      <c r="AD509" s="73" t="n">
        <v>-5.18</v>
      </c>
      <c r="AE509" s="73" t="n">
        <v>0.11</v>
      </c>
      <c r="AF509" s="73" t="n"/>
      <c r="AG509" s="73" t="n">
        <v>-3.69</v>
      </c>
      <c r="AH509" s="73" t="n">
        <v>1.69</v>
      </c>
      <c r="AI509" s="73" t="n"/>
      <c r="AJ509" s="73" t="n">
        <v>-7.51</v>
      </c>
      <c r="AK509" s="73" t="n">
        <v>-2.61</v>
      </c>
      <c r="AL509" s="73" t="n"/>
      <c r="AM509" s="73" t="n">
        <v>-1.03</v>
      </c>
      <c r="AN509" s="73" t="n">
        <v>2.72</v>
      </c>
      <c r="AO509" s="73" t="n">
        <v>2.72</v>
      </c>
      <c r="AP509" s="63" t="inlineStr">
        <is>
          <t>HSTECH (Hang Seng TECH ETF)</t>
        </is>
      </c>
      <c r="AQ509" s="73" t="n">
        <v>-6.29</v>
      </c>
      <c r="AR509" s="64" t="inlineStr">
        <is>
          <t>2026-08-20</t>
        </is>
      </c>
      <c r="AS509" s="65" t="n">
        <v>365578.9</v>
      </c>
      <c r="AT509" s="68" t="n">
        <v>19987.3</v>
      </c>
      <c r="AU509" s="63" t="inlineStr">
        <is>
          <t>Y</t>
        </is>
      </c>
      <c r="AV509" s="74" t="n">
        <v>22.8</v>
      </c>
      <c r="AW509" s="74" t="n">
        <v>22.8</v>
      </c>
      <c r="AX509" s="74" t="n">
        <v>23</v>
      </c>
      <c r="AY509" s="74" t="n"/>
      <c r="AZ509" s="75" t="inlineStr">
        <is>
          <t>Y</t>
        </is>
      </c>
      <c r="BA509" s="63" t="inlineStr">
        <is>
          <t>002475.SZ</t>
        </is>
      </c>
      <c r="BB509" s="73" t="n">
        <v>13.94</v>
      </c>
      <c r="BC509" s="66" t="n">
        <v>72.09999999999999</v>
      </c>
      <c r="BD509" s="80" t="n">
        <v>0.06469999999999999</v>
      </c>
      <c r="BE509" s="78">
        <f>IF('BBG Verify'!Q509="","run on terminal",'BBG Verify'!Q509)</f>
        <v/>
      </c>
      <c r="BF509" s="78">
        <f>IF('BBG Verify'!R509="","run on terminal",'BBG Verify'!R509)</f>
        <v/>
      </c>
      <c r="BG509" s="75" t="inlineStr">
        <is>
          <t>CITIC Securities (Hong Kong) Limited; Goldman Sachs (Asia) L.L.C; China International Capital Corporation Hong Kong Securities Limited</t>
        </is>
      </c>
      <c r="BH509" s="63" t="inlineStr">
        <is>
          <t>China International Capital Corporation Hong Kong Securities Limited; Goldman Sachs (Asia) L.L.C.; CITIC Securities (Hong Kong) Limited</t>
        </is>
      </c>
      <c r="BI509" s="63" t="inlineStr">
        <is>
          <t>China International Capital Corporation Hong Kong Securities Limited; CLSA Limited; GF Securities (Hong Kong) Brokerage Limited; Goldman Sachs (Asia) L.L.C.; Guosen Securities (HK) Capital Company Limited; The Hongkong and Shanghai Banking Corporation Limited</t>
        </is>
      </c>
      <c r="BJ509" s="63" t="inlineStr">
        <is>
          <t>China International Capital Corporation Hong Kong Securities Limited; CLSA Limited; GF Securities (Hong Kong) Brokerage Limited; Goldman Sachs (Asia) L.L.C.; Guosen Securities (HK) Capital Company Limited; The Hongkong and Shanghai Banking Corporation Limited</t>
        </is>
      </c>
      <c r="BK509" s="77">
        <f>HYPERLINK("https://www1.hkexnews.hk/listedco/listconews/sehk/2026/0630/2026063000097.pdf","prospectus")</f>
        <v/>
      </c>
      <c r="BL509" s="77">
        <f>HYPERLINK("https://www1.hkexnews.hk/listedco/listconews/sehk/2026/0708/2026070801342.pdf","allotment")</f>
        <v/>
      </c>
      <c r="BM509" s="77">
        <f>HYPERLINK("https://www1.hkexnews.hk/listedco/listconews/sehk/2026/0805/2026080501907.pdf","stabilisation")</f>
        <v/>
      </c>
      <c r="BN509" s="75" t="n"/>
      <c r="BO509" s="63"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81">
        <f>IF('BBG Verify'!M510="","not filed — run on terminal",'BBG Verify'!M510)</f>
        <v/>
      </c>
      <c r="R510" s="63" t="n"/>
      <c r="S510" s="69" t="n">
        <v>327.49</v>
      </c>
      <c r="T510" s="70" t="n">
        <v>16.24</v>
      </c>
      <c r="U510" s="71" t="n">
        <v>49.81</v>
      </c>
      <c r="V510" s="67" t="n"/>
      <c r="W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3" t="inlineStr">
        <is>
          <t>alibaba;bosera;universal;cpe;goldman;greater;huang-river;icbc;ivyrock;jpmorgan;manulife;metazone;ninety;taikang;verition</t>
        </is>
      </c>
      <c r="Y510" s="67" t="n">
        <v>15</v>
      </c>
      <c r="Z510" s="63" t="inlineStr">
        <is>
          <t>partial</t>
        </is>
      </c>
      <c r="AA510" s="72" t="n">
        <v>4.69</v>
      </c>
      <c r="AB510" s="73" t="n">
        <v>0</v>
      </c>
      <c r="AC510" s="73" t="n">
        <v>4.69</v>
      </c>
      <c r="AD510" s="73" t="n">
        <v>-2.29</v>
      </c>
      <c r="AE510" s="73" t="n">
        <v>6.68</v>
      </c>
      <c r="AF510" s="73" t="n"/>
      <c r="AG510" s="73" t="n">
        <v>-6.67</v>
      </c>
      <c r="AH510" s="73" t="n">
        <v>1.9</v>
      </c>
      <c r="AI510" s="73" t="n"/>
      <c r="AJ510" s="73" t="n">
        <v>-4.62</v>
      </c>
      <c r="AK510" s="73" t="n">
        <v>3.96</v>
      </c>
      <c r="AL510" s="73" t="n"/>
      <c r="AM510" s="73" t="n">
        <v>-0.82</v>
      </c>
      <c r="AN510" s="73" t="n">
        <v>2.72</v>
      </c>
      <c r="AO510" s="73" t="n">
        <v>2.72</v>
      </c>
      <c r="AP510" s="63" t="inlineStr">
        <is>
          <t>HSTECH (Hang Seng TECH ETF)</t>
        </is>
      </c>
      <c r="AQ510" s="73" t="n">
        <v>9.869999999999999</v>
      </c>
      <c r="AR510" s="64" t="inlineStr">
        <is>
          <t>2026-08-20</t>
        </is>
      </c>
      <c r="AS510" s="65" t="n">
        <v>9755.4</v>
      </c>
      <c r="AT510" s="68" t="n">
        <v>2878.7</v>
      </c>
      <c r="AU510" s="63" t="inlineStr">
        <is>
          <t>Y</t>
        </is>
      </c>
      <c r="AV510" s="74" t="n">
        <v>66.3</v>
      </c>
      <c r="AW510" s="74" t="n">
        <v>66.3</v>
      </c>
      <c r="AX510" s="74" t="n">
        <v>79.90000000000001</v>
      </c>
      <c r="AY510" s="74" t="n"/>
      <c r="AZ510" s="75" t="inlineStr">
        <is>
          <t>Y</t>
        </is>
      </c>
      <c r="BA510" s="63" t="inlineStr">
        <is>
          <t>300408.SZ</t>
        </is>
      </c>
      <c r="BB510" s="73" t="n">
        <v>50.09</v>
      </c>
      <c r="BC510" s="66" t="n">
        <v>150.5363</v>
      </c>
      <c r="BD510" s="80" t="n">
        <v>0.2069</v>
      </c>
      <c r="BE510" s="78">
        <f>IF('BBG Verify'!Q510="","run on terminal",'BBG Verify'!Q510)</f>
        <v/>
      </c>
      <c r="BF510" s="78">
        <f>IF('BBG Verify'!R510="","run on terminal",'BBG Verify'!R510)</f>
        <v/>
      </c>
      <c r="BG510" s="75" t="inlineStr">
        <is>
          <t>China Galaxy International Securities (Hong Kong) Co., Limited</t>
        </is>
      </c>
      <c r="BH510" s="63" t="inlineStr">
        <is>
          <t>China Galaxy International Securities (Hong Kong) Company Limited</t>
        </is>
      </c>
      <c r="BI510" s="63" t="inlineStr">
        <is>
          <t>CCB International Capital Limited</t>
        </is>
      </c>
      <c r="BJ510" s="63" t="inlineStr">
        <is>
          <t>BOCI Asia Limited; CCB International Capital Limited; China Galaxy International Securities (Hong Kong) Company Limited; Huatai Financial Holdings (Hong Kong) Limited; ICBC International Securities Limited</t>
        </is>
      </c>
      <c r="BK510" s="77">
        <f>HYPERLINK("https://www1.hkexnews.hk/listedco/listconews/sehk/2026/0630/2026063000323.pdf","prospectus")</f>
        <v/>
      </c>
      <c r="BL510" s="77">
        <f>HYPERLINK("https://www1.hkexnews.hk/listedco/listconews/sehk/2026/0708/2026070801348.pdf","allotment")</f>
        <v/>
      </c>
      <c r="BM510" s="77">
        <f>HYPERLINK("https://www1.hkexnews.hk/listedco/listconews/sehk/2026/0805/2026080501999.pdf","stabilisation")</f>
        <v/>
      </c>
      <c r="BN510" s="75" t="n"/>
      <c r="BO510" s="63"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7" t="n">
        <v>1.74</v>
      </c>
      <c r="W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3" t="inlineStr">
        <is>
          <t>aspex;athos;baring;cloudalpha;cpe;dynamic;fund-management;hel;hhlr;ifund;kingboard;martis;millennium;taikang;verition;victory</t>
        </is>
      </c>
      <c r="Y511" s="67" t="n">
        <v>15</v>
      </c>
      <c r="Z511" s="63" t="n"/>
      <c r="AA511" s="72" t="n">
        <v>-1.79</v>
      </c>
      <c r="AB511" s="73" t="n">
        <v>-13.16</v>
      </c>
      <c r="AC511" s="73" t="n">
        <v>13.09</v>
      </c>
      <c r="AD511" s="73" t="n">
        <v>9.949999999999999</v>
      </c>
      <c r="AE511" s="73" t="n">
        <v>2.63</v>
      </c>
      <c r="AF511" s="73" t="n"/>
      <c r="AG511" s="73" t="n">
        <v>11.95</v>
      </c>
      <c r="AH511" s="73" t="n">
        <v>4.5</v>
      </c>
      <c r="AI511" s="73" t="n"/>
      <c r="AJ511" s="73" t="n">
        <v>7.62</v>
      </c>
      <c r="AK511" s="73" t="n">
        <v>-0.09</v>
      </c>
      <c r="AL511" s="73" t="n"/>
      <c r="AM511" s="73" t="n">
        <v>1.78</v>
      </c>
      <c r="AN511" s="73" t="n">
        <v>2.72</v>
      </c>
      <c r="AO511" s="73" t="n">
        <v>2.72</v>
      </c>
      <c r="AP511" s="63" t="inlineStr">
        <is>
          <t>HSTECH (Hang Seng TECH ETF)</t>
        </is>
      </c>
      <c r="AQ511" s="73" t="n">
        <v>-12.79</v>
      </c>
      <c r="AR511" s="64" t="inlineStr">
        <is>
          <t>2026-08-20</t>
        </is>
      </c>
      <c r="AS511" s="65" t="n"/>
      <c r="AT511" s="68" t="n">
        <v>474.8</v>
      </c>
      <c r="AU511" s="63" t="inlineStr">
        <is>
          <t>Y</t>
        </is>
      </c>
      <c r="AV511" s="74" t="n">
        <v>339.4</v>
      </c>
      <c r="AW511" s="74" t="n">
        <v>305.7</v>
      </c>
      <c r="AX511" s="74" t="n">
        <v>301.2</v>
      </c>
      <c r="AY511" s="74" t="n"/>
      <c r="AZ511" s="75" t="inlineStr">
        <is>
          <t>Y</t>
        </is>
      </c>
      <c r="BA511" s="63" t="inlineStr">
        <is>
          <t>301377.SZ</t>
        </is>
      </c>
      <c r="BB511" s="73" t="n">
        <v>43.69</v>
      </c>
      <c r="BC511" s="66" t="n">
        <v>546.0071</v>
      </c>
      <c r="BD511" s="80" t="n">
        <v>0.3173</v>
      </c>
      <c r="BE511" s="78">
        <f>IF('BBG Verify'!Q511="","run on terminal",'BBG Verify'!Q511)</f>
        <v/>
      </c>
      <c r="BF511" s="78">
        <f>IF('BBG Verify'!R511="","run on terminal",'BBG Verify'!R511)</f>
        <v/>
      </c>
      <c r="BG511" s="75" t="inlineStr">
        <is>
          <t>CITIC Securities (Hong Kong) Limited; HSBC Corporate Finance (Hong Kong) Limited</t>
        </is>
      </c>
      <c r="BH511" s="63" t="inlineStr">
        <is>
          <t>HSBC Corporate Finance (Hong Kong) Limited; CITIC Securities (Hong Kong) Limited</t>
        </is>
      </c>
      <c r="BI511" s="63" t="inlineStr">
        <is>
          <t>CLSA Limited; The Hongkong and Shanghai Banking Corporation Limited; ABCI Capital Limited; GF Securities (Hong Kong) Brokerage Limited; Huatai Financial Holdings (Hong Kong) Limited</t>
        </is>
      </c>
      <c r="BJ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7">
        <f>HYPERLINK("https://www1.hkexnews.hk/listedco/listconews/sehk/2026/0630/2026063000041.pdf","prospectus")</f>
        <v/>
      </c>
      <c r="BL511" s="77">
        <f>HYPERLINK("https://www1.hkexnews.hk/listedco/listconews/sehk/2026/0708/2026070801372.pdf","allotment")</f>
        <v/>
      </c>
      <c r="BM511" s="63" t="n"/>
      <c r="BN511" s="75" t="n"/>
      <c r="BO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7" t="n">
        <v>9.84</v>
      </c>
      <c r="W512" s="63" t="inlineStr">
        <is>
          <t>Aurora SF; Beijing Yian Capital Management Co. Ltd; China Hongqiao Group Limited; Hyperion Venture Capital Partners Limited; Luhua Daosheng Group Co., Ltd; Safewell Equipment Limited; Tianto Technology Limited</t>
        </is>
      </c>
      <c r="X512" s="63" t="inlineStr">
        <is>
          <t>aurora;beijing-yian;hongqiao;hyperion;luhua;safewell;tianto</t>
        </is>
      </c>
      <c r="Y512" s="67" t="n"/>
      <c r="Z512" s="63" t="n"/>
      <c r="AA512" s="72" t="n">
        <v>-18.68</v>
      </c>
      <c r="AB512" s="73" t="n">
        <v>-21.26</v>
      </c>
      <c r="AC512" s="73" t="n">
        <v>3.28</v>
      </c>
      <c r="AD512" s="73" t="n">
        <v>-13.22</v>
      </c>
      <c r="AE512" s="73" t="n">
        <v>-3.16</v>
      </c>
      <c r="AF512" s="73" t="n"/>
      <c r="AG512" s="73" t="n">
        <v>6.71</v>
      </c>
      <c r="AH512" s="73" t="n">
        <v>19.09</v>
      </c>
      <c r="AI512" s="73" t="n"/>
      <c r="AJ512" s="73" t="n">
        <v>-14.88</v>
      </c>
      <c r="AK512" s="73" t="n">
        <v>-11.99</v>
      </c>
      <c r="AL512" s="73" t="n"/>
      <c r="AM512" s="73" t="n">
        <v>10.86</v>
      </c>
      <c r="AN512" s="73" t="n">
        <v>8.83</v>
      </c>
      <c r="AO512" s="73" t="n">
        <v>8.23</v>
      </c>
      <c r="AP512" s="63" t="inlineStr">
        <is>
          <t>Hang Seng Commerce &amp; Industry sub-index</t>
        </is>
      </c>
      <c r="AQ512" s="73" t="n">
        <v>-12.36</v>
      </c>
      <c r="AR512" s="64" t="inlineStr">
        <is>
          <t>2026-08-20</t>
        </is>
      </c>
      <c r="AS512" s="65" t="n">
        <v>16320.1</v>
      </c>
      <c r="AT512" s="68" t="n">
        <v>918.8</v>
      </c>
      <c r="AU512" s="63" t="inlineStr">
        <is>
          <t>Y</t>
        </is>
      </c>
      <c r="AV512" s="74" t="n">
        <v>9.4</v>
      </c>
      <c r="AW512" s="74" t="n">
        <v>16</v>
      </c>
      <c r="AX512" s="74" t="n">
        <v>17.8</v>
      </c>
      <c r="AY512" s="74" t="n">
        <v>0.5</v>
      </c>
      <c r="AZ512" s="75" t="inlineStr">
        <is>
          <t>Y</t>
        </is>
      </c>
      <c r="BA512" s="63" t="inlineStr">
        <is>
          <t>601678.SS</t>
        </is>
      </c>
      <c r="BB512" s="73" t="n">
        <v>90.03</v>
      </c>
      <c r="BC512" s="66" t="n">
        <v>6.6132</v>
      </c>
      <c r="BD512" s="80" t="n">
        <v>1.4131</v>
      </c>
      <c r="BE512" s="78">
        <f>IF('BBG Verify'!Q512="","run on terminal",'BBG Verify'!Q512)</f>
        <v/>
      </c>
      <c r="BF512" s="78">
        <f>IF('BBG Verify'!R512="","run on terminal",'BBG Verify'!R512)</f>
        <v/>
      </c>
      <c r="BG512" s="75" t="inlineStr">
        <is>
          <t>Huatai Financial Holdings (Hong Kong) Limited; CCB International Capital Limited</t>
        </is>
      </c>
      <c r="BH512" s="63" t="inlineStr">
        <is>
          <t>CCB International Capital Limited; Huatai Financial Holdings (Hong Kong) Limited</t>
        </is>
      </c>
      <c r="BI512" s="63" t="inlineStr">
        <is>
          <t>Huafu International Securities Limited; Central China International Securities Co., Limited; CMB International Capital Limited; Huatai Financial Holdings (Hong Kong) Limited; CCB International Capital Limited; Zhongtai International Securities Limited</t>
        </is>
      </c>
      <c r="BJ512" s="63" t="inlineStr">
        <is>
          <t>CCB International Capital Limited; Central China International Securities Co., Limited; CMB International Capital Limited; Huatai Financial Holdings (Hong Kong) Limited; Huafu International Securities Limited; Zhongtai International Securities Limited</t>
        </is>
      </c>
      <c r="BK512" s="77">
        <f>HYPERLINK("https://www1.hkexnews.hk/listedco/listconews/sehk/2026/0630/2026063000101.pdf","prospectus")</f>
        <v/>
      </c>
      <c r="BL512" s="77">
        <f>HYPERLINK("https://www1.hkexnews.hk/listedco/listconews/sehk/2026/0709/2026070901273.pdf","allotment")</f>
        <v/>
      </c>
      <c r="BM512" s="63" t="n"/>
      <c r="BN512" s="75" t="n"/>
      <c r="BO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7" t="n">
        <v>5.02</v>
      </c>
      <c r="W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3" t="inlineStr">
        <is>
          <t>chery;universal;china-international;da;gf;goertek;harvest;hefei;hhlr;icbc;ivyrock;ngs;perseverance;pinpoint;psbc;puxin;smartsens;taikang;verition;wt</t>
        </is>
      </c>
      <c r="Y513" s="67" t="n">
        <v>15</v>
      </c>
      <c r="Z513" s="63" t="inlineStr">
        <is>
          <t>partial</t>
        </is>
      </c>
      <c r="AA513" s="72" t="n">
        <v>0</v>
      </c>
      <c r="AB513" s="73" t="n">
        <v>11.46</v>
      </c>
      <c r="AC513" s="73" t="n">
        <v>-10.28</v>
      </c>
      <c r="AD513" s="73" t="n">
        <v>-9.66</v>
      </c>
      <c r="AE513" s="73" t="n">
        <v>-0.12</v>
      </c>
      <c r="AF513" s="73" t="n"/>
      <c r="AG513" s="73" t="n">
        <v>-9.66</v>
      </c>
      <c r="AH513" s="73" t="n">
        <v>-0.12</v>
      </c>
      <c r="AI513" s="73" t="n"/>
      <c r="AJ513" s="73" t="n">
        <v>-7.38</v>
      </c>
      <c r="AK513" s="73" t="n">
        <v>-4</v>
      </c>
      <c r="AL513" s="73" t="n"/>
      <c r="AM513" s="73" t="n">
        <v>-4.14</v>
      </c>
      <c r="AN513" s="73" t="n">
        <v>3.88</v>
      </c>
      <c r="AO513" s="73" t="n">
        <v>4.02</v>
      </c>
      <c r="AP513" s="63" t="inlineStr">
        <is>
          <t>HSTECH (Hang Seng TECH ETF)</t>
        </is>
      </c>
      <c r="AQ513" s="73" t="n">
        <v>-5.57</v>
      </c>
      <c r="AR513" s="64" t="inlineStr">
        <is>
          <t>2026-08-20</t>
        </is>
      </c>
      <c r="AS513" s="65" t="n">
        <v>11427.1</v>
      </c>
      <c r="AT513" s="68" t="n">
        <v>513.1</v>
      </c>
      <c r="AU513" s="63" t="inlineStr">
        <is>
          <t>Y</t>
        </is>
      </c>
      <c r="AV513" s="74" t="n">
        <v>140.7</v>
      </c>
      <c r="AW513" s="74" t="n">
        <v>77.3</v>
      </c>
      <c r="AX513" s="74" t="n">
        <v>87.3</v>
      </c>
      <c r="AY513" s="74" t="n">
        <v>6.3</v>
      </c>
      <c r="AZ513" s="75" t="inlineStr">
        <is>
          <t>Y</t>
        </is>
      </c>
      <c r="BA513" s="63" t="inlineStr">
        <is>
          <t>688249.SS</t>
        </is>
      </c>
      <c r="BB513" s="73" t="n">
        <v>132.6</v>
      </c>
      <c r="BC513" s="66" t="n">
        <v>75.1297</v>
      </c>
      <c r="BD513" s="80" t="n">
        <v>0.547</v>
      </c>
      <c r="BE513" s="78">
        <f>IF('BBG Verify'!Q513="","run on terminal",'BBG Verify'!Q513)</f>
        <v/>
      </c>
      <c r="BF513" s="78">
        <f>IF('BBG Verify'!R513="","run on terminal",'BBG Verify'!R513)</f>
        <v/>
      </c>
      <c r="BG513" s="75" t="inlineStr">
        <is>
          <t>CICC</t>
        </is>
      </c>
      <c r="BH513" s="63" t="inlineStr">
        <is>
          <t>China International Capital Corporation Hong Kong Securities Limited</t>
        </is>
      </c>
      <c r="BI513" s="63" t="inlineStr">
        <is>
          <t>BOCI Asia Limited; ICBC International Securities Limited; Futu Securities International (Hong Kong) Limited</t>
        </is>
      </c>
      <c r="BJ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7">
        <f>HYPERLINK("https://www1.hkexnews.hk/listedco/listconews/sehk/2026/0630/2026063000123.pdf","prospectus")</f>
        <v/>
      </c>
      <c r="BL513" s="77">
        <f>HYPERLINK("https://www1.hkexnews.hk/listedco/listconews/sehk/2026/0709/2026070901289.pdf","allotment")</f>
        <v/>
      </c>
      <c r="BM513" s="77">
        <f>HYPERLINK("https://www1.hkexnews.hk/listedco/listconews/sehk/2026/0806/2026080602039.pdf","stabilisation")</f>
        <v/>
      </c>
      <c r="BN513" s="75" t="n"/>
      <c r="BO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1577300</v>
      </c>
      <c r="R514" s="63" t="inlineStr">
        <is>
          <t>prospectus:stated market capitalisation</t>
        </is>
      </c>
      <c r="S514" s="69" t="n">
        <v>16.84</v>
      </c>
      <c r="T514" s="70" t="n">
        <v>9.73</v>
      </c>
      <c r="U514" s="71" t="n">
        <v>50</v>
      </c>
      <c r="V514" s="67" t="n">
        <v>1.69</v>
      </c>
      <c r="W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3" t="inlineStr">
        <is>
          <t>alibaba;aspex;athos;bcc;black;blackrock;boyu;burkehill;canada;chow;cloudalpha;cpe;general;hao;hhlr;huadeng;huang-river;idg;indus;morgan;jpmorgan;mirae;ngs;ninety;oaktree</t>
        </is>
      </c>
      <c r="Y514" s="67" t="n">
        <v>15</v>
      </c>
      <c r="Z514" s="63" t="n"/>
      <c r="AA514" s="72" t="n">
        <v>-2.04</v>
      </c>
      <c r="AB514" s="73" t="n">
        <v>-0.92</v>
      </c>
      <c r="AC514" s="73" t="n">
        <v>-1.13</v>
      </c>
      <c r="AD514" s="73" t="n">
        <v>17.45</v>
      </c>
      <c r="AE514" s="73" t="n"/>
      <c r="AF514" s="73" t="n"/>
      <c r="AG514" s="73" t="n">
        <v>19.9</v>
      </c>
      <c r="AH514" s="73" t="n"/>
      <c r="AI514" s="73" t="n"/>
      <c r="AJ514" s="73" t="n">
        <v>18.16</v>
      </c>
      <c r="AK514" s="73" t="n"/>
      <c r="AL514" s="73" t="n"/>
      <c r="AM514" s="73" t="n"/>
      <c r="AN514" s="73" t="n"/>
      <c r="AO514" s="73" t="n"/>
      <c r="AP514" s="63" t="inlineStr">
        <is>
          <t>HSTECH (Hang Seng TECH ETF)</t>
        </is>
      </c>
      <c r="AQ514" s="73" t="n">
        <v>12.14</v>
      </c>
      <c r="AR514" s="64" t="inlineStr">
        <is>
          <t>2026-08-20</t>
        </is>
      </c>
      <c r="AS514" s="65" t="n">
        <v>42063.9</v>
      </c>
      <c r="AT514" s="68" t="n">
        <v>12737.7</v>
      </c>
      <c r="AU514" s="63" t="inlineStr">
        <is>
          <t>Y</t>
        </is>
      </c>
      <c r="AV514" s="74" t="n">
        <v>123.8</v>
      </c>
      <c r="AW514" s="74" t="n">
        <v>85.09999999999999</v>
      </c>
      <c r="AX514" s="74" t="n">
        <v>112.4</v>
      </c>
      <c r="AY514" s="74" t="n">
        <v>37.5</v>
      </c>
      <c r="AZ514" s="75" t="inlineStr">
        <is>
          <t>Y</t>
        </is>
      </c>
      <c r="BA514" s="63" t="inlineStr">
        <is>
          <t>300308.SZ</t>
        </is>
      </c>
      <c r="BB514" s="73" t="n">
        <v>12.36</v>
      </c>
      <c r="BC514" s="66" t="n">
        <v>1101.1724</v>
      </c>
      <c r="BD514" s="80" t="n">
        <v>0.004</v>
      </c>
      <c r="BE514" s="78">
        <f>IF('BBG Verify'!Q514="","run on terminal",'BBG Verify'!Q514)</f>
        <v/>
      </c>
      <c r="BF514" s="78">
        <f>IF('BBG Verify'!R514="","run on terminal",'BBG Verify'!R514)</f>
        <v/>
      </c>
      <c r="BG514" s="75" t="inlineStr">
        <is>
          <t>Goldman Sachs (Asia) L.L.C; China International Capital Corporation Hong Kong Securities Limited; Morgan Stanley Asia Limited; GF Capital (Hong Kong) Limited</t>
        </is>
      </c>
      <c r="BH514" s="63" t="inlineStr">
        <is>
          <t>China International Capital Corporation Hong Kong Securities Limited; Morgan Stanley Asia Limited; Goldman Sachs (Asia) L.L.C.; GF Capital (Hong Kong) Limited</t>
        </is>
      </c>
      <c r="BI514" s="63"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7">
        <f>HYPERLINK("https://www1.hkexnews.hk/listedco/listconews/sehk/2026/0722/2026072200013.pdf","prospectus")</f>
        <v/>
      </c>
      <c r="BL514" s="77">
        <f>HYPERLINK("https://www1.hkexnews.hk/listedco/listconews/sehk/2026/0729/2026072901629.pdf","allotment")</f>
        <v/>
      </c>
      <c r="BM514" s="63" t="n"/>
      <c r="BN514" s="75" t="n"/>
      <c r="BO514" s="63"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7" t="n">
        <v>9.68</v>
      </c>
      <c r="W515" s="63" t="n"/>
      <c r="X515" s="63" t="n"/>
      <c r="Y515" s="67" t="n">
        <v>10.12</v>
      </c>
      <c r="Z515" s="63" t="n"/>
      <c r="AA515" s="72" t="n">
        <v>64.11</v>
      </c>
      <c r="AB515" s="73" t="n">
        <v>62.19</v>
      </c>
      <c r="AC515" s="73" t="n">
        <v>1.18</v>
      </c>
      <c r="AD515" s="73" t="n">
        <v>45.3</v>
      </c>
      <c r="AE515" s="73" t="n"/>
      <c r="AF515" s="73" t="n"/>
      <c r="AG515" s="73" t="n">
        <v>-11.46</v>
      </c>
      <c r="AH515" s="73" t="n"/>
      <c r="AI515" s="73" t="n"/>
      <c r="AJ515" s="73" t="n">
        <v>47.27</v>
      </c>
      <c r="AK515" s="73" t="n"/>
      <c r="AL515" s="73" t="n"/>
      <c r="AM515" s="73" t="n"/>
      <c r="AN515" s="73" t="n"/>
      <c r="AO515" s="73" t="n"/>
      <c r="AP515" s="63" t="inlineStr">
        <is>
          <t>Hang Seng Commerce &amp; Industry sub-index</t>
        </is>
      </c>
      <c r="AQ515" s="73" t="n">
        <v>44.05</v>
      </c>
      <c r="AR515" s="64" t="inlineStr">
        <is>
          <t>2026-08-20</t>
        </is>
      </c>
      <c r="AS515" s="65" t="n">
        <v>676</v>
      </c>
      <c r="AT515" s="68" t="n">
        <v>-208.5</v>
      </c>
      <c r="AU515" s="63" t="inlineStr">
        <is>
          <t>N</t>
        </is>
      </c>
      <c r="AV515" s="63" t="inlineStr">
        <is>
          <t>n/m</t>
        </is>
      </c>
      <c r="AW515" s="74" t="n"/>
      <c r="AX515" s="74" t="n"/>
      <c r="AY515" s="74" t="n">
        <v>9.199999999999999</v>
      </c>
      <c r="AZ515" s="75" t="inlineStr">
        <is>
          <t>N</t>
        </is>
      </c>
      <c r="BA515" s="76">
        <f>IF('BBG Verify'!K515="","not filed — run on terminal",'BBG Verify'!K515)</f>
        <v/>
      </c>
      <c r="BB515" s="63" t="inlineStr">
        <is>
          <t>N/A</t>
        </is>
      </c>
      <c r="BC515" s="63" t="inlineStr">
        <is>
          <t>N/A</t>
        </is>
      </c>
      <c r="BD515" s="63" t="inlineStr">
        <is>
          <t>N/A</t>
        </is>
      </c>
      <c r="BE515" s="63" t="inlineStr">
        <is>
          <t>N/A</t>
        </is>
      </c>
      <c r="BF515" s="63" t="inlineStr">
        <is>
          <t>N/A</t>
        </is>
      </c>
      <c r="BG515" s="75" t="inlineStr">
        <is>
          <t>Haitong International Capital Limited; BOCI Asia Limited</t>
        </is>
      </c>
      <c r="BH515" s="63" t="inlineStr">
        <is>
          <t>Haitong International Capital Limited; BOCI Asia Limited</t>
        </is>
      </c>
      <c r="BI515" s="63" t="inlineStr">
        <is>
          <t>Haitong International Securities Company Limited; BOCI Asia Limited; SDIC Securities (Hong Kong) Limited; Orient Securities (Hong Kong) Limited; TradeMaster Securities (Hong Kong) Limited; SPDB International Capital Limited</t>
        </is>
      </c>
      <c r="BJ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7">
        <f>HYPERLINK("https://www1.hkexnews.hk/listedco/listconews/sehk/2026/0730/2026073000009.pdf","prospectus")</f>
        <v/>
      </c>
      <c r="BL515" s="77">
        <f>HYPERLINK("https://www1.hkexnews.hk/listedco/listconews/sehk/2026/0806/2026080602047.pdf","allotment")</f>
        <v/>
      </c>
      <c r="BM515" s="63" t="n"/>
      <c r="BN515" s="75" t="n"/>
      <c r="BO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2" t="inlineStr">
        <is>
          <t>0625</t>
        </is>
      </c>
      <c r="B6" s="82" t="inlineStr">
        <is>
          <t>SHEIN Global Holdings Limited</t>
        </is>
      </c>
      <c r="C6" s="82" t="inlineStr">
        <is>
          <t>希音國際控股有限公司</t>
        </is>
      </c>
      <c r="D6" s="82" t="inlineStr">
        <is>
          <t>Tech/AI</t>
        </is>
      </c>
      <c r="E6" s="7" t="inlineStr">
        <is>
          <t>Internet platform / e-commerce</t>
        </is>
      </c>
      <c r="F6" s="19" t="n">
        <v>15600</v>
      </c>
      <c r="G6" s="19" t="n">
        <v>2000</v>
      </c>
      <c r="H6" s="19" t="n">
        <v>2800</v>
      </c>
      <c r="I6" s="82" t="inlineStr">
        <is>
          <t>estimated (press report: Bloomberg, 2026-08-17)</t>
        </is>
      </c>
      <c r="J6" s="83" t="n">
        <v>47.6</v>
      </c>
      <c r="K6" s="83" t="n">
        <v>49.5</v>
      </c>
      <c r="L6" s="84" t="n"/>
      <c r="M6" s="85" t="n">
        <v>22.5</v>
      </c>
      <c r="N6" s="82" t="inlineStr">
        <is>
          <t>2026-08-24 - 2026-08-27</t>
        </is>
      </c>
      <c r="O6" s="7" t="inlineStr">
        <is>
          <t>OFFERING — closes 2026-08-27</t>
        </is>
      </c>
      <c r="P6" s="7" t="inlineStr">
        <is>
          <t>2026-09-01</t>
        </is>
      </c>
      <c r="Q6" s="82" t="n"/>
      <c r="R6" s="82" t="inlineStr">
        <is>
          <t>N</t>
        </is>
      </c>
      <c r="S6" s="82" t="n"/>
      <c r="T6" s="83" t="n"/>
      <c r="U6" s="84" t="n"/>
      <c r="V6" s="86" t="n"/>
      <c r="W6" s="86" t="n"/>
      <c r="X6" s="82" t="inlineStr">
        <is>
          <t>Goldman Sachs; Morgan Stanley; J.P. Morgan</t>
        </is>
      </c>
      <c r="Y6" s="87">
        <f>HYPERLINK("https://www1.hkexnews.hk/listedco/listconews/sehk/2026/0824/2026082400019.pdf","filing")</f>
        <v/>
      </c>
      <c r="Z6" s="82"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2" t="inlineStr">
        <is>
          <t>Targeting USD 30-40bn valuation (Reuters); syndicate pitching below USD 30bn to ~35bn per SCMP; far below the ~USD 100bn 2022 round. Existing shareholders may sell up to about half the deal.</t>
        </is>
      </c>
    </row>
    <row r="7" ht="15" customHeight="1">
      <c r="A7" s="63" t="n"/>
      <c r="B7" s="63" t="inlineStr">
        <is>
          <t>Xiaohongshu (RedNote)</t>
        </is>
      </c>
      <c r="C7" s="63" t="inlineStr">
        <is>
          <t>小红书</t>
        </is>
      </c>
      <c r="D7" s="63" t="inlineStr">
        <is>
          <t>Tech/AI</t>
        </is>
      </c>
      <c r="E7" s="7" t="inlineStr">
        <is>
          <t>Internet platform / e-commerce</t>
        </is>
      </c>
      <c r="F7" s="19" t="n"/>
      <c r="G7" s="19" t="n"/>
      <c r="H7" s="19" t="n"/>
      <c r="I7" s="63" t="n"/>
      <c r="J7" s="66" t="n"/>
      <c r="K7" s="66" t="n"/>
      <c r="L7" s="74" t="n"/>
      <c r="M7" s="67" t="n"/>
      <c r="N7" s="63" t="n"/>
      <c r="O7" s="7" t="inlineStr">
        <is>
          <t>A1 filed</t>
        </is>
      </c>
      <c r="P7" s="7" t="inlineStr">
        <is>
          <t>2026 H2, as early as year-end 2026</t>
        </is>
      </c>
      <c r="Q7" s="63" t="n"/>
      <c r="R7" s="63" t="inlineStr">
        <is>
          <t>N</t>
        </is>
      </c>
      <c r="S7" s="63" t="n"/>
      <c r="T7" s="66" t="n"/>
      <c r="U7" s="74" t="n"/>
      <c r="V7" s="73" t="n"/>
      <c r="W7" s="73" t="n"/>
      <c r="X7" s="63" t="inlineStr">
        <is>
          <t>Goldman Sachs; CICC</t>
        </is>
      </c>
      <c r="Y7" s="63" t="n"/>
      <c r="Z7" s="63" t="n"/>
      <c r="AA7" s="63"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3" t="n"/>
      <c r="B8" s="63" t="inlineStr">
        <is>
          <t>AgiBot (AgiBot Innovation / Zhiyuan Robotics)</t>
        </is>
      </c>
      <c r="C8" s="63" t="inlineStr">
        <is>
          <t>智元机器人</t>
        </is>
      </c>
      <c r="D8" s="63" t="inlineStr">
        <is>
          <t>Tech/AI</t>
        </is>
      </c>
      <c r="E8" s="7" t="inlineStr">
        <is>
          <t>Robotics &amp; autonomous driving</t>
        </is>
      </c>
      <c r="F8" s="19" t="n">
        <v>7800</v>
      </c>
      <c r="G8" s="19" t="n">
        <v>1000</v>
      </c>
      <c r="H8" s="19" t="n">
        <v>1000</v>
      </c>
      <c r="I8" s="63" t="n"/>
      <c r="J8" s="66" t="n"/>
      <c r="K8" s="66" t="n"/>
      <c r="L8" s="74" t="n"/>
      <c r="M8" s="67" t="n"/>
      <c r="N8" s="63" t="n"/>
      <c r="O8" s="7" t="inlineStr">
        <is>
          <t>A1 filed</t>
        </is>
      </c>
      <c r="P8" s="7" t="inlineStr">
        <is>
          <t>2026 H2 (possibly as early as Aug-Sep 2026)</t>
        </is>
      </c>
      <c r="Q8" s="63" t="n"/>
      <c r="R8" s="63" t="inlineStr">
        <is>
          <t>N</t>
        </is>
      </c>
      <c r="S8" s="63" t="n"/>
      <c r="T8" s="66" t="n"/>
      <c r="U8" s="74" t="n"/>
      <c r="V8" s="73" t="n"/>
      <c r="W8" s="73" t="n"/>
      <c r="X8" s="63" t="inlineStr">
        <is>
          <t>CITIC Securities; CICC; Morgan Stanley</t>
        </is>
      </c>
      <c r="Y8" s="63" t="n"/>
      <c r="Z8" s="63" t="n"/>
      <c r="AA8" s="63" t="inlineStr">
        <is>
          <t>Cornerstone/valuation target HK$40-50bn (~USD 5.1-6.4bn); plans to sell 15-25% of shares, potentially raising &gt;USD 1bn. Last private rounds valued it above RMB 20bn (~USD 3bn) per Caixin.</t>
        </is>
      </c>
    </row>
    <row r="9" ht="15" customHeight="1">
      <c r="A9" s="63" t="n"/>
      <c r="B9" s="63" t="inlineStr">
        <is>
          <t>Moonshot AI</t>
        </is>
      </c>
      <c r="C9" s="63" t="inlineStr">
        <is>
          <t>月之暗面</t>
        </is>
      </c>
      <c r="D9" s="63" t="inlineStr">
        <is>
          <t>Tech/AI</t>
        </is>
      </c>
      <c r="E9" s="7" t="inlineStr">
        <is>
          <t>LLM / foundation model</t>
        </is>
      </c>
      <c r="F9" s="19" t="n"/>
      <c r="G9" s="19" t="n"/>
      <c r="H9" s="19" t="n"/>
      <c r="I9" s="63" t="n"/>
      <c r="J9" s="66" t="n"/>
      <c r="K9" s="66" t="n"/>
      <c r="L9" s="74" t="n"/>
      <c r="M9" s="67" t="n"/>
      <c r="N9" s="63" t="n"/>
      <c r="O9" s="7" t="n"/>
      <c r="P9" s="7" t="inlineStr">
        <is>
          <t>filing 2026 H2; listing as early as end-2026</t>
        </is>
      </c>
      <c r="Q9" s="63" t="n"/>
      <c r="R9" s="63" t="inlineStr">
        <is>
          <t>N</t>
        </is>
      </c>
      <c r="S9" s="63" t="n"/>
      <c r="T9" s="66" t="n"/>
      <c r="U9" s="74" t="n"/>
      <c r="V9" s="73" t="n"/>
      <c r="W9" s="73" t="n"/>
      <c r="X9" s="63" t="n"/>
      <c r="Y9" s="63" t="n"/>
      <c r="Z9" s="63" t="n"/>
      <c r="AA9" s="63" t="inlineStr">
        <is>
          <t>Closed USD 3.5bn round at USD 35bn valuation (Bloomberg, 2026-07-29), up from ~USD 4bn end-2025; in talks for a final pre-IPO round at USD 50bn pre-money (Bloomberg, 2026-07-21).</t>
        </is>
      </c>
    </row>
    <row r="10" ht="15" customHeight="1">
      <c r="A10" s="63" t="n"/>
      <c r="B10" s="63" t="inlineStr">
        <is>
          <t>Sungrow Power Supply</t>
        </is>
      </c>
      <c r="C10" s="63" t="inlineStr">
        <is>
          <t>阳光电源</t>
        </is>
      </c>
      <c r="D10" s="63" t="inlineStr">
        <is>
          <t>Industrials</t>
        </is>
      </c>
      <c r="E10" s="7" t="inlineStr">
        <is>
          <t>Solar / wind supply chain</t>
        </is>
      </c>
      <c r="F10" s="19" t="n"/>
      <c r="G10" s="19" t="n"/>
      <c r="H10" s="19" t="n"/>
      <c r="I10" s="63" t="n"/>
      <c r="J10" s="66" t="n"/>
      <c r="K10" s="66" t="n"/>
      <c r="L10" s="74" t="n"/>
      <c r="M10" s="67" t="n"/>
      <c r="N10" s="63" t="n"/>
      <c r="O10" s="7" t="inlineStr">
        <is>
          <t>A1 filed</t>
        </is>
      </c>
      <c r="P10" s="7" t="inlineStr">
        <is>
          <t>2026 H2 (application refiled Apr 2026, 6-month validity)</t>
        </is>
      </c>
      <c r="Q10" s="63" t="n"/>
      <c r="R10" s="63" t="inlineStr">
        <is>
          <t>Y</t>
        </is>
      </c>
      <c r="S10" s="63" t="inlineStr">
        <is>
          <t>300274.SZ</t>
        </is>
      </c>
      <c r="T10" s="66" t="n"/>
      <c r="U10" s="74" t="n"/>
      <c r="V10" s="73" t="n"/>
      <c r="W10" s="73" t="n"/>
      <c r="X10" s="63" t="inlineStr">
        <is>
          <t>CICC</t>
        </is>
      </c>
      <c r="Y10" s="63" t="n"/>
      <c r="Z10" s="63" t="n"/>
      <c r="AA10" s="63"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2" t="inlineStr">
        <is>
          <t>9615</t>
        </is>
      </c>
      <c r="B11" s="82" t="inlineStr">
        <is>
          <t>Mech-Mind Robotics Technologies Co., Ltd.</t>
        </is>
      </c>
      <c r="C11" s="82" t="inlineStr">
        <is>
          <t>梅卡曼德（雄安）機器人科技股份有限公司</t>
        </is>
      </c>
      <c r="D11" s="82" t="inlineStr">
        <is>
          <t>Tech/AI</t>
        </is>
      </c>
      <c r="E11" s="7" t="inlineStr">
        <is>
          <t>Robotics &amp; autonomous driving</t>
        </is>
      </c>
      <c r="F11" s="19" t="n">
        <v>2340</v>
      </c>
      <c r="G11" s="19" t="n"/>
      <c r="H11" s="19" t="n"/>
      <c r="I11" s="82" t="inlineStr">
        <is>
          <t>estimated (press report: HKEJ, 2026-08-14)</t>
        </is>
      </c>
      <c r="J11" s="83" t="n">
        <v>95.3</v>
      </c>
      <c r="K11" s="83" t="n">
        <v>101.7</v>
      </c>
      <c r="L11" s="84" t="n"/>
      <c r="M11" s="85" t="n"/>
      <c r="N11" s="82" t="inlineStr">
        <is>
          <t>2026-08-24 - 2026-08-27</t>
        </is>
      </c>
      <c r="O11" s="7" t="inlineStr">
        <is>
          <t>OFFERING — closes 2026-08-27</t>
        </is>
      </c>
      <c r="P11" s="7" t="inlineStr">
        <is>
          <t>2026-09-01</t>
        </is>
      </c>
      <c r="Q11" s="82" t="inlineStr">
        <is>
          <t>N</t>
        </is>
      </c>
      <c r="R11" s="82" t="n"/>
      <c r="S11" s="82" t="n"/>
      <c r="T11" s="83" t="n"/>
      <c r="U11" s="84" t="n"/>
      <c r="V11" s="86" t="n"/>
      <c r="W11" s="86" t="n"/>
      <c r="X11" s="82" t="n"/>
      <c r="Y11" s="87">
        <f>HYPERLINK("https://www1.hkexnews.hk/listedco/listconews/sehk/2026/0824/2026082400017.pdf","filing")</f>
        <v/>
      </c>
      <c r="Z11" s="82"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2" t="n"/>
    </row>
    <row r="12" ht="15" customHeight="1">
      <c r="A12" s="63" t="inlineStr">
        <is>
          <t>2523</t>
        </is>
      </c>
      <c r="B12" s="63" t="inlineStr">
        <is>
          <t>EKH LIMITED</t>
        </is>
      </c>
      <c r="C12" s="63" t="n"/>
      <c r="D12" s="63" t="inlineStr">
        <is>
          <t>Industrials</t>
        </is>
      </c>
      <c r="E12" s="7" t="inlineStr">
        <is>
          <t>Logistics</t>
        </is>
      </c>
      <c r="F12" s="19" t="n">
        <v>126</v>
      </c>
      <c r="G12" s="19" t="n"/>
      <c r="H12" s="19" t="n"/>
      <c r="I12" s="63" t="inlineStr">
        <is>
          <t>prospectus: net proceeds at the maximum price</t>
        </is>
      </c>
      <c r="J12" s="66" t="n">
        <v>2.2</v>
      </c>
      <c r="K12" s="66" t="n">
        <v>2.68</v>
      </c>
      <c r="L12" s="74" t="n">
        <v>73.3</v>
      </c>
      <c r="M12" s="67" t="n"/>
      <c r="N12" s="63" t="n"/>
      <c r="O12" s="7" t="inlineStr">
        <is>
          <t>WITHDRAWN — offering pulled 2026-07-08</t>
        </is>
      </c>
      <c r="P12" s="7" t="n"/>
      <c r="Q12" s="63" t="inlineStr">
        <is>
          <t>Y</t>
        </is>
      </c>
      <c r="R12" s="63" t="n"/>
      <c r="S12" s="63" t="n"/>
      <c r="T12" s="66" t="n"/>
      <c r="U12" s="74" t="n"/>
      <c r="V12" s="73" t="n"/>
      <c r="W12" s="73" t="n"/>
      <c r="X12" s="63" t="n"/>
      <c r="Y12" s="63" t="n"/>
      <c r="Z12"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2" s="63" t="n"/>
    </row>
    <row r="13" ht="15" customHeight="1">
      <c r="A13" s="82" t="inlineStr">
        <is>
          <t>3223</t>
        </is>
      </c>
      <c r="B13" s="82" t="inlineStr">
        <is>
          <t>Ingenic Semiconductor Co., Ltd.</t>
        </is>
      </c>
      <c r="C13" s="82" t="inlineStr">
        <is>
          <t>北京君正集成電路股份有限公司</t>
        </is>
      </c>
      <c r="D13" s="82" t="inlineStr">
        <is>
          <t>Tech/AI</t>
        </is>
      </c>
      <c r="E13" s="7" t="inlineStr">
        <is>
          <t>AI chips &amp; semis</t>
        </is>
      </c>
      <c r="F13" s="19" t="n">
        <v>3141.2</v>
      </c>
      <c r="G13" s="19" t="n"/>
      <c r="H13" s="19" t="n"/>
      <c r="I13" s="82" t="inlineStr">
        <is>
          <t>prospectus: net proceeds at the maximum price</t>
        </is>
      </c>
      <c r="J13" s="83" t="n"/>
      <c r="K13" s="83" t="n">
        <v>102.8</v>
      </c>
      <c r="L13" s="84" t="n">
        <v>109.6</v>
      </c>
      <c r="M13" s="85" t="n">
        <v>46.74</v>
      </c>
      <c r="N13" s="82" t="inlineStr">
        <is>
          <t>2026-08-17 - 2026-08-20</t>
        </is>
      </c>
      <c r="O13" s="7" t="inlineStr">
        <is>
          <t>OFFERING — closes 2026-08-20</t>
        </is>
      </c>
      <c r="P13" s="7" t="inlineStr">
        <is>
          <t>2026-08-25</t>
        </is>
      </c>
      <c r="Q13" s="82" t="inlineStr">
        <is>
          <t>Y</t>
        </is>
      </c>
      <c r="R13" s="82" t="inlineStr">
        <is>
          <t>Y</t>
        </is>
      </c>
      <c r="S13" s="82" t="inlineStr">
        <is>
          <t>300223.SZ</t>
        </is>
      </c>
      <c r="T13" s="83" t="n">
        <v>133.66</v>
      </c>
      <c r="U13" s="84" t="n">
        <v>166.18</v>
      </c>
      <c r="V13" s="86" t="n">
        <v>-34</v>
      </c>
      <c r="W13" s="86" t="n">
        <v>51.52</v>
      </c>
      <c r="X13" s="82" t="n"/>
      <c r="Y13" s="87">
        <f>HYPERLINK("https://www1.hkexnews.hk/listedco/listconews/sehk/2026/0817/2026081700003.pdf","filing")</f>
        <v/>
      </c>
      <c r="Z13" s="82"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3" s="82" t="n"/>
    </row>
    <row r="14" ht="15" customHeight="1">
      <c r="A14" s="63" t="n"/>
      <c r="B14" s="63" t="inlineStr">
        <is>
          <t>Excelland Robotics (Wuxi) Co. Ltd.</t>
        </is>
      </c>
      <c r="C14" s="63" t="n"/>
      <c r="D14" s="63" t="inlineStr">
        <is>
          <t>Tech/AI</t>
        </is>
      </c>
      <c r="E14" s="7" t="inlineStr">
        <is>
          <t>Robotics &amp; autonomous driving</t>
        </is>
      </c>
      <c r="F14" s="19" t="n"/>
      <c r="G14" s="19" t="n"/>
      <c r="H14" s="19" t="n"/>
      <c r="I14" s="63" t="n"/>
      <c r="J14" s="66" t="n"/>
      <c r="K14" s="66" t="n"/>
      <c r="L14" s="74" t="n"/>
      <c r="M14" s="67" t="n"/>
      <c r="N14" s="63" t="n"/>
      <c r="O14" s="7" t="inlineStr">
        <is>
          <t>PHIP — hearing cleared</t>
        </is>
      </c>
      <c r="P14" s="7" t="inlineStr">
        <is>
          <t>PHIP 2026-08-24</t>
        </is>
      </c>
      <c r="Q14" s="63" t="inlineStr">
        <is>
          <t>N</t>
        </is>
      </c>
      <c r="R14" s="63" t="n"/>
      <c r="S14" s="63" t="n"/>
      <c r="T14" s="66" t="n"/>
      <c r="U14" s="74" t="n"/>
      <c r="V14" s="73" t="n"/>
      <c r="W14" s="73" t="n"/>
      <c r="X14" s="63" t="inlineStr">
        <is>
          <t>Silver Nile Global Investments Limited</t>
        </is>
      </c>
      <c r="Y14" s="77">
        <f>HYPERLINK("https://www1.hkexnews.hk/app/sehk/2026/108814/documents/sehk26082401690.pdf","filing")</f>
        <v/>
      </c>
      <c r="Z14" s="63"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3" t="inlineStr">
        <is>
          <t>subsector via keyword classifier (provisional); expected size not yet public (PHIP stage) — type it in the blue cell to rank comps on size</t>
        </is>
      </c>
    </row>
    <row r="15" ht="15" customHeight="1">
      <c r="A15" s="63" t="n"/>
      <c r="B15" s="63" t="inlineStr">
        <is>
          <t>Shenzhen Longsys Electronics Co., Ltd.</t>
        </is>
      </c>
      <c r="C15" s="63" t="n"/>
      <c r="D15" s="63" t="inlineStr">
        <is>
          <t>Tech/AI</t>
        </is>
      </c>
      <c r="E15" s="7" t="inlineStr">
        <is>
          <t>Smart hardware / consumer electronics</t>
        </is>
      </c>
      <c r="F15" s="19" t="n"/>
      <c r="G15" s="19" t="n"/>
      <c r="H15" s="19" t="n"/>
      <c r="I15" s="63" t="n"/>
      <c r="J15" s="66" t="n"/>
      <c r="K15" s="66" t="n"/>
      <c r="L15" s="74" t="n"/>
      <c r="M15" s="67" t="n"/>
      <c r="N15" s="63" t="n"/>
      <c r="O15" s="7" t="inlineStr">
        <is>
          <t>PHIP — hearing cleared</t>
        </is>
      </c>
      <c r="P15" s="7" t="inlineStr">
        <is>
          <t>PHIP 2026-08-23</t>
        </is>
      </c>
      <c r="Q15" s="63" t="inlineStr">
        <is>
          <t>N</t>
        </is>
      </c>
      <c r="R15" s="63" t="inlineStr">
        <is>
          <t>Y</t>
        </is>
      </c>
      <c r="S15" s="63" t="n"/>
      <c r="T15" s="66" t="n"/>
      <c r="U15" s="74" t="n"/>
      <c r="V15" s="73" t="n"/>
      <c r="W15" s="73" t="n"/>
      <c r="X15" s="63" t="inlineStr">
        <is>
          <t>CLSA Limited; Citigroup Global Markets Asia Limited</t>
        </is>
      </c>
      <c r="Y15" s="77">
        <f>HYPERLINK("https://www1.hkexnews.hk/app/sehk/2026/108594/documents/sehk26082300062.pdf","filing")</f>
        <v/>
      </c>
      <c r="Z15" s="63"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3"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3" t="n"/>
      <c r="B16" s="63" t="inlineStr">
        <is>
          <t>Medcaptain Medical Technology Co., Ltd.</t>
        </is>
      </c>
      <c r="C16" s="63" t="n"/>
      <c r="D16" s="63" t="inlineStr">
        <is>
          <t>Healthcare</t>
        </is>
      </c>
      <c r="E16" s="7" t="inlineStr">
        <is>
          <t>Medical devices</t>
        </is>
      </c>
      <c r="F16" s="19" t="n"/>
      <c r="G16" s="19" t="n"/>
      <c r="H16" s="19" t="n"/>
      <c r="I16" s="63" t="n"/>
      <c r="J16" s="66" t="n"/>
      <c r="K16" s="66" t="n"/>
      <c r="L16" s="74" t="n"/>
      <c r="M16" s="67" t="n"/>
      <c r="N16" s="63" t="n"/>
      <c r="O16" s="7" t="inlineStr">
        <is>
          <t>PHIP — hearing cleared</t>
        </is>
      </c>
      <c r="P16" s="7" t="inlineStr">
        <is>
          <t>PHIP 2026-08-20</t>
        </is>
      </c>
      <c r="Q16" s="63" t="inlineStr">
        <is>
          <t>Y</t>
        </is>
      </c>
      <c r="R16" s="63" t="n"/>
      <c r="S16" s="63" t="n"/>
      <c r="T16" s="66" t="n"/>
      <c r="U16" s="74" t="n"/>
      <c r="V16" s="73" t="n"/>
      <c r="W16" s="73" t="n"/>
      <c r="X16" s="63" t="n"/>
      <c r="Y16" s="77">
        <f>HYPERLINK("https://www1.hkexnews.hk/app/sehk/2026/108289/documents/sehk26082001648.pdf","filing")</f>
        <v/>
      </c>
      <c r="Z16" s="63"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3" t="inlineStr">
        <is>
          <t>subsector via analyst label; expected size not yet public (PHIP stage) — type it in the blue cell to rank comps on size</t>
        </is>
      </c>
    </row>
    <row r="17" ht="15" customHeight="1">
      <c r="A17" s="63" t="n"/>
      <c r="B17" s="63" t="inlineStr">
        <is>
          <t>Direct Drive Tech Limited</t>
        </is>
      </c>
      <c r="C17" s="63" t="inlineStr">
        <is>
          <t>本末動力（北京）科技股份有限公司</t>
        </is>
      </c>
      <c r="D17" s="63" t="inlineStr">
        <is>
          <t>Tech/AI</t>
        </is>
      </c>
      <c r="E17" s="7" t="inlineStr">
        <is>
          <t>Robotics &amp; autonomous driving</t>
        </is>
      </c>
      <c r="F17" s="19" t="n"/>
      <c r="G17" s="19" t="n"/>
      <c r="H17" s="19" t="n"/>
      <c r="I17" s="63" t="n"/>
      <c r="J17" s="66" t="n"/>
      <c r="K17" s="66" t="n"/>
      <c r="L17" s="74" t="n"/>
      <c r="M17" s="67" t="n"/>
      <c r="N17" s="63" t="n"/>
      <c r="O17" s="7" t="inlineStr">
        <is>
          <t>PHIP — hearing cleared</t>
        </is>
      </c>
      <c r="P17" s="7" t="inlineStr">
        <is>
          <t>PHIP 2026-06-29</t>
        </is>
      </c>
      <c r="Q17" s="63" t="inlineStr">
        <is>
          <t>N</t>
        </is>
      </c>
      <c r="R17" s="63" t="n"/>
      <c r="S17" s="63" t="n"/>
      <c r="T17" s="66" t="n"/>
      <c r="U17" s="74" t="n"/>
      <c r="V17" s="73" t="n"/>
      <c r="W17" s="73" t="n"/>
      <c r="X17" s="63" t="inlineStr">
        <is>
          <t>CLSA Limited</t>
        </is>
      </c>
      <c r="Y17" s="77">
        <f>HYPERLINK("https://www1.hkexnews.hk/app/sehk/2026/108691/documents/sehk26062901536.pdf","filing")</f>
        <v/>
      </c>
      <c r="Z17"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3" t="inlineStr">
        <is>
          <t>subsector via analyst label; expected size not yet public (PHIP stage) — type it in the blue cell to rank comps on size</t>
        </is>
      </c>
    </row>
    <row r="18" ht="15" customHeight="1">
      <c r="A18" s="63" t="n"/>
      <c r="B18" s="63" t="inlineStr">
        <is>
          <t>Tanboer Group Co., Ltd.</t>
        </is>
      </c>
      <c r="C18" s="63" t="n"/>
      <c r="D18" s="63" t="inlineStr">
        <is>
          <t>Consumer</t>
        </is>
      </c>
      <c r="E18" s="7" t="inlineStr">
        <is>
          <t>Apparel / luxury</t>
        </is>
      </c>
      <c r="F18" s="19" t="n">
        <v>780</v>
      </c>
      <c r="G18" s="19" t="n"/>
      <c r="H18" s="19" t="n"/>
      <c r="I18" s="63" t="inlineStr">
        <is>
          <t>estimated (press report: Bamboo Works 2025-10 / Smartkarma 2026)</t>
        </is>
      </c>
      <c r="J18" s="66" t="n"/>
      <c r="K18" s="66" t="n"/>
      <c r="L18" s="74" t="n"/>
      <c r="M18" s="67" t="n"/>
      <c r="N18" s="63" t="n"/>
      <c r="O18" s="7" t="inlineStr">
        <is>
          <t>PHIP — hearing cleared</t>
        </is>
      </c>
      <c r="P18" s="7" t="inlineStr">
        <is>
          <t>PHIP 2026-06-21</t>
        </is>
      </c>
      <c r="Q18" s="63" t="inlineStr">
        <is>
          <t>Y</t>
        </is>
      </c>
      <c r="R18" s="63" t="n"/>
      <c r="S18" s="63" t="n"/>
      <c r="T18" s="66" t="n"/>
      <c r="U18" s="74" t="n"/>
      <c r="V18" s="73" t="n"/>
      <c r="W18" s="73" t="n"/>
      <c r="X18" s="63" t="inlineStr">
        <is>
          <t>China International Capital Corporation Hong Kong Securities Limited</t>
        </is>
      </c>
      <c r="Y18" s="77">
        <f>HYPERLINK("https://www1.hkexnews.hk/app/sehk/2026/108483/documents/sehk26062100126.pdf","filing")</f>
        <v/>
      </c>
      <c r="Z18"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3"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8" t="inlineStr">
        <is>
          <t>Excelland Robotics (Wuxi) Co. Ltd.</t>
        </is>
      </c>
      <c r="B25" s="16" t="inlineStr">
        <is>
          <t>PHIP posted (hearing cleared)</t>
        </is>
      </c>
      <c r="C25" s="16" t="inlineStr">
        <is>
          <t>2026-08-24</t>
        </is>
      </c>
      <c r="D25" s="16" t="inlineStr">
        <is>
          <t>2026-08-24</t>
        </is>
      </c>
      <c r="E25" s="89" t="n">
        <v>0</v>
      </c>
      <c r="F25" s="77">
        <f>HYPERLINK("https://www1.hkexnews.hk/app/sehk/2026/108814/documents/sehk26082401690.pdf","open filing")</f>
        <v/>
      </c>
    </row>
    <row r="26">
      <c r="A26" s="88" t="inlineStr">
        <is>
          <t>Shenzhen Longsys Electronics Co., Ltd.</t>
        </is>
      </c>
      <c r="B26" s="16" t="inlineStr">
        <is>
          <t>PHIP posted (hearing cleared)</t>
        </is>
      </c>
      <c r="C26" s="16" t="inlineStr">
        <is>
          <t>2026-08-23</t>
        </is>
      </c>
      <c r="D26" s="16" t="inlineStr">
        <is>
          <t>2026-08-23</t>
        </is>
      </c>
      <c r="E26" s="89" t="n">
        <v>1</v>
      </c>
      <c r="F26" s="77">
        <f>HYPERLINK("https://www1.hkexnews.hk/app/sehk/2026/108594/documents/sehk26082300062.pdf","open filing")</f>
        <v/>
      </c>
    </row>
    <row r="27">
      <c r="A27" s="88" t="inlineStr">
        <is>
          <t>Medcaptain Medical Technology Co., Ltd.</t>
        </is>
      </c>
      <c r="B27" s="16" t="inlineStr">
        <is>
          <t>PHIP posted (hearing cleared)</t>
        </is>
      </c>
      <c r="C27" s="16" t="inlineStr">
        <is>
          <t>2026-08-20</t>
        </is>
      </c>
      <c r="D27" s="16" t="inlineStr">
        <is>
          <t>2026-08-20</t>
        </is>
      </c>
      <c r="E27" s="89" t="n">
        <v>4</v>
      </c>
      <c r="F27" s="77">
        <f>HYPERLINK("https://www1.hkexnews.hk/app/sehk/2026/108289/documents/sehk26082001648.pdf","open filing")</f>
        <v/>
      </c>
    </row>
    <row r="28">
      <c r="A28" s="88" t="inlineStr">
        <is>
          <t>Mech-Mind Robotics Technologies Co., Ltd.</t>
        </is>
      </c>
      <c r="B28" s="16" t="inlineStr">
        <is>
          <t>PHIP posted (hearing cleared)</t>
        </is>
      </c>
      <c r="C28" s="16" t="inlineStr">
        <is>
          <t>2026-08-16</t>
        </is>
      </c>
      <c r="D28" s="16" t="inlineStr">
        <is>
          <t>2026-08-16</t>
        </is>
      </c>
      <c r="E28" s="89" t="n">
        <v>8</v>
      </c>
      <c r="F28" s="77">
        <f>HYPERLINK("https://www1.hkexnews.hk/app/sehk/2026/108796/documents/sehk26081600030.pdf","open filing")</f>
        <v/>
      </c>
    </row>
    <row r="29">
      <c r="A29" s="88" t="inlineStr">
        <is>
          <t>Ingenic Semiconductor Co., Ltd.</t>
        </is>
      </c>
      <c r="B29" s="16" t="inlineStr">
        <is>
          <t>PHIP posted (hearing cleared)</t>
        </is>
      </c>
      <c r="C29" s="16" t="inlineStr">
        <is>
          <t>2026-08-09</t>
        </is>
      </c>
      <c r="D29" s="16" t="inlineStr">
        <is>
          <t>2026-08-09</t>
        </is>
      </c>
      <c r="E29" s="89" t="n">
        <v>15</v>
      </c>
      <c r="F29" s="77">
        <f>HYPERLINK("https://www1.hkexnews.hk/app/sehk/2026/108571/documents/sehk26080900032.pdf","open filing")</f>
        <v/>
      </c>
    </row>
    <row r="30">
      <c r="A30" s="88" t="inlineStr">
        <is>
          <t>Glorysoft (Shanghai) Co., Ltd.</t>
        </is>
      </c>
      <c r="B30" s="90" t="inlineStr">
        <is>
          <t>PHIP posted (hearing cleared)  [SPONSOR TERMINATED]</t>
        </is>
      </c>
      <c r="C30" s="16" t="inlineStr">
        <is>
          <t>2026-08-07</t>
        </is>
      </c>
      <c r="D30" s="16" t="inlineStr">
        <is>
          <t>2026-08-07</t>
        </is>
      </c>
      <c r="E30" s="89" t="n">
        <v>17</v>
      </c>
      <c r="F30" s="77">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29</v>
      </c>
      <c r="F31" s="77">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56</v>
      </c>
      <c r="F32" s="77">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59</v>
      </c>
      <c r="F33" s="77">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64</v>
      </c>
      <c r="F34" s="77">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9" t="n">
        <v>0</v>
      </c>
      <c r="F35" s="77">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9" t="n">
        <v>0</v>
      </c>
      <c r="F36" s="77">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9" t="n">
        <v>3</v>
      </c>
      <c r="F37" s="77">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9" t="n">
        <v>3</v>
      </c>
      <c r="F38" s="77">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9" t="n">
        <v>3</v>
      </c>
      <c r="F39" s="77">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9" t="n">
        <v>3</v>
      </c>
      <c r="F40" s="77">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9" t="n">
        <v>3</v>
      </c>
      <c r="F41" s="77">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9" t="n">
        <v>3</v>
      </c>
      <c r="F42" s="77">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9" t="n">
        <v>3</v>
      </c>
      <c r="F43" s="77">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9" t="n">
        <v>3</v>
      </c>
      <c r="F44" s="77">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9" t="n">
        <v>3</v>
      </c>
      <c r="F45" s="77">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9" t="n">
        <v>4</v>
      </c>
      <c r="F46" s="77">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9" t="n">
        <v>4</v>
      </c>
      <c r="F47" s="77">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9" t="n">
        <v>4</v>
      </c>
      <c r="F48" s="77">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9" t="n">
        <v>5</v>
      </c>
      <c r="F49" s="77">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9" t="n">
        <v>5</v>
      </c>
      <c r="F50" s="77">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9" t="n">
        <v>6</v>
      </c>
      <c r="F51" s="77">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9" t="n">
        <v>6</v>
      </c>
      <c r="F52" s="77">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9" t="n">
        <v>7</v>
      </c>
      <c r="F53" s="77">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9" t="n">
        <v>10</v>
      </c>
      <c r="F54" s="77">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9" t="n">
        <v>11</v>
      </c>
      <c r="F55" s="77">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9" t="n">
        <v>12</v>
      </c>
      <c r="F56" s="77">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9" t="n">
        <v>13</v>
      </c>
      <c r="F57" s="77">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9" t="n">
        <v>14</v>
      </c>
      <c r="F58" s="77">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9" t="n">
        <v>14</v>
      </c>
      <c r="F59" s="77">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9" t="n">
        <v>17</v>
      </c>
      <c r="F60" s="77">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9" t="n">
        <v>17</v>
      </c>
      <c r="F61" s="77">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9" t="n">
        <v>20</v>
      </c>
      <c r="F62" s="77">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9" t="n">
        <v>22</v>
      </c>
      <c r="F63" s="77">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9" t="n">
        <v>24</v>
      </c>
      <c r="F64" s="77">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2026-08-26</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1.2528</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0.6439</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0.8282</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0.4993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0.2527</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1.4384</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0.6351</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0.0199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1.3202</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0.1823</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0.3091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1.9481</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-0.2914</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0.174</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0.773</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0.297</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0.5778</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0.4158</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0.7721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0.8308</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0.9161</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1.9163</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0.1696</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1.2717</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0.4588</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0.7886</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0.8457</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0.7020999999999999</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1.0375</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0.3247</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-0.0548</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0.8943</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0.194</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1.0576</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2.3146</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0.3801</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-0.1049</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0.2587</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0.9172</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1.14</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0.8776</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1.5195</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0.3763</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1.6441</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0.2816</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0.228</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0.5888</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0.747</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0.3943</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1.1825</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0.3953</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1.28</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0.4954</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0.1257</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1.0859</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0.06469999999999999</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0.2069</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0.3173</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1.4131</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0.547</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1"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1"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1"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1"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1"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1"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1"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1" t="inlineStr">
        <is>
          <t>9678</t>
        </is>
      </c>
      <c r="B79" s="16" t="inlineStr">
        <is>
          <t>UNISOUND</t>
        </is>
      </c>
      <c r="C79" s="16" t="inlineStr">
        <is>
          <t>002230.SZ</t>
        </is>
      </c>
      <c r="D79" s="16" t="inlineStr">
        <is>
          <t>iFlytek</t>
        </is>
      </c>
      <c r="E79" s="2" t="inlineStr">
        <is>
          <t>Direct A-share competitor in voice AI and speech-centric LLMs (Spark model).</t>
        </is>
      </c>
    </row>
    <row r="80">
      <c r="A80" s="91"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1"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1"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1"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1"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36</v>
      </c>
      <c r="C5" s="94" t="n">
        <v>61</v>
      </c>
      <c r="D5" s="95" t="n">
        <v>31.1</v>
      </c>
      <c r="E5" s="95" t="n">
        <v>26.4</v>
      </c>
      <c r="F5" s="95" t="n">
        <v>11.7</v>
      </c>
      <c r="G5" s="95" t="n">
        <v>28.8</v>
      </c>
      <c r="H5" s="95" t="n">
        <v>-3.1</v>
      </c>
      <c r="I5" s="95" t="n">
        <v>-11.9</v>
      </c>
      <c r="J5" s="95" t="n">
        <v>4.9</v>
      </c>
      <c r="K5" s="96"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27</v>
      </c>
      <c r="C8" s="94" t="n">
        <v>70</v>
      </c>
      <c r="D8" s="95" t="n">
        <v>40.1</v>
      </c>
      <c r="E8" s="95" t="n">
        <v>36.2</v>
      </c>
      <c r="F8" s="95" t="n">
        <v>23.8</v>
      </c>
      <c r="G8" s="95" t="n">
        <v>27.8</v>
      </c>
      <c r="H8" s="95" t="n">
        <v>-2</v>
      </c>
      <c r="I8" s="95" t="n">
        <v>-9.4</v>
      </c>
      <c r="J8" s="95" t="n">
        <v>-4.7</v>
      </c>
      <c r="K8" s="96"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39.4</v>
      </c>
      <c r="G9" s="95" t="n">
        <v>67.59999999999999</v>
      </c>
      <c r="H9" s="95" t="n">
        <v>1</v>
      </c>
      <c r="I9" s="95" t="n">
        <v>-1.3</v>
      </c>
      <c r="J9" s="95" t="n">
        <v>14.9</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88.90000000000001</v>
      </c>
      <c r="H10" s="95" t="n">
        <v>4.1</v>
      </c>
      <c r="I10" s="95" t="n">
        <v>1</v>
      </c>
      <c r="J10" s="95" t="n">
        <v>56.5</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9" t="n">
        <v>15</v>
      </c>
      <c r="C14" s="94" t="n">
        <v>60</v>
      </c>
      <c r="D14" s="95" t="n">
        <v>17.8</v>
      </c>
      <c r="E14" s="95" t="n">
        <v>13.3</v>
      </c>
      <c r="F14" s="95" t="n">
        <v>17.6</v>
      </c>
      <c r="G14" s="95" t="n">
        <v>-11.6</v>
      </c>
      <c r="H14" s="95" t="n">
        <v>-3.6</v>
      </c>
      <c r="I14" s="95" t="n">
        <v>-0</v>
      </c>
      <c r="J14" s="95" t="n">
        <v>-26.8</v>
      </c>
      <c r="K14" s="96"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9" t="n">
        <v>14</v>
      </c>
      <c r="C15" s="94" t="n">
        <v>64</v>
      </c>
      <c r="D15" s="95" t="n">
        <v>65.09999999999999</v>
      </c>
      <c r="E15" s="95" t="n">
        <v>67.8</v>
      </c>
      <c r="F15" s="95" t="n">
        <v>45.1</v>
      </c>
      <c r="G15" s="95" t="n">
        <v>21.4</v>
      </c>
      <c r="H15" s="95" t="n">
        <v>0.9</v>
      </c>
      <c r="I15" s="95" t="n">
        <v>-8.9</v>
      </c>
      <c r="J15" s="95" t="n">
        <v>-13.6</v>
      </c>
      <c r="K15" s="96"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9" t="n">
        <v>14</v>
      </c>
      <c r="C16" s="94" t="n">
        <v>93</v>
      </c>
      <c r="D16" s="95" t="n">
        <v>28.4</v>
      </c>
      <c r="E16" s="95" t="n">
        <v>25.5</v>
      </c>
      <c r="F16" s="95" t="n">
        <v>27.4</v>
      </c>
      <c r="G16" s="95" t="n">
        <v>118.4</v>
      </c>
      <c r="H16" s="95" t="n">
        <v>-1</v>
      </c>
      <c r="I16" s="95" t="n">
        <v>1.1</v>
      </c>
      <c r="J16" s="95" t="n">
        <v>56.5</v>
      </c>
      <c r="K16" s="96"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-3.3</v>
      </c>
      <c r="G22" s="95" t="n">
        <v>-12.7</v>
      </c>
      <c r="H22" s="95" t="n">
        <v>-2.4</v>
      </c>
      <c r="I22" s="95" t="n">
        <v>-4.8</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32.5</v>
      </c>
      <c r="G24" s="95" t="n">
        <v>72.09999999999999</v>
      </c>
      <c r="H24" s="95" t="n">
        <v>-1.2</v>
      </c>
      <c r="I24" s="95" t="n">
        <v>-1.8</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Oaktree Capital Management, L.P</t>
        </is>
      </c>
      <c r="B27" s="89" t="n">
        <v>11</v>
      </c>
      <c r="C27" s="94" t="n">
        <v>55</v>
      </c>
      <c r="D27" s="95" t="n">
        <v>6.4</v>
      </c>
      <c r="E27" s="95" t="n">
        <v>17.8</v>
      </c>
      <c r="F27" s="95" t="n">
        <v>16.1</v>
      </c>
      <c r="G27" s="95" t="n">
        <v>34.2</v>
      </c>
      <c r="H27" s="95" t="n">
        <v>11.1</v>
      </c>
      <c r="I27" s="95" t="n">
        <v>5.8</v>
      </c>
      <c r="J27" s="95" t="n">
        <v>19</v>
      </c>
      <c r="K27" s="96" t="inlineStr">
        <is>
          <t>2618 JD LOGISTICS; 1880 CTG DUTY-FREE; 2460 CR BEVERAGE; 3750 CATL; 1276 HENGRUI PHARMA; 6031 SANY HEAVY IND; 3696 INSILICO; 0470 WUXI LEAD; 3952 LAIFUAL; 6880 MOMENTA-W; 3308 ZJ INNOLIGHT</t>
        </is>
      </c>
    </row>
    <row r="28">
      <c r="A28" s="16" t="inlineStr">
        <is>
          <t>BlackRock, Inc</t>
        </is>
      </c>
      <c r="B28" s="89" t="n">
        <v>10</v>
      </c>
      <c r="C28" s="94" t="n">
        <v>60</v>
      </c>
      <c r="D28" s="95" t="n">
        <v>72.5</v>
      </c>
      <c r="E28" s="95" t="n">
        <v>73.59999999999999</v>
      </c>
      <c r="F28" s="95" t="n">
        <v>40.3</v>
      </c>
      <c r="G28" s="95" t="n">
        <v>11.8</v>
      </c>
      <c r="H28" s="95" t="n">
        <v>-0.1</v>
      </c>
      <c r="I28" s="95" t="n">
        <v>-17.4</v>
      </c>
      <c r="J28" s="95" t="n">
        <v>-31.6</v>
      </c>
      <c r="K28" s="96" t="inlineStr">
        <is>
          <t>1024 KUAISHOU-W; 9959 LINKLOGIS–W; 9960 KINDSTAR GLOBAL; 2256 ABBISKO-B; 6031 SANY HEAVY IND; 1879 XIZHI TECH-P; 7666 METIS TECHBIO-P; 6715 XUNLONG SCITECH; 6880 MOMENTA-W; 3308 ZJ INNOLIGHT</t>
        </is>
      </c>
    </row>
    <row r="29">
      <c r="A29" s="16" t="inlineStr">
        <is>
          <t>Aspex Master Fund</t>
        </is>
      </c>
      <c r="B29" s="89" t="n">
        <v>10</v>
      </c>
      <c r="C29" s="94" t="n">
        <v>60</v>
      </c>
      <c r="D29" s="95" t="n">
        <v>62.6</v>
      </c>
      <c r="E29" s="95" t="n">
        <v>75.90000000000001</v>
      </c>
      <c r="F29" s="95" t="n">
        <v>63.7</v>
      </c>
      <c r="G29" s="95" t="n">
        <v>121.1</v>
      </c>
      <c r="H29" s="95" t="n">
        <v>9.1</v>
      </c>
      <c r="I29" s="95" t="n">
        <v>0.7</v>
      </c>
      <c r="J29" s="95" t="n">
        <v>33.4</v>
      </c>
      <c r="K29" s="96" t="inlineStr">
        <is>
          <t>6609 HEARTCARE-B; 2252 MEDBOT-B; 1519 J&amp;T EXPRESS-W; 6082 BIREN TECH; 0100 MINIMAX-WP; 6809 MONTAGE TECH; 1879 XIZHI TECH-P; 0668 ANKER; 1377 DTECH; 3308 ZJ INNOLIGHT</t>
        </is>
      </c>
    </row>
    <row r="30">
      <c r="A30" s="16" t="inlineStr">
        <is>
          <t>Mega Prime Development Limited</t>
        </is>
      </c>
      <c r="B30" s="89" t="n">
        <v>10</v>
      </c>
      <c r="C30" s="94" t="n">
        <v>90</v>
      </c>
      <c r="D30" s="95" t="n">
        <v>38.1</v>
      </c>
      <c r="E30" s="95" t="n">
        <v>43.7</v>
      </c>
      <c r="F30" s="95" t="n">
        <v>42</v>
      </c>
      <c r="G30" s="95" t="n">
        <v>61.8</v>
      </c>
      <c r="H30" s="95" t="n">
        <v>4.7</v>
      </c>
      <c r="I30" s="95" t="n">
        <v>4.8</v>
      </c>
      <c r="J30" s="95" t="n">
        <v>22.1</v>
      </c>
      <c r="K30" s="96" t="inlineStr">
        <is>
          <t>9879 MIGAO GROUP; 1318 MAO GEPING; 2050 SANHUA; 6603 IFBH; 1304 FORTIOR; 2657 FOREST CABIN; 2675 EDGE MEDICAL-B; 2476 VGT; 1609 STAR SPORTS MED; 1779 LONGBIO-B</t>
        </is>
      </c>
    </row>
    <row r="31">
      <c r="A31" s="16" t="inlineStr">
        <is>
          <t>Value Partners Hong Kong Limited</t>
        </is>
      </c>
      <c r="B31" s="89" t="n">
        <v>10</v>
      </c>
      <c r="C31" s="94" t="n">
        <v>80</v>
      </c>
      <c r="D31" s="95" t="n">
        <v>34</v>
      </c>
      <c r="E31" s="95" t="n">
        <v>33.9</v>
      </c>
      <c r="F31" s="95" t="n">
        <v>25.4</v>
      </c>
      <c r="G31" s="95" t="n">
        <v>49.1</v>
      </c>
      <c r="H31" s="95" t="n">
        <v>-0.6</v>
      </c>
      <c r="I31" s="95" t="n">
        <v>-5.6</v>
      </c>
      <c r="J31" s="95" t="n">
        <v>9.4</v>
      </c>
      <c r="K31" s="96" t="inlineStr">
        <is>
          <t>2285 CHERVON; 1497 YAN PALACE; 3288 HAITIAN FLAV; 2595 GENFLEET-B; 1989 DELTON; 3277 GPIXEL; 1779 LONGBIO-B; 3661 SG MICRO; 1688 LINGYI ITECH; 0668 ANKER</t>
        </is>
      </c>
    </row>
    <row r="32">
      <c r="A32" s="16" t="inlineStr">
        <is>
          <t>LAV Star Opportunities Limited</t>
        </is>
      </c>
      <c r="B32" s="89" t="n">
        <v>10</v>
      </c>
      <c r="C32" s="94" t="n">
        <v>50</v>
      </c>
      <c r="D32" s="95" t="n">
        <v>22.8</v>
      </c>
      <c r="E32" s="95" t="n">
        <v>26.1</v>
      </c>
      <c r="F32" s="95" t="n">
        <v>12.5</v>
      </c>
      <c r="G32" s="95" t="n">
        <v>4.7</v>
      </c>
      <c r="H32" s="95" t="n">
        <v>3.5</v>
      </c>
      <c r="I32" s="95" t="n">
        <v>-9.199999999999999</v>
      </c>
      <c r="J32" s="95" t="n">
        <v>-17.6</v>
      </c>
      <c r="K32" s="96" t="inlineStr">
        <is>
          <t>2171 CARSGEN-B; 2162 KEYMED BIO-B; 6628 TRANSCENTA-B; 2256 ABBISKO-B; 2235 MICROTECH MED-B; 2252 MEDBOT-B; 2251 AIRDOC-B; 2279 YONGHE MEDICAL; 9606 DUALITYBIO-B; 7630 IMPACT THERAP-B</t>
        </is>
      </c>
    </row>
    <row r="33">
      <c r="A33" s="16" t="inlineStr">
        <is>
          <t>Foresight Funds</t>
        </is>
      </c>
      <c r="B33" s="89" t="n">
        <v>10</v>
      </c>
      <c r="C33" s="94" t="n">
        <v>60</v>
      </c>
      <c r="D33" s="95" t="n">
        <v>15.1</v>
      </c>
      <c r="E33" s="95" t="n">
        <v>14.7</v>
      </c>
      <c r="F33" s="95" t="n">
        <v>15.9</v>
      </c>
      <c r="G33" s="95" t="n">
        <v>-0.4</v>
      </c>
      <c r="H33" s="95" t="n">
        <v>0.7</v>
      </c>
      <c r="I33" s="95" t="n">
        <v>4.5</v>
      </c>
      <c r="J33" s="95" t="n">
        <v>-11.4</v>
      </c>
      <c r="K33" s="96"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9" t="n">
        <v>9</v>
      </c>
      <c r="C34" s="94" t="n">
        <v>67</v>
      </c>
      <c r="D34" s="95" t="n">
        <v>61.7</v>
      </c>
      <c r="E34" s="95" t="n">
        <v>74.90000000000001</v>
      </c>
      <c r="F34" s="95" t="n">
        <v>61.5</v>
      </c>
      <c r="G34" s="95" t="n">
        <v>182.3</v>
      </c>
      <c r="H34" s="95" t="n">
        <v>0.8</v>
      </c>
      <c r="I34" s="95" t="n">
        <v>-1.4</v>
      </c>
      <c r="J34" s="95" t="n">
        <v>44.8</v>
      </c>
      <c r="K34" s="96" t="inlineStr">
        <is>
          <t>2155 MORIMATSU INTL; 6669 ACOTEC-B; 6990 SKB BIO-B; 0100 MINIMAX-WP; 9630 CFMEE; 9637 ALEBUND-B; 2475 LUXSHARE ICT; 6951 CCTC; 2249 NEXCHIP</t>
        </is>
      </c>
    </row>
    <row r="35">
      <c r="A35" s="16" t="inlineStr">
        <is>
          <t>Morgan Stanley &amp; Co. International plc</t>
        </is>
      </c>
      <c r="B35" s="89" t="n">
        <v>9</v>
      </c>
      <c r="C35" s="94" t="n">
        <v>56</v>
      </c>
      <c r="D35" s="95" t="n">
        <v>18.2</v>
      </c>
      <c r="E35" s="95" t="n">
        <v>20.4</v>
      </c>
      <c r="F35" s="95" t="n">
        <v>17.6</v>
      </c>
      <c r="G35" s="95" t="n">
        <v>63</v>
      </c>
      <c r="H35" s="95" t="n">
        <v>1.6</v>
      </c>
      <c r="I35" s="95" t="n">
        <v>-3.6</v>
      </c>
      <c r="J35" s="95" t="n">
        <v>26.4</v>
      </c>
      <c r="K35" s="96" t="inlineStr">
        <is>
          <t>2561 VISEN PHARMA-B; 2050 SANHUA; 6166 CIG; 3200 HANS CNC; 6809 MONTAGE TECH; 1021 HUAYAN ROBOTICS; 2476 VGT; 1688 LINGYI ITECH; 3308 ZJ INNOLIGHT</t>
        </is>
      </c>
    </row>
    <row r="36">
      <c r="A36" s="16" t="inlineStr">
        <is>
          <t>Suzhou Harvest International Co., Limited</t>
        </is>
      </c>
      <c r="B36" s="89" t="n">
        <v>9</v>
      </c>
      <c r="C36" s="94" t="n">
        <v>33</v>
      </c>
      <c r="D36" s="95" t="n">
        <v>16.7</v>
      </c>
      <c r="E36" s="95" t="n">
        <v>8.4</v>
      </c>
      <c r="F36" s="95" t="n">
        <v>5.9</v>
      </c>
      <c r="G36" s="95" t="n">
        <v>44.6</v>
      </c>
      <c r="H36" s="95" t="n">
        <v>-5.2</v>
      </c>
      <c r="I36" s="95" t="n">
        <v>-10.1</v>
      </c>
      <c r="J36" s="95" t="n">
        <v>-0.4</v>
      </c>
      <c r="K36" s="96" t="inlineStr">
        <is>
          <t>2152 SUXIN SERVICES; 2479 TIANJUDIHE; 2561 VISEN PHARMA-B; 9606 DUALITYBIO-B; 2630 VIGONVITA-B; 2581 BENQ HOLDING; 2692 ZHAOWEI; 6880 MOMENTA-W; 0537 RIGOL</t>
        </is>
      </c>
    </row>
    <row r="37">
      <c r="A37" s="16" t="inlineStr">
        <is>
          <t>Sage Partners Master Fund</t>
        </is>
      </c>
      <c r="B37" s="89" t="n">
        <v>9</v>
      </c>
      <c r="C37" s="94" t="n">
        <v>56</v>
      </c>
      <c r="D37" s="95" t="n">
        <v>16.4</v>
      </c>
      <c r="E37" s="95" t="n">
        <v>8.5</v>
      </c>
      <c r="F37" s="95" t="n">
        <v>14.3</v>
      </c>
      <c r="G37" s="95" t="n">
        <v>-7</v>
      </c>
      <c r="H37" s="95" t="n">
        <v>-4.7</v>
      </c>
      <c r="I37" s="95" t="n">
        <v>6.4</v>
      </c>
      <c r="J37" s="95" t="n">
        <v>-24.3</v>
      </c>
      <c r="K37" s="96" t="inlineStr">
        <is>
          <t>2190 ZYLOXTB-B; 2162 KEYMED BIO-B; 2137 BRII - B; 6609 HEARTCARE-B; 2235 MICROTECH MED-B; 2273 GUSHENGTANG; 2675 EDGE MEDICAL-B; 7666 METIS TECHBIO-P; 6132 HJ SCIENCE-B</t>
        </is>
      </c>
    </row>
    <row r="38">
      <c r="A38" s="16" t="inlineStr">
        <is>
          <t>FIL Investment Management (Hong Kong) Limited</t>
        </is>
      </c>
      <c r="B38" s="89" t="n">
        <v>8</v>
      </c>
      <c r="C38" s="94" t="n">
        <v>75</v>
      </c>
      <c r="D38" s="95" t="n">
        <v>72.5</v>
      </c>
      <c r="E38" s="95" t="n">
        <v>81.40000000000001</v>
      </c>
      <c r="F38" s="95" t="n">
        <v>51.9</v>
      </c>
      <c r="G38" s="95" t="n">
        <v>31.5</v>
      </c>
      <c r="H38" s="95" t="n">
        <v>2.1</v>
      </c>
      <c r="I38" s="95" t="n">
        <v>-4.6</v>
      </c>
      <c r="J38" s="95" t="n">
        <v>-19.7</v>
      </c>
      <c r="K38" s="96" t="inlineStr">
        <is>
          <t>1024 KUAISHOU-W; 2192 MEDLIVE; 2657 FOREST CABIN; 2714 MUYUAN; 1879 XIZHI TECH-P; 6880 MOMENTA-W; 7687 EACON; 2475 LUXSHARE ICT</t>
        </is>
      </c>
    </row>
    <row r="39">
      <c r="A39" s="16" t="inlineStr">
        <is>
          <t>China Asset Management (Hong Kong) Limited</t>
        </is>
      </c>
      <c r="B39" s="89" t="n">
        <v>8</v>
      </c>
      <c r="C39" s="94" t="n">
        <v>88</v>
      </c>
      <c r="D39" s="95" t="n">
        <v>54.4</v>
      </c>
      <c r="E39" s="95" t="n">
        <v>49.6</v>
      </c>
      <c r="F39" s="95" t="n">
        <v>30.7</v>
      </c>
      <c r="G39" s="95" t="n">
        <v>17.5</v>
      </c>
      <c r="H39" s="95" t="n">
        <v>-1.1</v>
      </c>
      <c r="I39" s="95" t="n">
        <v>-12.8</v>
      </c>
      <c r="J39" s="95" t="n">
        <v>-25.6</v>
      </c>
      <c r="K39" s="96" t="inlineStr">
        <is>
          <t>2160 CARDIOFLOW-B; 2675 EDGE MEDICAL-B; 6938 RIBOLIFE-B; 3636 JINXUN RESOURCE; 3277 GPIXEL; 7666 METIS TECHBIO-P; 7688 TOPNC; 6880 MOMENTA-W</t>
        </is>
      </c>
    </row>
    <row r="40">
      <c r="A40" s="16" t="inlineStr">
        <is>
          <t>E Fund Management Co., Ltd</t>
        </is>
      </c>
      <c r="B40" s="89" t="n">
        <v>8</v>
      </c>
      <c r="C40" s="94" t="n">
        <v>88</v>
      </c>
      <c r="D40" s="95" t="n">
        <v>49.1</v>
      </c>
      <c r="E40" s="95" t="n">
        <v>54.3</v>
      </c>
      <c r="F40" s="95" t="n">
        <v>47.8</v>
      </c>
      <c r="G40" s="95" t="n">
        <v>92.5</v>
      </c>
      <c r="H40" s="95" t="n">
        <v>5.1</v>
      </c>
      <c r="I40" s="95" t="n">
        <v>2.7</v>
      </c>
      <c r="J40" s="95" t="n">
        <v>23.9</v>
      </c>
      <c r="K40" s="96" t="inlineStr">
        <is>
          <t>9606 DUALITYBIO-B; 2698 SOFTCARE; 3696 INSILICO; 9611 LONGCHEER; 3277 GPIXEL; 1191 CREALIGHTS; 9637 ALEBUND-B; 1377 DTECH</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11</v>
      </c>
      <c r="H44" s="95" t="n">
        <v>3.7</v>
      </c>
      <c r="I44" s="95" t="n">
        <v>7.8</v>
      </c>
      <c r="J44" s="95" t="n">
        <v>-2.4</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17.7</v>
      </c>
      <c r="G54" s="95" t="n">
        <v>21.2</v>
      </c>
      <c r="H54" s="95" t="n">
        <v>-3.4</v>
      </c>
      <c r="I54" s="95" t="n">
        <v>-8.5</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11.7</v>
      </c>
      <c r="G58" s="95" t="n">
        <v>-1.1</v>
      </c>
      <c r="H58" s="95" t="n">
        <v>9.300000000000001</v>
      </c>
      <c r="I58" s="95" t="n">
        <v>3</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2.7</v>
      </c>
      <c r="H63" s="95" t="n">
        <v>-0.3</v>
      </c>
      <c r="I63" s="95" t="n">
        <v>3</v>
      </c>
      <c r="J63" s="95" t="n">
        <v>-0.9</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65.09999999999999</v>
      </c>
      <c r="G65" s="95" t="n">
        <v>97.40000000000001</v>
      </c>
      <c r="H65" s="95" t="n">
        <v>7.8</v>
      </c>
      <c r="I65" s="95" t="n">
        <v>-10.5</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31.3</v>
      </c>
      <c r="G68" s="95" t="n">
        <v>5.5</v>
      </c>
      <c r="H68" s="95" t="n">
        <v>-9.800000000000001</v>
      </c>
      <c r="I68" s="95" t="n">
        <v>-32.1</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172</v>
      </c>
      <c r="H71" s="95" t="n">
        <v>8.4</v>
      </c>
      <c r="I71" s="95" t="n">
        <v>19.5</v>
      </c>
      <c r="J71" s="95" t="n">
        <v>75.90000000000001</v>
      </c>
      <c r="K71" s="96" t="inlineStr">
        <is>
          <t>2050 SANHUA; 9973 CHERY AUTO; 0100 MINIMAX-WP; 3388 CREALITY; 1377 DTECH</t>
        </is>
      </c>
    </row>
    <row r="72">
      <c r="A72" s="16" t="inlineStr">
        <is>
          <t>China Southern Asset Management Co., Ltd</t>
        </is>
      </c>
      <c r="B72" s="89" t="n">
        <v>5</v>
      </c>
      <c r="C72" s="94" t="n">
        <v>60</v>
      </c>
      <c r="D72" s="95" t="n">
        <v>23.8</v>
      </c>
      <c r="E72" s="95" t="n">
        <v>30.3</v>
      </c>
      <c r="F72" s="95" t="n">
        <v>20.3</v>
      </c>
      <c r="G72" s="95" t="n">
        <v>56.5</v>
      </c>
      <c r="H72" s="95" t="n">
        <v>3.5</v>
      </c>
      <c r="I72" s="95" t="n">
        <v>-6.1</v>
      </c>
      <c r="J72" s="95" t="n">
        <v>19</v>
      </c>
      <c r="K72" s="96" t="inlineStr">
        <is>
          <t>2171 CARSGEN-B; 2150 NAYUKI; 6181 LAOPU GOLD; 6603 IFBH; 2698 SOFTCARE</t>
        </is>
      </c>
    </row>
    <row r="73">
      <c r="A73" s="16" t="inlineStr">
        <is>
          <t>MY Asian Opportunities Master Fund, L.P</t>
        </is>
      </c>
      <c r="B73" s="89" t="n">
        <v>5</v>
      </c>
      <c r="C73" s="94" t="n">
        <v>60</v>
      </c>
      <c r="D73" s="95" t="n">
        <v>18</v>
      </c>
      <c r="E73" s="95" t="n">
        <v>20.7</v>
      </c>
      <c r="F73" s="95" t="n">
        <v>40.8</v>
      </c>
      <c r="G73" s="95" t="n">
        <v>56.9</v>
      </c>
      <c r="H73" s="95" t="n">
        <v>2.7</v>
      </c>
      <c r="I73" s="95" t="n">
        <v>17.5</v>
      </c>
      <c r="J73" s="95" t="n">
        <v>28.7</v>
      </c>
      <c r="K73" s="96" t="inlineStr">
        <is>
          <t>0300 MIDEA GROUP; 0470 WUXI LEAD; 1989 DELTON; 2476 VGT; 2475 LUXSHARE ICT</t>
        </is>
      </c>
    </row>
    <row r="74">
      <c r="A74" s="16" t="inlineStr">
        <is>
          <t>Dreamee HK Fund</t>
        </is>
      </c>
      <c r="B74" s="89" t="n">
        <v>5</v>
      </c>
      <c r="C74" s="94" t="n">
        <v>20</v>
      </c>
      <c r="D74" s="95" t="n">
        <v>14.2</v>
      </c>
      <c r="E74" s="95" t="n">
        <v>20.1</v>
      </c>
      <c r="F74" s="95" t="n">
        <v>31.3</v>
      </c>
      <c r="G74" s="95" t="n">
        <v>33.4</v>
      </c>
      <c r="H74" s="95" t="n">
        <v>8.199999999999999</v>
      </c>
      <c r="I74" s="95" t="n">
        <v>4.5</v>
      </c>
      <c r="J74" s="95" t="n">
        <v>9.6</v>
      </c>
      <c r="K74" s="96" t="inlineStr">
        <is>
          <t>0638 FIBOCOM; 2676 NOVOSENSE; 2655 GUOXIA TECH; 2715 ESTUN; 3952 LAIFUAL</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35.3</v>
      </c>
      <c r="G95" s="95" t="n">
        <v>-3.4</v>
      </c>
      <c r="H95" s="95" t="n">
        <v>0.9</v>
      </c>
      <c r="I95" s="95" t="n">
        <v>3.8</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31.5</v>
      </c>
      <c r="G100" s="95" t="n">
        <v>-10</v>
      </c>
      <c r="H100" s="95" t="n">
        <v>3.4</v>
      </c>
      <c r="I100" s="95" t="n">
        <v>6.7</v>
      </c>
      <c r="J100" s="95" t="n">
        <v>-29.7</v>
      </c>
      <c r="K100" s="96" t="inlineStr">
        <is>
          <t>0013 HUTCHMED; 1228 CANBRIDGE-B; 2268 WUXI XDC; 3308 ZJ INNOLIGHT</t>
        </is>
      </c>
    </row>
    <row r="101">
      <c r="A101" s="16" t="inlineStr">
        <is>
          <t>Infini Global Master Fund</t>
        </is>
      </c>
      <c r="B101" s="89" t="n">
        <v>4</v>
      </c>
      <c r="C101" s="94" t="n">
        <v>75</v>
      </c>
      <c r="D101" s="95" t="n">
        <v>12.6</v>
      </c>
      <c r="E101" s="95" t="n">
        <v>28.5</v>
      </c>
      <c r="F101" s="95" t="n">
        <v>55.6</v>
      </c>
      <c r="G101" s="95" t="n">
        <v>66.2</v>
      </c>
      <c r="H101" s="95" t="n">
        <v>12.3</v>
      </c>
      <c r="I101" s="95" t="n">
        <v>35.6</v>
      </c>
      <c r="J101" s="95" t="n">
        <v>48.5</v>
      </c>
      <c r="K101" s="96" t="inlineStr">
        <is>
          <t>2643 CAOCAO INC; 6613 LENS; 3696 INSILICO; 2675 EDGE MEDICAL-B</t>
        </is>
      </c>
    </row>
    <row r="102">
      <c r="A102" s="16" t="inlineStr">
        <is>
          <t>SensePower Management Limited</t>
        </is>
      </c>
      <c r="B102" s="89" t="n">
        <v>4</v>
      </c>
      <c r="C102" s="94" t="n">
        <v>50</v>
      </c>
      <c r="D102" s="95" t="n">
        <v>10.4</v>
      </c>
      <c r="E102" s="95" t="n">
        <v>8.6</v>
      </c>
      <c r="F102" s="95" t="n">
        <v>20.4</v>
      </c>
      <c r="G102" s="95" t="n">
        <v>34.5</v>
      </c>
      <c r="H102" s="95" t="n">
        <v>-0.2</v>
      </c>
      <c r="I102" s="95" t="n">
        <v>9.6</v>
      </c>
      <c r="J102" s="95" t="n">
        <v>22.3</v>
      </c>
      <c r="K102" s="96" t="inlineStr">
        <is>
          <t>6626 YUEXIU SERVICES; 9878 HUITONGDA NET; 6610 FLOWING CLOUD; 2429 UBOX ONLINE</t>
        </is>
      </c>
    </row>
    <row r="103">
      <c r="A103" s="16" t="inlineStr">
        <is>
          <t>The Reynold Lemkins Group (Asia) Limited</t>
        </is>
      </c>
      <c r="B103" s="89" t="n">
        <v>4</v>
      </c>
      <c r="C103" s="94" t="n">
        <v>50</v>
      </c>
      <c r="D103" s="95" t="n">
        <v>5.7</v>
      </c>
      <c r="E103" s="95" t="n">
        <v>-12.2</v>
      </c>
      <c r="F103" s="95" t="n">
        <v>1.3</v>
      </c>
      <c r="G103" s="95" t="n">
        <v>-8</v>
      </c>
      <c r="H103" s="95" t="n">
        <v>-12.1</v>
      </c>
      <c r="I103" s="95" t="n">
        <v>-4.4</v>
      </c>
      <c r="J103" s="95" t="n">
        <v>-11.8</v>
      </c>
      <c r="K103" s="96" t="inlineStr">
        <is>
          <t>2505 EDA GROUP HLDGS; 2479 TIANJUDIHE; 1471 ZHONGMIAO; 2592 CLOUDBREAK-B</t>
        </is>
      </c>
    </row>
    <row r="104">
      <c r="A104" s="16" t="inlineStr">
        <is>
          <t>Eastspring Investments (Hong Kong) Limited</t>
        </is>
      </c>
      <c r="B104" s="89" t="n">
        <v>4</v>
      </c>
      <c r="C104" s="94" t="n">
        <v>25</v>
      </c>
      <c r="D104" s="95" t="n">
        <v>5.7</v>
      </c>
      <c r="E104" s="95" t="n">
        <v>1.2</v>
      </c>
      <c r="F104" s="95" t="n">
        <v>16.1</v>
      </c>
      <c r="G104" s="95" t="n">
        <v>69.09999999999999</v>
      </c>
      <c r="H104" s="95" t="n">
        <v>-5</v>
      </c>
      <c r="I104" s="95" t="n">
        <v>5.3</v>
      </c>
      <c r="J104" s="95" t="n">
        <v>39.8</v>
      </c>
      <c r="K104" s="96" t="inlineStr">
        <is>
          <t>2026 PONY-W; 1989 DELTON; 1081 DAJIN; 2475 LUXSHARE ICT</t>
        </is>
      </c>
    </row>
    <row r="105">
      <c r="A105" s="16" t="inlineStr">
        <is>
          <t>Ghisallo Master Fund LP</t>
        </is>
      </c>
      <c r="B105" s="89" t="n">
        <v>4</v>
      </c>
      <c r="C105" s="94" t="n">
        <v>50</v>
      </c>
      <c r="D105" s="95" t="n">
        <v>5.5</v>
      </c>
      <c r="E105" s="95" t="n">
        <v>-4.2</v>
      </c>
      <c r="F105" s="95" t="n">
        <v>-10.9</v>
      </c>
      <c r="G105" s="95" t="n">
        <v>-23.7</v>
      </c>
      <c r="H105" s="95" t="n">
        <v>-9.5</v>
      </c>
      <c r="I105" s="95" t="n">
        <v>-15</v>
      </c>
      <c r="J105" s="95" t="n">
        <v>-27.1</v>
      </c>
      <c r="K105" s="96" t="inlineStr">
        <is>
          <t>2460 CR BEVERAGE; 9927 SERES; 2026 PONY-W; 0501 OMNIVISION</t>
        </is>
      </c>
    </row>
    <row r="106">
      <c r="A106" s="16" t="inlineStr">
        <is>
          <t>China Post Wealth Management</t>
        </is>
      </c>
      <c r="B106" s="89" t="n">
        <v>4</v>
      </c>
      <c r="C106" s="94" t="n">
        <v>50</v>
      </c>
      <c r="D106" s="95" t="n">
        <v>4.5</v>
      </c>
      <c r="E106" s="95" t="n">
        <v>-2.6</v>
      </c>
      <c r="F106" s="95" t="n">
        <v>-14.1</v>
      </c>
      <c r="G106" s="95" t="n">
        <v>-18.8</v>
      </c>
      <c r="H106" s="95" t="n">
        <v>-6.9</v>
      </c>
      <c r="I106" s="95" t="n">
        <v>-17.5</v>
      </c>
      <c r="J106" s="95" t="n">
        <v>-21.1</v>
      </c>
      <c r="K106" s="96" t="inlineStr">
        <is>
          <t>2460 CR BEVERAGE; 2580 AUX ELECTRIC; 0699 JOYSON ELEC; 0501 OMNIVISION</t>
        </is>
      </c>
    </row>
    <row r="107">
      <c r="A107" s="16" t="inlineStr">
        <is>
          <t>Wind Sabre</t>
        </is>
      </c>
      <c r="B107" s="89" t="n">
        <v>4</v>
      </c>
      <c r="C107" s="94" t="n">
        <v>50</v>
      </c>
      <c r="D107" s="95" t="n">
        <v>4.4</v>
      </c>
      <c r="E107" s="95" t="n">
        <v>14.2</v>
      </c>
      <c r="F107" s="95" t="n">
        <v>17.8</v>
      </c>
      <c r="G107" s="95" t="n">
        <v>97.3</v>
      </c>
      <c r="H107" s="95" t="n">
        <v>9.300000000000001</v>
      </c>
      <c r="I107" s="95" t="n">
        <v>12.9</v>
      </c>
      <c r="J107" s="95" t="n">
        <v>83.09999999999999</v>
      </c>
      <c r="K107" s="96" t="inlineStr">
        <is>
          <t>2050 SANHUA; 1304 FORTIOR; 9903 ILUVATAR COREX; 6228 MERDEKAGOLD-DRS</t>
        </is>
      </c>
    </row>
    <row r="108">
      <c r="A108" s="16" t="inlineStr">
        <is>
          <t>Factorial Master Fund</t>
        </is>
      </c>
      <c r="B108" s="89" t="n">
        <v>4</v>
      </c>
      <c r="C108" s="94" t="n">
        <v>50</v>
      </c>
      <c r="D108" s="95" t="n">
        <v>-2.3</v>
      </c>
      <c r="E108" s="95" t="n">
        <v>14.1</v>
      </c>
      <c r="F108" s="95" t="n">
        <v>-15</v>
      </c>
      <c r="G108" s="95" t="n">
        <v>-23.1</v>
      </c>
      <c r="H108" s="95" t="n">
        <v>18</v>
      </c>
      <c r="I108" s="95" t="n">
        <v>-13.8</v>
      </c>
      <c r="J108" s="95" t="n">
        <v>-24.4</v>
      </c>
      <c r="K108" s="96" t="inlineStr">
        <is>
          <t>0600 AXERA; 9981 WOER; 2692 ZHAOWEI; 3952 LAIFUAL</t>
        </is>
      </c>
    </row>
    <row r="109">
      <c r="A109" s="16" t="inlineStr">
        <is>
          <t>Ningbo Yinzhou District Financial Holding Co., Ltd</t>
        </is>
      </c>
      <c r="B109" s="89" t="n">
        <v>4</v>
      </c>
      <c r="C109" s="94" t="n">
        <v>25</v>
      </c>
      <c r="D109" s="95" t="n">
        <v>-7.5</v>
      </c>
      <c r="E109" s="95" t="n">
        <v>-13.3</v>
      </c>
      <c r="F109" s="95" t="n">
        <v>-17.4</v>
      </c>
      <c r="G109" s="95" t="n">
        <v>-25.5</v>
      </c>
      <c r="H109" s="95" t="n">
        <v>-7.7</v>
      </c>
      <c r="I109" s="95" t="n">
        <v>-14.4</v>
      </c>
      <c r="J109" s="95" t="n">
        <v>-23</v>
      </c>
      <c r="K109" s="96" t="inlineStr">
        <is>
          <t>2245 LYGEND RESOURCE; 2105 LAEKNA-B; 9686 NEUSOFT XIKANG; 0699 JOYSON ELEC</t>
        </is>
      </c>
    </row>
    <row r="110">
      <c r="A110" s="16" t="inlineStr">
        <is>
          <t>Gold Synergy</t>
        </is>
      </c>
      <c r="B110" s="89" t="n">
        <v>4</v>
      </c>
      <c r="C110" s="94" t="n">
        <v>0</v>
      </c>
      <c r="D110" s="95" t="n">
        <v>-8.300000000000001</v>
      </c>
      <c r="E110" s="95" t="n">
        <v>-10.3</v>
      </c>
      <c r="F110" s="95" t="n">
        <v>-7</v>
      </c>
      <c r="G110" s="95" t="n">
        <v>-19.2</v>
      </c>
      <c r="H110" s="95" t="n">
        <v>-1.4</v>
      </c>
      <c r="I110" s="95" t="n">
        <v>2.7</v>
      </c>
      <c r="J110" s="95" t="n">
        <v>-10.5</v>
      </c>
      <c r="K110" s="96" t="inlineStr">
        <is>
          <t>2385 READBOY; 9696 TIANQI LITHIUM; 2479 TIANJUDIHE; 9927 SERES</t>
        </is>
      </c>
    </row>
    <row r="111">
      <c r="A111" s="16" t="inlineStr">
        <is>
          <t>Aurora SF</t>
        </is>
      </c>
      <c r="B111" s="89" t="n">
        <v>4</v>
      </c>
      <c r="C111" s="94" t="n">
        <v>50</v>
      </c>
      <c r="D111" s="95" t="n">
        <v>-8.6</v>
      </c>
      <c r="E111" s="95" t="n">
        <v>-9.6</v>
      </c>
      <c r="F111" s="95" t="n">
        <v>-1.4</v>
      </c>
      <c r="G111" s="95" t="n">
        <v>21.2</v>
      </c>
      <c r="H111" s="95" t="n">
        <v>-1.5</v>
      </c>
      <c r="I111" s="95" t="n">
        <v>5.7</v>
      </c>
      <c r="J111" s="95" t="n">
        <v>7</v>
      </c>
      <c r="K111" s="96" t="inlineStr">
        <is>
          <t>3296 HUAQIN; 2667 TONGRENTANGCARE; 7687 EACON; 6745 BEFAR GROUP</t>
        </is>
      </c>
    </row>
    <row r="112">
      <c r="A112" s="16" t="inlineStr">
        <is>
          <t>Anji Guorong Construction Co., Ltd</t>
        </is>
      </c>
      <c r="B112" s="89" t="n">
        <v>4</v>
      </c>
      <c r="C112" s="94" t="n">
        <v>25</v>
      </c>
      <c r="D112" s="95" t="n">
        <v>-10.6</v>
      </c>
      <c r="E112" s="95" t="n">
        <v>-15.8</v>
      </c>
      <c r="F112" s="95" t="n">
        <v>-2</v>
      </c>
      <c r="G112" s="95" t="n">
        <v>8.199999999999999</v>
      </c>
      <c r="H112" s="95" t="n">
        <v>-6.8</v>
      </c>
      <c r="I112" s="95" t="n">
        <v>7.3</v>
      </c>
      <c r="J112" s="95" t="n">
        <v>18.8</v>
      </c>
      <c r="K112" s="96" t="inlineStr">
        <is>
          <t>6610 FLOWING CLOUD; 2440 HOWKINGTECH; 2415 MEDSCI; 6831 GREEN TEA GROUP</t>
        </is>
      </c>
    </row>
    <row r="113">
      <c r="A113" s="16" t="inlineStr">
        <is>
          <t>Ping An of China Asset Management (Hong Kong) Company Limited</t>
        </is>
      </c>
      <c r="B113" s="89" t="n">
        <v>3</v>
      </c>
      <c r="C113" s="94" t="n">
        <v>67</v>
      </c>
      <c r="D113" s="95" t="n">
        <v>127</v>
      </c>
      <c r="E113" s="95" t="n">
        <v>127.7</v>
      </c>
      <c r="F113" s="95" t="n">
        <v>85.2</v>
      </c>
      <c r="G113" s="95" t="n">
        <v>14</v>
      </c>
      <c r="H113" s="95" t="n">
        <v>0.5</v>
      </c>
      <c r="I113" s="95" t="n">
        <v>-2.9</v>
      </c>
      <c r="J113" s="95" t="n">
        <v>-38.4</v>
      </c>
      <c r="K113" s="96" t="inlineStr">
        <is>
          <t>2714 MUYUAN; 1879 XIZHI TECH-P; 6228 MERDEKAGOLD-DRS</t>
        </is>
      </c>
    </row>
    <row r="114">
      <c r="A114" s="16" t="inlineStr">
        <is>
          <t>Arc Avenue Asset Management Pte. Ltd</t>
        </is>
      </c>
      <c r="B114" s="89" t="n">
        <v>3</v>
      </c>
      <c r="C114" s="94" t="n">
        <v>100</v>
      </c>
      <c r="D114" s="95" t="n">
        <v>81.3</v>
      </c>
      <c r="E114" s="95" t="n">
        <v>71.5</v>
      </c>
      <c r="F114" s="95" t="n">
        <v>50.5</v>
      </c>
      <c r="G114" s="95" t="n">
        <v>40.6</v>
      </c>
      <c r="H114" s="95" t="n">
        <v>-3.7</v>
      </c>
      <c r="I114" s="95" t="n">
        <v>-14.3</v>
      </c>
      <c r="J114" s="95" t="n">
        <v>-20.1</v>
      </c>
      <c r="K114" s="96" t="inlineStr">
        <is>
          <t>6938 RIBOLIFE-B; 3277 GPIXEL; 7666 METIS TECHBIO-P</t>
        </is>
      </c>
    </row>
    <row r="115">
      <c r="A115" s="16" t="inlineStr">
        <is>
          <t>Loyal Valley Fund III</t>
        </is>
      </c>
      <c r="B115" s="89" t="n">
        <v>3</v>
      </c>
      <c r="C115" s="94" t="n">
        <v>100</v>
      </c>
      <c r="D115" s="95" t="n">
        <v>68.2</v>
      </c>
      <c r="E115" s="95" t="n">
        <v>45.3</v>
      </c>
      <c r="F115" s="95" t="n">
        <v>39.1</v>
      </c>
      <c r="G115" s="95" t="n">
        <v>25.4</v>
      </c>
      <c r="H115" s="95" t="n">
        <v>-11.5</v>
      </c>
      <c r="I115" s="95" t="n">
        <v>-15</v>
      </c>
      <c r="J115" s="95" t="n">
        <v>-18.5</v>
      </c>
      <c r="K115" s="96" t="inlineStr">
        <is>
          <t>9887 LEADS BIOLABS-B; 2657 FOREST CABIN; 9637 ALEBUND-B</t>
        </is>
      </c>
    </row>
    <row r="116">
      <c r="A116" s="16" t="inlineStr">
        <is>
          <t>Goldman Sachs Asset Management (Hong Kong) Limited</t>
        </is>
      </c>
      <c r="B116" s="89" t="n">
        <v>3</v>
      </c>
      <c r="C116" s="94" t="n">
        <v>100</v>
      </c>
      <c r="D116" s="95" t="n">
        <v>62.7</v>
      </c>
      <c r="E116" s="95" t="n">
        <v>35.7</v>
      </c>
      <c r="F116" s="95" t="n">
        <v>27.4</v>
      </c>
      <c r="G116" s="95" t="n">
        <v>-26.7</v>
      </c>
      <c r="H116" s="95" t="n">
        <v>-15.3</v>
      </c>
      <c r="I116" s="95" t="n">
        <v>-18.5</v>
      </c>
      <c r="J116" s="95" t="n">
        <v>-62</v>
      </c>
      <c r="K116" s="96" t="inlineStr">
        <is>
          <t>6656 SIGENERGY; 7688 TOPNC; 6951 CCTC</t>
        </is>
      </c>
    </row>
    <row r="117">
      <c r="A117" s="16" t="inlineStr">
        <is>
          <t>Poly Platinum Enterprises Limited</t>
        </is>
      </c>
      <c r="B117" s="89" t="n">
        <v>3</v>
      </c>
      <c r="C117" s="94" t="n">
        <v>100</v>
      </c>
      <c r="D117" s="95" t="n">
        <v>52.8</v>
      </c>
      <c r="E117" s="95" t="n">
        <v>54.8</v>
      </c>
      <c r="F117" s="95" t="n">
        <v>49.4</v>
      </c>
      <c r="G117" s="95" t="n">
        <v>42.7</v>
      </c>
      <c r="H117" s="95" t="n">
        <v>3</v>
      </c>
      <c r="I117" s="95" t="n">
        <v>0.2</v>
      </c>
      <c r="J117" s="95" t="n">
        <v>5.1</v>
      </c>
      <c r="K117" s="96" t="inlineStr">
        <is>
          <t>6613 LENS; 2675 EDGE MEDICAL-B; 1609 STAR SPORTS MED</t>
        </is>
      </c>
    </row>
    <row r="118">
      <c r="A118" s="16" t="inlineStr">
        <is>
          <t>China AMC</t>
        </is>
      </c>
      <c r="B118" s="89" t="n">
        <v>3</v>
      </c>
      <c r="C118" s="94" t="n">
        <v>100</v>
      </c>
      <c r="D118" s="95" t="n">
        <v>52.2</v>
      </c>
      <c r="E118" s="95" t="n">
        <v>47.8</v>
      </c>
      <c r="F118" s="95" t="n">
        <v>77.40000000000001</v>
      </c>
      <c r="G118" s="95" t="n">
        <v>77.7</v>
      </c>
      <c r="H118" s="95" t="n">
        <v>1.6</v>
      </c>
      <c r="I118" s="95" t="n">
        <v>26.6</v>
      </c>
      <c r="J118" s="95" t="n">
        <v>23.4</v>
      </c>
      <c r="K118" s="96" t="inlineStr">
        <is>
          <t>2718 MININGLAMP-W; 2698 SOFTCARE; 3696 INSILICO</t>
        </is>
      </c>
    </row>
    <row r="119">
      <c r="A119" s="16" t="inlineStr">
        <is>
          <t>Hongshan Limited</t>
        </is>
      </c>
      <c r="B119" s="89" t="n">
        <v>3</v>
      </c>
      <c r="C119" s="94" t="n">
        <v>100</v>
      </c>
      <c r="D119" s="95" t="n">
        <v>51</v>
      </c>
      <c r="E119" s="95" t="n">
        <v>70.90000000000001</v>
      </c>
      <c r="F119" s="95" t="n">
        <v>70.90000000000001</v>
      </c>
      <c r="G119" s="95" t="n">
        <v>122.1</v>
      </c>
      <c r="H119" s="95" t="n">
        <v>13.9</v>
      </c>
      <c r="I119" s="95" t="n">
        <v>14</v>
      </c>
      <c r="J119" s="95" t="n">
        <v>49.3</v>
      </c>
      <c r="K119" s="96" t="inlineStr">
        <is>
          <t>0325 BLOKS; 2097 MIXUE GROUP; 1768 BUSYMING</t>
        </is>
      </c>
    </row>
    <row r="120">
      <c r="A120" s="16" t="inlineStr">
        <is>
          <t>TradArt Investment SP</t>
        </is>
      </c>
      <c r="B120" s="89" t="n">
        <v>3</v>
      </c>
      <c r="C120" s="94" t="n">
        <v>100</v>
      </c>
      <c r="D120" s="95" t="n">
        <v>48.1</v>
      </c>
      <c r="E120" s="95" t="n">
        <v>53.3</v>
      </c>
      <c r="F120" s="95" t="n">
        <v>114.9</v>
      </c>
      <c r="G120" s="95" t="n">
        <v>147.8</v>
      </c>
      <c r="H120" s="95" t="n">
        <v>4.9</v>
      </c>
      <c r="I120" s="95" t="n">
        <v>45.8</v>
      </c>
      <c r="J120" s="95" t="n">
        <v>66.8</v>
      </c>
      <c r="K120" s="96" t="inlineStr">
        <is>
          <t>1244 3D MEDICINES-B; 6698 STAR CM; 2306 YH ENT</t>
        </is>
      </c>
    </row>
    <row r="121">
      <c r="A121" s="16" t="inlineStr">
        <is>
          <t>Yunfeng Capital</t>
        </is>
      </c>
      <c r="B121" s="89" t="n">
        <v>3</v>
      </c>
      <c r="C121" s="94" t="n">
        <v>100</v>
      </c>
      <c r="D121" s="95" t="n">
        <v>47.4</v>
      </c>
      <c r="E121" s="95" t="n">
        <v>78.59999999999999</v>
      </c>
      <c r="F121" s="95" t="n">
        <v>62.4</v>
      </c>
      <c r="G121" s="95" t="n">
        <v>191.7</v>
      </c>
      <c r="H121" s="95" t="n">
        <v>21.4</v>
      </c>
      <c r="I121" s="95" t="n">
        <v>10.9</v>
      </c>
      <c r="J121" s="95" t="n">
        <v>95</v>
      </c>
      <c r="K121" s="96" t="inlineStr">
        <is>
          <t>0325 BLOKS; 3986 GIGADEVICE; 6809 MONTAGE TECH</t>
        </is>
      </c>
    </row>
    <row r="122">
      <c r="A122" s="16" t="inlineStr">
        <is>
          <t>ORIX Asia Asset Management Limited</t>
        </is>
      </c>
      <c r="B122" s="89" t="n">
        <v>3</v>
      </c>
      <c r="C122" s="94" t="n">
        <v>67</v>
      </c>
      <c r="D122" s="95" t="n">
        <v>40.4</v>
      </c>
      <c r="E122" s="95" t="n">
        <v>23.3</v>
      </c>
      <c r="F122" s="95" t="n">
        <v>8.5</v>
      </c>
      <c r="G122" s="95" t="n">
        <v>23.3</v>
      </c>
      <c r="H122" s="95" t="n">
        <v>-6.7</v>
      </c>
      <c r="I122" s="95" t="n">
        <v>-12.9</v>
      </c>
      <c r="J122" s="95" t="n">
        <v>-12.4</v>
      </c>
      <c r="K122" s="96" t="inlineStr">
        <is>
          <t>1828 FWD; 7666 METIS TECHBIO-P; 6228 MERDEKAGOLD-DRS</t>
        </is>
      </c>
    </row>
    <row r="123">
      <c r="A123" s="16" t="inlineStr">
        <is>
          <t>Huaqin Technology</t>
        </is>
      </c>
      <c r="B123" s="89" t="n">
        <v>3</v>
      </c>
      <c r="C123" s="94" t="n">
        <v>100</v>
      </c>
      <c r="D123" s="95" t="n">
        <v>39.2</v>
      </c>
      <c r="E123" s="95" t="n">
        <v>65.8</v>
      </c>
      <c r="F123" s="95" t="n">
        <v>48.9</v>
      </c>
      <c r="G123" s="95" t="n">
        <v>149.5</v>
      </c>
      <c r="H123" s="95" t="n">
        <v>17.9</v>
      </c>
      <c r="I123" s="95" t="n">
        <v>6.4</v>
      </c>
      <c r="J123" s="95" t="n">
        <v>68.7</v>
      </c>
      <c r="K123" s="96" t="inlineStr">
        <is>
          <t>0501 OMNIVISION; 3986 GIGADEVICE; 6809 MONTAGE TECH</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37.4</v>
      </c>
      <c r="G126" s="95" t="n">
        <v>30.7</v>
      </c>
      <c r="H126" s="95" t="n">
        <v>3.4</v>
      </c>
      <c r="I126" s="95" t="n">
        <v>-5</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12</v>
      </c>
      <c r="G132" s="95" t="n">
        <v>27.5</v>
      </c>
      <c r="H132" s="95" t="n">
        <v>5.6</v>
      </c>
      <c r="I132" s="95" t="n">
        <v>-15.1</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12.8</v>
      </c>
      <c r="H134" s="95" t="n">
        <v>2.4</v>
      </c>
      <c r="I134" s="95" t="n">
        <v>11.6</v>
      </c>
      <c r="J134" s="95" t="n">
        <v>-3.9</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Ninety One Asia Pte. Limited</t>
        </is>
      </c>
      <c r="B137" s="89" t="n">
        <v>3</v>
      </c>
      <c r="C137" s="94" t="n">
        <v>67</v>
      </c>
      <c r="D137" s="95" t="n">
        <v>16.6</v>
      </c>
      <c r="E137" s="95" t="n">
        <v>17.7</v>
      </c>
      <c r="F137" s="95" t="n">
        <v>5.8</v>
      </c>
      <c r="G137" s="95" t="n"/>
      <c r="H137" s="95" t="n">
        <v>2.3</v>
      </c>
      <c r="I137" s="95" t="n">
        <v>-13.4</v>
      </c>
      <c r="J137" s="95" t="n"/>
      <c r="K137" s="96" t="inlineStr">
        <is>
          <t>3661 SG MICRO; 6951 CCTC; 3308 ZJ INNOLIGHT</t>
        </is>
      </c>
    </row>
    <row r="138">
      <c r="A138" s="16" t="inlineStr">
        <is>
          <t>AIHC Master Fund</t>
        </is>
      </c>
      <c r="B138" s="89" t="n">
        <v>3</v>
      </c>
      <c r="C138" s="94" t="n">
        <v>67</v>
      </c>
      <c r="D138" s="95" t="n">
        <v>14.4</v>
      </c>
      <c r="E138" s="95" t="n">
        <v>5.4</v>
      </c>
      <c r="F138" s="95" t="n">
        <v>25.2</v>
      </c>
      <c r="G138" s="95" t="n">
        <v>-3.9</v>
      </c>
      <c r="H138" s="95" t="n">
        <v>-7.9</v>
      </c>
      <c r="I138" s="95" t="n">
        <v>13</v>
      </c>
      <c r="J138" s="95" t="n">
        <v>-14.4</v>
      </c>
      <c r="K138" s="96" t="inlineStr">
        <is>
          <t>2190 ZYLOXTB-B; 2137 BRII - B; 2256 ABBISKO-B</t>
        </is>
      </c>
    </row>
    <row r="139">
      <c r="A139" s="16" t="inlineStr">
        <is>
          <t>ABCI Asset Management Limited</t>
        </is>
      </c>
      <c r="B139" s="89" t="n">
        <v>3</v>
      </c>
      <c r="C139" s="94" t="n">
        <v>67</v>
      </c>
      <c r="D139" s="95" t="n">
        <v>13.5</v>
      </c>
      <c r="E139" s="95" t="n">
        <v>8.199999999999999</v>
      </c>
      <c r="F139" s="95" t="n">
        <v>-2.3</v>
      </c>
      <c r="G139" s="95" t="n">
        <v>-25.5</v>
      </c>
      <c r="H139" s="95" t="n">
        <v>-4.2</v>
      </c>
      <c r="I139" s="95" t="n">
        <v>-13.7</v>
      </c>
      <c r="J139" s="95" t="n">
        <v>-36.9</v>
      </c>
      <c r="K139" s="96" t="inlineStr">
        <is>
          <t>6633 QINGCI GAMES; 6938 RIBOLIFE-B; 9611 LONGCHEER</t>
        </is>
      </c>
    </row>
    <row r="140">
      <c r="A140" s="16" t="inlineStr">
        <is>
          <t>LBC HK Opportunity Fund Limited</t>
        </is>
      </c>
      <c r="B140" s="89" t="n">
        <v>3</v>
      </c>
      <c r="C140" s="94" t="n">
        <v>33</v>
      </c>
      <c r="D140" s="95" t="n">
        <v>11.7</v>
      </c>
      <c r="E140" s="95" t="n">
        <v>17.7</v>
      </c>
      <c r="F140" s="95" t="n">
        <v>-18.2</v>
      </c>
      <c r="G140" s="95" t="n">
        <v>25.8</v>
      </c>
      <c r="H140" s="95" t="n">
        <v>11.7</v>
      </c>
      <c r="I140" s="95" t="n">
        <v>-12</v>
      </c>
      <c r="J140" s="95" t="n">
        <v>-39.1</v>
      </c>
      <c r="K140" s="96" t="inlineStr">
        <is>
          <t>2595 GENFLEET-B; 6132 HJ SCIENCE-B; 3952 LAIFUAL</t>
        </is>
      </c>
    </row>
    <row r="141">
      <c r="A141" s="16" t="inlineStr">
        <is>
          <t>China Pinnacle Equity Management Limited</t>
        </is>
      </c>
      <c r="B141" s="89" t="n">
        <v>3</v>
      </c>
      <c r="C141" s="94" t="n">
        <v>67</v>
      </c>
      <c r="D141" s="95" t="n">
        <v>10.2</v>
      </c>
      <c r="E141" s="95" t="n">
        <v>22.5</v>
      </c>
      <c r="F141" s="95" t="n">
        <v>20.1</v>
      </c>
      <c r="G141" s="95" t="n">
        <v>36.4</v>
      </c>
      <c r="H141" s="95" t="n">
        <v>7.4</v>
      </c>
      <c r="I141" s="95" t="n">
        <v>5.5</v>
      </c>
      <c r="J141" s="95" t="n">
        <v>14</v>
      </c>
      <c r="K141" s="96" t="inlineStr">
        <is>
          <t>9960 KINDSTAR GLOBAL; 3288 HAITIAN FLAV; 3986 GIGADEVICE</t>
        </is>
      </c>
    </row>
    <row r="142">
      <c r="A142" s="16" t="inlineStr">
        <is>
          <t>Seven Grand Managers, LLC</t>
        </is>
      </c>
      <c r="B142" s="89" t="n">
        <v>3</v>
      </c>
      <c r="C142" s="94" t="n">
        <v>67</v>
      </c>
      <c r="D142" s="95" t="n">
        <v>8.9</v>
      </c>
      <c r="E142" s="95" t="n">
        <v>2.9</v>
      </c>
      <c r="F142" s="95" t="n">
        <v>-1.4</v>
      </c>
      <c r="G142" s="95" t="n"/>
      <c r="H142" s="95" t="n">
        <v>-5.2</v>
      </c>
      <c r="I142" s="95" t="n">
        <v>-11.3</v>
      </c>
      <c r="J142" s="95" t="n"/>
      <c r="K142" s="96" t="inlineStr">
        <is>
          <t>3388 CREALITY; 1688 LINGYI ITECH; 7687 EACON</t>
        </is>
      </c>
    </row>
    <row r="143">
      <c r="A143" s="16" t="inlineStr">
        <is>
          <t>Hongxing International Technology Limited</t>
        </is>
      </c>
      <c r="B143" s="89" t="n">
        <v>3</v>
      </c>
      <c r="C143" s="94" t="n">
        <v>67</v>
      </c>
      <c r="D143" s="95" t="n">
        <v>7.8</v>
      </c>
      <c r="E143" s="95" t="n">
        <v>9.800000000000001</v>
      </c>
      <c r="F143" s="95" t="n">
        <v>12.3</v>
      </c>
      <c r="G143" s="95" t="n">
        <v>45.3</v>
      </c>
      <c r="H143" s="95" t="n">
        <v>1.8</v>
      </c>
      <c r="I143" s="95" t="n">
        <v>2.1</v>
      </c>
      <c r="J143" s="95" t="n">
        <v>27.3</v>
      </c>
      <c r="K143" s="96" t="inlineStr">
        <is>
          <t>3200 HANS CNC; 3296 HUAQIN; 1688 LINGYI ITECH</t>
        </is>
      </c>
    </row>
    <row r="144">
      <c r="A144" s="16" t="inlineStr">
        <is>
          <t>Jinyi Capital Multi-Strategy Fund SPC Ltd</t>
        </is>
      </c>
      <c r="B144" s="89" t="n">
        <v>3</v>
      </c>
      <c r="C144" s="94" t="n">
        <v>67</v>
      </c>
      <c r="D144" s="95" t="n">
        <v>4.9</v>
      </c>
      <c r="E144" s="95" t="n">
        <v>9.1</v>
      </c>
      <c r="F144" s="95" t="n">
        <v>7</v>
      </c>
      <c r="G144" s="95" t="n">
        <v>-12</v>
      </c>
      <c r="H144" s="95" t="n">
        <v>4.1</v>
      </c>
      <c r="I144" s="95" t="n">
        <v>0.6</v>
      </c>
      <c r="J144" s="95" t="n">
        <v>-17.1</v>
      </c>
      <c r="K144" s="96" t="inlineStr">
        <is>
          <t>0600 AXERA; 3268 MEIG; 3296 HUAQIN</t>
        </is>
      </c>
    </row>
    <row r="145">
      <c r="A145" s="16" t="inlineStr">
        <is>
          <t>Glencore International AG</t>
        </is>
      </c>
      <c r="B145" s="89" t="n">
        <v>3</v>
      </c>
      <c r="C145" s="94" t="n">
        <v>33</v>
      </c>
      <c r="D145" s="95" t="n">
        <v>4.8</v>
      </c>
      <c r="E145" s="95" t="n">
        <v>6.7</v>
      </c>
      <c r="F145" s="95" t="n">
        <v>5.5</v>
      </c>
      <c r="G145" s="95" t="n">
        <v>1.9</v>
      </c>
      <c r="H145" s="95" t="n">
        <v>1.6</v>
      </c>
      <c r="I145" s="95" t="n">
        <v>0.8</v>
      </c>
      <c r="J145" s="95" t="n">
        <v>-4</v>
      </c>
      <c r="K145" s="96" t="inlineStr">
        <is>
          <t>2610 NANSHAN AL INTL; 3636 JINXUN RESOURCE; 6228 MERDEKAGOLD-DRS</t>
        </is>
      </c>
    </row>
    <row r="146">
      <c r="A146" s="16" t="inlineStr">
        <is>
          <t>Relationship* Wuxi Lvlian</t>
        </is>
      </c>
      <c r="B146" s="89" t="n">
        <v>3</v>
      </c>
      <c r="C146" s="94" t="n">
        <v>67</v>
      </c>
      <c r="D146" s="95" t="n">
        <v>4.8</v>
      </c>
      <c r="E146" s="95" t="n">
        <v>-0.1</v>
      </c>
      <c r="F146" s="95" t="n">
        <v>9</v>
      </c>
      <c r="G146" s="95" t="n">
        <v>111.3</v>
      </c>
      <c r="H146" s="95" t="n">
        <v>-4.7</v>
      </c>
      <c r="I146" s="95" t="n">
        <v>4.9</v>
      </c>
      <c r="J146" s="95" t="n">
        <v>106.7</v>
      </c>
      <c r="K146" s="96" t="inlineStr">
        <is>
          <t>6831 GREEN TEA GROUP; 2698 SOFTCARE; 3317 XUNCE</t>
        </is>
      </c>
    </row>
    <row r="147">
      <c r="A147" s="16" t="inlineStr">
        <is>
          <t>Duckling Fund, L.P</t>
        </is>
      </c>
      <c r="B147" s="89" t="n">
        <v>3</v>
      </c>
      <c r="C147" s="94" t="n">
        <v>67</v>
      </c>
      <c r="D147" s="95" t="n">
        <v>3.8</v>
      </c>
      <c r="E147" s="95" t="n">
        <v>8.800000000000001</v>
      </c>
      <c r="F147" s="95" t="n">
        <v>21</v>
      </c>
      <c r="G147" s="95" t="n">
        <v>98.40000000000001</v>
      </c>
      <c r="H147" s="95" t="n">
        <v>4.8</v>
      </c>
      <c r="I147" s="95" t="n">
        <v>18.4</v>
      </c>
      <c r="J147" s="95" t="n">
        <v>95.40000000000001</v>
      </c>
      <c r="K147" s="96" t="inlineStr">
        <is>
          <t>1364 GUMING; 2657 FOREST CABIN; 9903 ILUVATAR COREX</t>
        </is>
      </c>
    </row>
    <row r="148">
      <c r="A148" s="16" t="inlineStr">
        <is>
          <t>PT Esta Indonesia</t>
        </is>
      </c>
      <c r="B148" s="89" t="n">
        <v>3</v>
      </c>
      <c r="C148" s="94" t="n">
        <v>33</v>
      </c>
      <c r="D148" s="95" t="n">
        <v>3.3</v>
      </c>
      <c r="E148" s="95" t="n">
        <v>-2.5</v>
      </c>
      <c r="F148" s="95" t="n">
        <v>-7.5</v>
      </c>
      <c r="G148" s="95" t="n">
        <v>0.5</v>
      </c>
      <c r="H148" s="95" t="n">
        <v>-5.5</v>
      </c>
      <c r="I148" s="95" t="n">
        <v>-9.6</v>
      </c>
      <c r="J148" s="95" t="n">
        <v>-1</v>
      </c>
      <c r="K148" s="96" t="inlineStr">
        <is>
          <t>1497 YAN PALACE; 2460 CR BEVERAGE; 2610 NANSHAN AL INTL</t>
        </is>
      </c>
    </row>
    <row r="149">
      <c r="A149" s="16" t="inlineStr">
        <is>
          <t>Pacific Asset Management Co., Limited</t>
        </is>
      </c>
      <c r="B149" s="89" t="n">
        <v>3</v>
      </c>
      <c r="C149" s="94" t="n">
        <v>33</v>
      </c>
      <c r="D149" s="95" t="n">
        <v>1.6</v>
      </c>
      <c r="E149" s="95" t="n">
        <v>1.1</v>
      </c>
      <c r="F149" s="95" t="n">
        <v>-2.4</v>
      </c>
      <c r="G149" s="95" t="n">
        <v>3.8</v>
      </c>
      <c r="H149" s="95" t="n">
        <v>-0.4</v>
      </c>
      <c r="I149" s="95" t="n">
        <v>-4.6</v>
      </c>
      <c r="J149" s="95" t="n">
        <v>-0.3</v>
      </c>
      <c r="K149" s="96" t="inlineStr">
        <is>
          <t>9696 TIANQI LITHIUM; 3750 CATL; 0638 FIBOCOM</t>
        </is>
      </c>
    </row>
    <row r="150">
      <c r="A150" s="16" t="inlineStr">
        <is>
          <t>Xian Yuanda Electronic Equipment Co., Ltd</t>
        </is>
      </c>
      <c r="B150" s="89" t="n">
        <v>3</v>
      </c>
      <c r="C150" s="94" t="n">
        <v>33</v>
      </c>
      <c r="D150" s="95" t="n">
        <v>1.3</v>
      </c>
      <c r="E150" s="95" t="n">
        <v>26.2</v>
      </c>
      <c r="F150" s="95" t="n">
        <v>35.5</v>
      </c>
      <c r="G150" s="95" t="n">
        <v>83.8</v>
      </c>
      <c r="H150" s="95" t="n">
        <v>20.1</v>
      </c>
      <c r="I150" s="95" t="n">
        <v>31.5</v>
      </c>
      <c r="J150" s="95" t="n">
        <v>85.2</v>
      </c>
      <c r="K150" s="96" t="inlineStr">
        <is>
          <t>2418 DEEWIN; 2536 PALASINO; 1354 KINGFARPROPERTY</t>
        </is>
      </c>
    </row>
    <row r="151">
      <c r="A151" s="16" t="inlineStr">
        <is>
          <t>Golden Link Worldwide Limited</t>
        </is>
      </c>
      <c r="B151" s="89" t="n">
        <v>3</v>
      </c>
      <c r="C151" s="94" t="n">
        <v>33</v>
      </c>
      <c r="D151" s="95" t="n">
        <v>1.2</v>
      </c>
      <c r="E151" s="95" t="n">
        <v>8.9</v>
      </c>
      <c r="F151" s="95" t="n">
        <v>15.8</v>
      </c>
      <c r="G151" s="95" t="n">
        <v>23.8</v>
      </c>
      <c r="H151" s="95" t="n">
        <v>7.3</v>
      </c>
      <c r="I151" s="95" t="n">
        <v>14.3</v>
      </c>
      <c r="J151" s="95" t="n">
        <v>21.2</v>
      </c>
      <c r="K151" s="96" t="inlineStr">
        <is>
          <t>0300 MIDEA GROUP; 2676 NOVOSENSE; 6880 MOMENTA-W</t>
        </is>
      </c>
    </row>
    <row r="152">
      <c r="A152" s="16" t="inlineStr">
        <is>
          <t>China Sichuan International Investment Limited</t>
        </is>
      </c>
      <c r="B152" s="89" t="n">
        <v>3</v>
      </c>
      <c r="C152" s="94" t="n">
        <v>67</v>
      </c>
      <c r="D152" s="95" t="n">
        <v>0.5</v>
      </c>
      <c r="E152" s="95" t="n">
        <v>0.1</v>
      </c>
      <c r="F152" s="95" t="n">
        <v>-9.699999999999999</v>
      </c>
      <c r="G152" s="95" t="n">
        <v>-23.8</v>
      </c>
      <c r="H152" s="95" t="n">
        <v>-0.3</v>
      </c>
      <c r="I152" s="95" t="n">
        <v>-10.1</v>
      </c>
      <c r="J152" s="95" t="n">
        <v>-24.1</v>
      </c>
      <c r="K152" s="96" t="inlineStr">
        <is>
          <t>3658 NEW HOPE SERV; 9696 TIANQI LITHIUM; 9636 JF WEALTH</t>
        </is>
      </c>
    </row>
    <row r="153">
      <c r="A153" s="16" t="inlineStr">
        <is>
          <t>Hainan Financial Holdings Co., Ltd</t>
        </is>
      </c>
      <c r="B153" s="89" t="n">
        <v>3</v>
      </c>
      <c r="C153" s="94" t="n">
        <v>33</v>
      </c>
      <c r="D153" s="95" t="n">
        <v>0.3</v>
      </c>
      <c r="E153" s="95" t="n">
        <v>2.2</v>
      </c>
      <c r="F153" s="95" t="n">
        <v>9</v>
      </c>
      <c r="G153" s="95" t="n">
        <v>-1.7</v>
      </c>
      <c r="H153" s="95" t="n">
        <v>1.9</v>
      </c>
      <c r="I153" s="95" t="n">
        <v>8.699999999999999</v>
      </c>
      <c r="J153" s="95" t="n">
        <v>-2</v>
      </c>
      <c r="K153" s="96" t="inlineStr">
        <is>
          <t>9638 FERRETTI; 1880 CTG DUTY-FREE; 2451 LUYUAN GP HLDG</t>
        </is>
      </c>
    </row>
    <row r="154">
      <c r="A154" s="16" t="inlineStr">
        <is>
          <t>Keltic Investment (HK) Limited</t>
        </is>
      </c>
      <c r="B154" s="89" t="n">
        <v>3</v>
      </c>
      <c r="C154" s="94" t="n">
        <v>33</v>
      </c>
      <c r="D154" s="95" t="n">
        <v>0.1</v>
      </c>
      <c r="E154" s="95" t="n">
        <v>1.9</v>
      </c>
      <c r="F154" s="95" t="n">
        <v>-23.7</v>
      </c>
      <c r="G154" s="95" t="n">
        <v>-40.6</v>
      </c>
      <c r="H154" s="95" t="n">
        <v>1.8</v>
      </c>
      <c r="I154" s="95" t="n">
        <v>-23.7</v>
      </c>
      <c r="J154" s="95" t="n">
        <v>-40.6</v>
      </c>
      <c r="K154" s="96" t="inlineStr">
        <is>
          <t>3658 NEW HOPE SERV; 6626 YUEXIU SERVICES; 2210 BEIJING JIAYE</t>
        </is>
      </c>
    </row>
    <row r="155">
      <c r="A155" s="16" t="inlineStr">
        <is>
          <t>Vivo Opportunity Fund, L.P</t>
        </is>
      </c>
      <c r="B155" s="89" t="n">
        <v>3</v>
      </c>
      <c r="C155" s="94" t="n">
        <v>33</v>
      </c>
      <c r="D155" s="95" t="n">
        <v>-0.1</v>
      </c>
      <c r="E155" s="95" t="n">
        <v>-7.9</v>
      </c>
      <c r="F155" s="95" t="n">
        <v>-17.1</v>
      </c>
      <c r="G155" s="95" t="n">
        <v>-23.9</v>
      </c>
      <c r="H155" s="95" t="n">
        <v>-7.8</v>
      </c>
      <c r="I155" s="95" t="n">
        <v>-17</v>
      </c>
      <c r="J155" s="95" t="n">
        <v>-23.8</v>
      </c>
      <c r="K155" s="96" t="inlineStr">
        <is>
          <t>2256 ABBISKO-B; 2157 LEPU BIO-B; 2561 VISEN PHARMA-B</t>
        </is>
      </c>
    </row>
    <row r="156">
      <c r="A156" s="16" t="inlineStr">
        <is>
          <t>LENS TECHNOLOGY (HK) CO., LIMITED</t>
        </is>
      </c>
      <c r="B156" s="89" t="n">
        <v>3</v>
      </c>
      <c r="C156" s="94" t="n">
        <v>33</v>
      </c>
      <c r="D156" s="95" t="n">
        <v>-0.3</v>
      </c>
      <c r="E156" s="95" t="n">
        <v>-12.3</v>
      </c>
      <c r="F156" s="95" t="n">
        <v>-15.5</v>
      </c>
      <c r="G156" s="95" t="n">
        <v>-9.199999999999999</v>
      </c>
      <c r="H156" s="95" t="n">
        <v>-12</v>
      </c>
      <c r="I156" s="95" t="n">
        <v>-15.3</v>
      </c>
      <c r="J156" s="95" t="n">
        <v>-9</v>
      </c>
      <c r="K156" s="96" t="inlineStr">
        <is>
          <t>2529 HOLLWIN URBAN; 2579 CNGR; 1187 COFOE MEDICAL</t>
        </is>
      </c>
    </row>
    <row r="157">
      <c r="A157" s="16" t="inlineStr">
        <is>
          <t>NGS Super Pty Limited</t>
        </is>
      </c>
      <c r="B157" s="89" t="n">
        <v>3</v>
      </c>
      <c r="C157" s="94" t="n">
        <v>0</v>
      </c>
      <c r="D157" s="95" t="n">
        <v>-0.7</v>
      </c>
      <c r="E157" s="95" t="n">
        <v>9.300000000000001</v>
      </c>
      <c r="F157" s="95" t="n">
        <v>-5.7</v>
      </c>
      <c r="G157" s="95" t="n">
        <v>-28</v>
      </c>
      <c r="H157" s="95" t="n">
        <v>10.2</v>
      </c>
      <c r="I157" s="95" t="n">
        <v>-5.7</v>
      </c>
      <c r="J157" s="95" t="n">
        <v>-28</v>
      </c>
      <c r="K157" s="96" t="inlineStr">
        <is>
          <t>0600 AXERA; 2249 NEXCHIP; 3308 ZJ INNOLIGHT</t>
        </is>
      </c>
    </row>
    <row r="158">
      <c r="A158" s="16" t="inlineStr">
        <is>
          <t>SCC Growth VI Holdco F, Ltd</t>
        </is>
      </c>
      <c r="B158" s="89" t="n">
        <v>3</v>
      </c>
      <c r="C158" s="94" t="n">
        <v>67</v>
      </c>
      <c r="D158" s="95" t="n">
        <v>-1.2</v>
      </c>
      <c r="E158" s="95" t="n">
        <v>-3</v>
      </c>
      <c r="F158" s="95" t="n">
        <v>23.8</v>
      </c>
      <c r="G158" s="95" t="n">
        <v>5.8</v>
      </c>
      <c r="H158" s="95" t="n">
        <v>-1.9</v>
      </c>
      <c r="I158" s="95" t="n">
        <v>24.3</v>
      </c>
      <c r="J158" s="95" t="n">
        <v>7.3</v>
      </c>
      <c r="K158" s="96" t="inlineStr">
        <is>
          <t>6127 JOINN; 2137 BRII - B; 2179 RECBIO-B</t>
        </is>
      </c>
    </row>
    <row r="159">
      <c r="A159" s="16" t="inlineStr">
        <is>
          <t>Horizon Together Holding Ltd</t>
        </is>
      </c>
      <c r="B159" s="89" t="n">
        <v>3</v>
      </c>
      <c r="C159" s="94" t="n">
        <v>67</v>
      </c>
      <c r="D159" s="95" t="n">
        <v>-1.7</v>
      </c>
      <c r="E159" s="95" t="n">
        <v>-5</v>
      </c>
      <c r="F159" s="95" t="n">
        <v>-2</v>
      </c>
      <c r="G159" s="95" t="n">
        <v>17.4</v>
      </c>
      <c r="H159" s="95" t="n">
        <v>-2.7</v>
      </c>
      <c r="I159" s="95" t="n">
        <v>-2</v>
      </c>
      <c r="J159" s="95" t="n">
        <v>14.7</v>
      </c>
      <c r="K159" s="96" t="inlineStr">
        <is>
          <t>2431 MINIEYE; 9973 CHERY AUTO; 9609 HAIWEI ELEC</t>
        </is>
      </c>
    </row>
    <row r="160">
      <c r="A160" s="16" t="inlineStr">
        <is>
          <t>Alphahill Capital Limited</t>
        </is>
      </c>
      <c r="B160" s="89" t="n">
        <v>3</v>
      </c>
      <c r="C160" s="94" t="n">
        <v>33</v>
      </c>
      <c r="D160" s="95" t="n">
        <v>-2.1</v>
      </c>
      <c r="E160" s="95" t="n">
        <v>21.3</v>
      </c>
      <c r="F160" s="95" t="n">
        <v>-13.1</v>
      </c>
      <c r="G160" s="95" t="n">
        <v>64.3</v>
      </c>
      <c r="H160" s="95" t="n">
        <v>25.1</v>
      </c>
      <c r="I160" s="95" t="n">
        <v>-12.7</v>
      </c>
      <c r="J160" s="95" t="n">
        <v>54.3</v>
      </c>
      <c r="K160" s="96" t="inlineStr">
        <is>
          <t>9903 ILUVATAR COREX; 0600 AXERA; 3952 LAIFUAL</t>
        </is>
      </c>
    </row>
    <row r="161">
      <c r="A161" s="16" t="inlineStr">
        <is>
          <t>CRF Investment Holdings Company Limited</t>
        </is>
      </c>
      <c r="B161" s="89" t="n">
        <v>3</v>
      </c>
      <c r="C161" s="94" t="n">
        <v>33</v>
      </c>
      <c r="D161" s="95" t="n">
        <v>-2.5</v>
      </c>
      <c r="E161" s="95" t="n">
        <v>-4.1</v>
      </c>
      <c r="F161" s="95" t="n">
        <v>-21.5</v>
      </c>
      <c r="G161" s="95" t="n">
        <v>-9.4</v>
      </c>
      <c r="H161" s="95" t="n">
        <v>-1.9</v>
      </c>
      <c r="I161" s="95" t="n">
        <v>-18.9</v>
      </c>
      <c r="J161" s="95" t="n">
        <v>-6.5</v>
      </c>
      <c r="K161" s="96" t="inlineStr">
        <is>
          <t>2170 BASECARE-B; 6127 JOINN; 2561 VISEN PHARMA-B</t>
        </is>
      </c>
    </row>
    <row r="162">
      <c r="A162" s="16" t="inlineStr">
        <is>
          <t>China Galaxy International Investment Company Limited</t>
        </is>
      </c>
      <c r="B162" s="89" t="n">
        <v>3</v>
      </c>
      <c r="C162" s="94" t="n">
        <v>67</v>
      </c>
      <c r="D162" s="95" t="n">
        <v>-3.6</v>
      </c>
      <c r="E162" s="95" t="n">
        <v>-11.2</v>
      </c>
      <c r="F162" s="95" t="n">
        <v>-10.6</v>
      </c>
      <c r="G162" s="95" t="n">
        <v>-39.1</v>
      </c>
      <c r="H162" s="95" t="n">
        <v>-6.9</v>
      </c>
      <c r="I162" s="95" t="n">
        <v>-7.9</v>
      </c>
      <c r="J162" s="95" t="n">
        <v>-33.1</v>
      </c>
      <c r="K162" s="96" t="inlineStr">
        <is>
          <t>2408 XIAO NOODLES; 9611 LONGCHEER; 2677 DISTINCT HEALTH</t>
        </is>
      </c>
    </row>
    <row r="163">
      <c r="A163" s="16" t="inlineStr">
        <is>
          <t>Hel Ved Master Fund</t>
        </is>
      </c>
      <c r="B163" s="89" t="n">
        <v>3</v>
      </c>
      <c r="C163" s="94" t="n">
        <v>0</v>
      </c>
      <c r="D163" s="95" t="n">
        <v>-3.7</v>
      </c>
      <c r="E163" s="95" t="n">
        <v>2.6</v>
      </c>
      <c r="F163" s="95" t="n">
        <v>-8.300000000000001</v>
      </c>
      <c r="G163" s="95" t="n">
        <v>-26.7</v>
      </c>
      <c r="H163" s="95" t="n">
        <v>5.9</v>
      </c>
      <c r="I163" s="95" t="n">
        <v>-4.9</v>
      </c>
      <c r="J163" s="95" t="n">
        <v>-22.9</v>
      </c>
      <c r="K163" s="96" t="inlineStr">
        <is>
          <t>2026 PONY-W; 0600 AXERA; 1377 DTECH</t>
        </is>
      </c>
    </row>
    <row r="164">
      <c r="A164" s="16" t="inlineStr">
        <is>
          <t>SCGC Capital Holding Company Limited</t>
        </is>
      </c>
      <c r="B164" s="89" t="n">
        <v>3</v>
      </c>
      <c r="C164" s="94" t="n">
        <v>67</v>
      </c>
      <c r="D164" s="95" t="n">
        <v>-10.2</v>
      </c>
      <c r="E164" s="95" t="n">
        <v>-14.9</v>
      </c>
      <c r="F164" s="95" t="n">
        <v>-18.4</v>
      </c>
      <c r="G164" s="95" t="n">
        <v>-12.9</v>
      </c>
      <c r="H164" s="95" t="n">
        <v>-5.5</v>
      </c>
      <c r="I164" s="95" t="n">
        <v>-10</v>
      </c>
      <c r="J164" s="95" t="n">
        <v>0.1</v>
      </c>
      <c r="K164" s="96" t="inlineStr">
        <is>
          <t>6668 E-STAR CM; 2560 CONCH MAT TECH; 3355 FS.COM</t>
        </is>
      </c>
    </row>
    <row r="165">
      <c r="A165" s="16" t="inlineStr">
        <is>
          <t>Wong Cheuk Tim, Timothy</t>
        </is>
      </c>
      <c r="B165" s="89" t="n">
        <v>3</v>
      </c>
      <c r="C165" s="94" t="n">
        <v>0</v>
      </c>
      <c r="D165" s="95" t="n">
        <v>-12.8</v>
      </c>
      <c r="E165" s="95" t="n">
        <v>-20.7</v>
      </c>
      <c r="F165" s="95" t="n">
        <v>-19.8</v>
      </c>
      <c r="G165" s="95" t="n">
        <v>-25</v>
      </c>
      <c r="H165" s="95" t="n">
        <v>-9.199999999999999</v>
      </c>
      <c r="I165" s="95" t="n">
        <v>-9.1</v>
      </c>
      <c r="J165" s="95" t="n">
        <v>-16.1</v>
      </c>
      <c r="K165" s="96" t="inlineStr">
        <is>
          <t>2350 MTT GROUP; 1497 YAN PALACE; 2519 AUGROUP</t>
        </is>
      </c>
    </row>
    <row r="166">
      <c r="A166" s="16" t="inlineStr">
        <is>
          <t>Gotion High-Tech (HK)</t>
        </is>
      </c>
      <c r="B166" s="89" t="n">
        <v>3</v>
      </c>
      <c r="C166" s="94" t="n">
        <v>33</v>
      </c>
      <c r="D166" s="95" t="n">
        <v>-19.3</v>
      </c>
      <c r="E166" s="95" t="n">
        <v>-21.4</v>
      </c>
      <c r="F166" s="95" t="n">
        <v>-17.3</v>
      </c>
      <c r="G166" s="95" t="n">
        <v>-5.4</v>
      </c>
      <c r="H166" s="95" t="n">
        <v>-3.4</v>
      </c>
      <c r="I166" s="95" t="n">
        <v>0.5</v>
      </c>
      <c r="J166" s="95" t="n">
        <v>18</v>
      </c>
      <c r="K166" s="96" t="inlineStr">
        <is>
          <t>2560 CONCH MAT TECH; 2643 CAOCAO INC; 9973 CHERY AUTO</t>
        </is>
      </c>
    </row>
    <row r="167">
      <c r="A167" s="16" t="inlineStr">
        <is>
          <t>June Star Global Limited</t>
        </is>
      </c>
      <c r="B167" s="89" t="n">
        <v>2</v>
      </c>
      <c r="C167" s="94" t="n">
        <v>100</v>
      </c>
      <c r="D167" s="95" t="n">
        <v>192.6</v>
      </c>
      <c r="E167" s="95" t="n">
        <v>175.3</v>
      </c>
      <c r="F167" s="95" t="n">
        <v>192.8</v>
      </c>
      <c r="G167" s="95" t="n">
        <v>124.8</v>
      </c>
      <c r="H167" s="95" t="n">
        <v>-5.8</v>
      </c>
      <c r="I167" s="95" t="n">
        <v>1.2</v>
      </c>
      <c r="J167" s="95" t="n">
        <v>-22.4</v>
      </c>
      <c r="K167" s="96" t="inlineStr">
        <is>
          <t>2591 INNOGEN-B; 6872 TENNOR THERAP-B</t>
        </is>
      </c>
    </row>
    <row r="168">
      <c r="A168" s="16" t="inlineStr">
        <is>
          <t>LC Logistics, Inc</t>
        </is>
      </c>
      <c r="B168" s="89" t="n">
        <v>2</v>
      </c>
      <c r="C168" s="94" t="n">
        <v>50</v>
      </c>
      <c r="D168" s="95" t="n">
        <v>115.4</v>
      </c>
      <c r="E168" s="95" t="n">
        <v>138</v>
      </c>
      <c r="F168" s="95" t="n">
        <v>92.7</v>
      </c>
      <c r="G168" s="95" t="n">
        <v>54.2</v>
      </c>
      <c r="H168" s="95" t="n">
        <v>1.8</v>
      </c>
      <c r="I168" s="95" t="n">
        <v>-9.9</v>
      </c>
      <c r="J168" s="95" t="n">
        <v>-23.1</v>
      </c>
      <c r="K168" s="96" t="inlineStr">
        <is>
          <t>2519 AUGROUP; 2706 HAIZHI TECH GP</t>
        </is>
      </c>
    </row>
    <row r="169">
      <c r="A169" s="16" t="inlineStr">
        <is>
          <t>Top Vast (Hong Kong) Limited</t>
        </is>
      </c>
      <c r="B169" s="89" t="n">
        <v>2</v>
      </c>
      <c r="C169" s="94" t="n">
        <v>50</v>
      </c>
      <c r="D169" s="95" t="n">
        <v>94</v>
      </c>
      <c r="E169" s="95" t="n">
        <v>112.1</v>
      </c>
      <c r="F169" s="95" t="n">
        <v>128.7</v>
      </c>
      <c r="G169" s="95" t="n">
        <v>-19.6</v>
      </c>
      <c r="H169" s="95" t="n">
        <v>7.6</v>
      </c>
      <c r="I169" s="95" t="n">
        <v>6.4</v>
      </c>
      <c r="J169" s="95" t="n">
        <v>-14.8</v>
      </c>
      <c r="K169" s="96" t="inlineStr">
        <is>
          <t>6639 ARRAIL GROUP; 6658 LIULIUMEI</t>
        </is>
      </c>
    </row>
    <row r="170">
      <c r="A170" s="16" t="inlineStr">
        <is>
          <t>MPC VII Pte. Ltd</t>
        </is>
      </c>
      <c r="B170" s="89" t="n">
        <v>2</v>
      </c>
      <c r="C170" s="94" t="n">
        <v>100</v>
      </c>
      <c r="D170" s="95" t="n">
        <v>83.7</v>
      </c>
      <c r="E170" s="95" t="n">
        <v>91.5</v>
      </c>
      <c r="F170" s="95" t="n">
        <v>100.5</v>
      </c>
      <c r="G170" s="95" t="n">
        <v>215.9</v>
      </c>
      <c r="H170" s="95" t="n">
        <v>0.6</v>
      </c>
      <c r="I170" s="95" t="n">
        <v>2.7</v>
      </c>
      <c r="J170" s="95" t="n">
        <v>57.7</v>
      </c>
      <c r="K170" s="96" t="inlineStr">
        <is>
          <t>2549 CAROTE LTD; 0100 MINIMAX-WP</t>
        </is>
      </c>
    </row>
    <row r="171">
      <c r="A171" s="16" t="inlineStr">
        <is>
          <t>Sunny Festive Limited</t>
        </is>
      </c>
      <c r="B171" s="89" t="n">
        <v>2</v>
      </c>
      <c r="C171" s="94" t="n">
        <v>50</v>
      </c>
      <c r="D171" s="95" t="n">
        <v>78.09999999999999</v>
      </c>
      <c r="E171" s="95" t="n">
        <v>122.7</v>
      </c>
      <c r="F171" s="95" t="n">
        <v>52.3</v>
      </c>
      <c r="G171" s="95" t="n">
        <v>105.4</v>
      </c>
      <c r="H171" s="95" t="n">
        <v>16.9</v>
      </c>
      <c r="I171" s="95" t="n">
        <v>-20.7</v>
      </c>
      <c r="J171" s="95" t="n">
        <v>-21.3</v>
      </c>
      <c r="K171" s="96" t="inlineStr">
        <is>
          <t>1024 KUAISHOU-W; 1688 LINGYI ITECH</t>
        </is>
      </c>
    </row>
    <row r="172">
      <c r="A172" s="16" t="inlineStr">
        <is>
          <t>Velmar Company Limited</t>
        </is>
      </c>
      <c r="B172" s="89" t="n">
        <v>2</v>
      </c>
      <c r="C172" s="94" t="n">
        <v>100</v>
      </c>
      <c r="D172" s="95" t="n">
        <v>74.7</v>
      </c>
      <c r="E172" s="95" t="n">
        <v>68.3</v>
      </c>
      <c r="F172" s="95" t="n">
        <v>61.1</v>
      </c>
      <c r="G172" s="95" t="n">
        <v>13.2</v>
      </c>
      <c r="H172" s="95" t="n">
        <v>-2.8</v>
      </c>
      <c r="I172" s="95" t="n">
        <v>-10</v>
      </c>
      <c r="J172" s="95" t="n">
        <v>-28.9</v>
      </c>
      <c r="K172" s="96" t="inlineStr">
        <is>
          <t>2158 YIDU TECH; 9980 EASTROC</t>
        </is>
      </c>
    </row>
    <row r="173">
      <c r="A173" s="16" t="inlineStr">
        <is>
          <t>Cormorant Asset Management, LP</t>
        </is>
      </c>
      <c r="B173" s="89" t="n">
        <v>2</v>
      </c>
      <c r="C173" s="94" t="n">
        <v>100</v>
      </c>
      <c r="D173" s="95" t="n">
        <v>72</v>
      </c>
      <c r="E173" s="95" t="n">
        <v>29.3</v>
      </c>
      <c r="F173" s="95" t="n">
        <v>14.1</v>
      </c>
      <c r="G173" s="95" t="n">
        <v>-1.6</v>
      </c>
      <c r="H173" s="95" t="n">
        <v>-22.2</v>
      </c>
      <c r="I173" s="95" t="n">
        <v>-32</v>
      </c>
      <c r="J173" s="95" t="n">
        <v>-30</v>
      </c>
      <c r="K173" s="96" t="inlineStr">
        <is>
          <t>2190 ZYLOXTB-B; 9637 ALEBUND-B</t>
        </is>
      </c>
    </row>
    <row r="174">
      <c r="A174" s="16" t="inlineStr">
        <is>
          <t>The Biotech Growth Trust PLC</t>
        </is>
      </c>
      <c r="B174" s="89" t="n">
        <v>2</v>
      </c>
      <c r="C174" s="94" t="n">
        <v>100</v>
      </c>
      <c r="D174" s="95" t="n">
        <v>71.8</v>
      </c>
      <c r="E174" s="95" t="n">
        <v>68.59999999999999</v>
      </c>
      <c r="F174" s="95" t="n">
        <v>14.5</v>
      </c>
      <c r="G174" s="95" t="n">
        <v>25.8</v>
      </c>
      <c r="H174" s="95" t="n">
        <v>-0</v>
      </c>
      <c r="I174" s="95" t="n">
        <v>-32.4</v>
      </c>
      <c r="J174" s="95" t="n">
        <v>-39.1</v>
      </c>
      <c r="K174" s="96" t="inlineStr">
        <is>
          <t>2595 GENFLEET-B; 1779 LONGBIO-B</t>
        </is>
      </c>
    </row>
    <row r="175">
      <c r="A175" s="16" t="inlineStr">
        <is>
          <t>KCH International Investment Limited</t>
        </is>
      </c>
      <c r="B175" s="89" t="n">
        <v>2</v>
      </c>
      <c r="C175" s="94" t="n">
        <v>100</v>
      </c>
      <c r="D175" s="95" t="n">
        <v>70.90000000000001</v>
      </c>
      <c r="E175" s="95" t="n">
        <v>29.8</v>
      </c>
      <c r="F175" s="95" t="n">
        <v>38.9</v>
      </c>
      <c r="G175" s="95" t="n">
        <v>68.59999999999999</v>
      </c>
      <c r="H175" s="95" t="n">
        <v>-20.5</v>
      </c>
      <c r="I175" s="95" t="n">
        <v>-12.1</v>
      </c>
      <c r="J175" s="95" t="n">
        <v>15.3</v>
      </c>
      <c r="K175" s="96" t="inlineStr">
        <is>
          <t>2431 MINIEYE; 1236 LDROBOT</t>
        </is>
      </c>
    </row>
    <row r="176">
      <c r="A176" s="16" t="inlineStr">
        <is>
          <t>Hua Yuan International Limited</t>
        </is>
      </c>
      <c r="B176" s="89" t="n">
        <v>2</v>
      </c>
      <c r="C176" s="94" t="n">
        <v>50</v>
      </c>
      <c r="D176" s="95" t="n">
        <v>70.7</v>
      </c>
      <c r="E176" s="95" t="n">
        <v>61.3</v>
      </c>
      <c r="F176" s="95" t="n">
        <v>101.6</v>
      </c>
      <c r="G176" s="95" t="n">
        <v>165</v>
      </c>
      <c r="H176" s="95" t="n">
        <v>-7.7</v>
      </c>
      <c r="I176" s="95" t="n">
        <v>6.3</v>
      </c>
      <c r="J176" s="95" t="n">
        <v>-4.9</v>
      </c>
      <c r="K176" s="96" t="inlineStr">
        <is>
          <t>6872 TENNOR THERAP-B; 0537 RIGOL</t>
        </is>
      </c>
    </row>
    <row r="177">
      <c r="A177" s="16" t="inlineStr">
        <is>
          <t>Oakwise Growth Fund SPC – Global Select Opportunities Fund SP</t>
        </is>
      </c>
      <c r="B177" s="89" t="n">
        <v>2</v>
      </c>
      <c r="C177" s="94" t="n">
        <v>100</v>
      </c>
      <c r="D177" s="95" t="n">
        <v>64.8</v>
      </c>
      <c r="E177" s="95" t="n">
        <v>58.6</v>
      </c>
      <c r="F177" s="95" t="n">
        <v>1.3</v>
      </c>
      <c r="G177" s="95" t="n">
        <v>-13.1</v>
      </c>
      <c r="H177" s="95" t="n">
        <v>-0.3</v>
      </c>
      <c r="I177" s="95" t="n">
        <v>-30.6</v>
      </c>
      <c r="J177" s="95" t="n">
        <v>-15.1</v>
      </c>
      <c r="K177" s="96" t="inlineStr">
        <is>
          <t>2692 ZHAOWEI; 6675 SENASIC</t>
        </is>
      </c>
    </row>
    <row r="178">
      <c r="A178" s="16" t="inlineStr">
        <is>
          <t>CR Alpha Investment II Limited</t>
        </is>
      </c>
      <c r="B178" s="89" t="n">
        <v>2</v>
      </c>
      <c r="C178" s="94" t="n">
        <v>50</v>
      </c>
      <c r="D178" s="95" t="n">
        <v>63.8</v>
      </c>
      <c r="E178" s="95" t="n">
        <v>127.3</v>
      </c>
      <c r="F178" s="95" t="n">
        <v>65.7</v>
      </c>
      <c r="G178" s="95" t="n">
        <v>-9.300000000000001</v>
      </c>
      <c r="H178" s="95" t="n">
        <v>25</v>
      </c>
      <c r="I178" s="95" t="n">
        <v>2.8</v>
      </c>
      <c r="J178" s="95" t="n">
        <v>-37.2</v>
      </c>
      <c r="K178" s="96" t="inlineStr">
        <is>
          <t>6680 JLMAG; 0068 MANYCORE TECH</t>
        </is>
      </c>
    </row>
    <row r="179">
      <c r="A179" s="16" t="inlineStr">
        <is>
          <t>Abstract Enigma Limited</t>
        </is>
      </c>
      <c r="B179" s="89" t="n">
        <v>2</v>
      </c>
      <c r="C179" s="94" t="n">
        <v>100</v>
      </c>
      <c r="D179" s="95" t="n">
        <v>62.8</v>
      </c>
      <c r="E179" s="95" t="n">
        <v>91.5</v>
      </c>
      <c r="F179" s="95" t="n">
        <v>114.3</v>
      </c>
      <c r="G179" s="95" t="n">
        <v>251.6</v>
      </c>
      <c r="H179" s="95" t="n">
        <v>13.9</v>
      </c>
      <c r="I179" s="95" t="n">
        <v>24.7</v>
      </c>
      <c r="J179" s="95" t="n">
        <v>98.09999999999999</v>
      </c>
      <c r="K179" s="96" t="inlineStr">
        <is>
          <t>3750 CATL; 0100 MINIMAX-WP</t>
        </is>
      </c>
    </row>
    <row r="180">
      <c r="A180" s="16" t="inlineStr">
        <is>
          <t>Huangshan City Investment Private Equity Fund Management Co., Ltd</t>
        </is>
      </c>
      <c r="B180" s="89" t="n">
        <v>2</v>
      </c>
      <c r="C180" s="94" t="n">
        <v>100</v>
      </c>
      <c r="D180" s="95" t="n">
        <v>58.3</v>
      </c>
      <c r="E180" s="95" t="n">
        <v>67</v>
      </c>
      <c r="F180" s="95" t="n">
        <v>46.6</v>
      </c>
      <c r="G180" s="95" t="n">
        <v>42.8</v>
      </c>
      <c r="H180" s="95" t="n">
        <v>3.4</v>
      </c>
      <c r="I180" s="95" t="n">
        <v>-12.1</v>
      </c>
      <c r="J180" s="95" t="n">
        <v>-13.3</v>
      </c>
      <c r="K180" s="96" t="inlineStr">
        <is>
          <t>1334 RUICHANG INTL; 2720 RIDGE OUTDOOR</t>
        </is>
      </c>
    </row>
    <row r="181">
      <c r="A181" s="16" t="inlineStr">
        <is>
          <t>Alisoft China Holding Limited</t>
        </is>
      </c>
      <c r="B181" s="89" t="n">
        <v>2</v>
      </c>
      <c r="C181" s="94" t="n">
        <v>100</v>
      </c>
      <c r="D181" s="95" t="n">
        <v>55.9</v>
      </c>
      <c r="E181" s="95" t="n">
        <v>92.5</v>
      </c>
      <c r="F181" s="95" t="n">
        <v>103.7</v>
      </c>
      <c r="G181" s="95" t="n">
        <v>227.9</v>
      </c>
      <c r="H181" s="95" t="n">
        <v>21.6</v>
      </c>
      <c r="I181" s="95" t="n">
        <v>21</v>
      </c>
      <c r="J181" s="95" t="n">
        <v>84</v>
      </c>
      <c r="K181" s="96" t="inlineStr">
        <is>
          <t>9660 HORIZONROBOT-W; 0100 MINIMAX-WP</t>
        </is>
      </c>
    </row>
    <row r="182">
      <c r="A182" s="16" t="inlineStr">
        <is>
          <t>QuantumPharm Limited</t>
        </is>
      </c>
      <c r="B182" s="89" t="n">
        <v>2</v>
      </c>
      <c r="C182" s="94" t="n">
        <v>100</v>
      </c>
      <c r="D182" s="95" t="n">
        <v>54.6</v>
      </c>
      <c r="E182" s="95" t="n">
        <v>28.9</v>
      </c>
      <c r="F182" s="95" t="n">
        <v>25.4</v>
      </c>
      <c r="G182" s="95" t="n">
        <v>40.5</v>
      </c>
      <c r="H182" s="95" t="n">
        <v>-13</v>
      </c>
      <c r="I182" s="95" t="n">
        <v>-13.6</v>
      </c>
      <c r="J182" s="95" t="n">
        <v>-6.8</v>
      </c>
      <c r="K182" s="96" t="inlineStr">
        <is>
          <t>2315 BIOCYTOGEN-B; 2718 MININGLAMP-W</t>
        </is>
      </c>
    </row>
    <row r="183">
      <c r="A183" s="16" t="inlineStr">
        <is>
          <t>Montage Technology Holdings Company Limited</t>
        </is>
      </c>
      <c r="B183" s="89" t="n">
        <v>2</v>
      </c>
      <c r="C183" s="94" t="n">
        <v>100</v>
      </c>
      <c r="D183" s="95" t="n">
        <v>54.5</v>
      </c>
      <c r="E183" s="95" t="n">
        <v>26.1</v>
      </c>
      <c r="F183" s="95" t="n">
        <v>11.9</v>
      </c>
      <c r="G183" s="95" t="n">
        <v>-10.8</v>
      </c>
      <c r="H183" s="95" t="n">
        <v>-15.8</v>
      </c>
      <c r="I183" s="95" t="n">
        <v>-23.6</v>
      </c>
      <c r="J183" s="95" t="n">
        <v>-15.2</v>
      </c>
      <c r="K183" s="96" t="inlineStr">
        <is>
          <t>6682 FOURTH PARADIGM; 9630 CFMEE</t>
        </is>
      </c>
    </row>
    <row r="184">
      <c r="A184" s="16" t="inlineStr">
        <is>
          <t>Charoen Pokphand Foods (CPF)</t>
        </is>
      </c>
      <c r="B184" s="89" t="n">
        <v>2</v>
      </c>
      <c r="C184" s="94" t="n">
        <v>100</v>
      </c>
      <c r="D184" s="95" t="n">
        <v>53.7</v>
      </c>
      <c r="E184" s="95" t="n">
        <v>37.1</v>
      </c>
      <c r="F184" s="95" t="n">
        <v>42</v>
      </c>
      <c r="G184" s="95" t="n">
        <v>-7</v>
      </c>
      <c r="H184" s="95" t="n">
        <v>-8.9</v>
      </c>
      <c r="I184" s="95" t="n">
        <v>-2</v>
      </c>
      <c r="J184" s="95" t="n">
        <v>-30.6</v>
      </c>
      <c r="K184" s="96" t="inlineStr">
        <is>
          <t>2714 MUYUAN; 6656 SIGENERGY</t>
        </is>
      </c>
    </row>
    <row r="185">
      <c r="A185" s="16" t="inlineStr">
        <is>
          <t>Prosper High Holding Limited</t>
        </is>
      </c>
      <c r="B185" s="89" t="n">
        <v>2</v>
      </c>
      <c r="C185" s="94" t="n">
        <v>50</v>
      </c>
      <c r="D185" s="95" t="n">
        <v>53.4</v>
      </c>
      <c r="E185" s="95" t="n">
        <v>40.5</v>
      </c>
      <c r="F185" s="95" t="n">
        <v>40.6</v>
      </c>
      <c r="G185" s="95" t="n">
        <v>-39.8</v>
      </c>
      <c r="H185" s="95" t="n">
        <v>-7.1</v>
      </c>
      <c r="I185" s="95" t="n">
        <v>-5.7</v>
      </c>
      <c r="J185" s="95" t="n">
        <v>-71.09999999999999</v>
      </c>
      <c r="K185" s="96" t="inlineStr">
        <is>
          <t>7630 IMPACT THERAP-B; 2475 LUXSHARE ICT</t>
        </is>
      </c>
    </row>
    <row r="186">
      <c r="A186" s="16" t="inlineStr">
        <is>
          <t>Victory Giant Technology Holdings (Hong Kong) Limited</t>
        </is>
      </c>
      <c r="B186" s="89" t="n">
        <v>2</v>
      </c>
      <c r="C186" s="94" t="n">
        <v>50</v>
      </c>
      <c r="D186" s="95" t="n">
        <v>51</v>
      </c>
      <c r="E186" s="95" t="n">
        <v>32.5</v>
      </c>
      <c r="F186" s="95" t="n">
        <v>16.4</v>
      </c>
      <c r="G186" s="95" t="n"/>
      <c r="H186" s="95" t="n">
        <v>-6</v>
      </c>
      <c r="I186" s="95" t="n">
        <v>-15.8</v>
      </c>
      <c r="J186" s="95" t="n"/>
      <c r="K186" s="96" t="inlineStr">
        <is>
          <t>9630 CFMEE; 1377 DTECH</t>
        </is>
      </c>
    </row>
    <row r="187">
      <c r="A187" s="16" t="inlineStr">
        <is>
          <t>Seraphim Advantage Inc</t>
        </is>
      </c>
      <c r="B187" s="89" t="n">
        <v>2</v>
      </c>
      <c r="C187" s="94" t="n">
        <v>100</v>
      </c>
      <c r="D187" s="95" t="n">
        <v>50.8</v>
      </c>
      <c r="E187" s="95" t="n">
        <v>75.90000000000001</v>
      </c>
      <c r="F187" s="95" t="n">
        <v>79.7</v>
      </c>
      <c r="G187" s="95" t="n">
        <v>175.9</v>
      </c>
      <c r="H187" s="95" t="n">
        <v>17.8</v>
      </c>
      <c r="I187" s="95" t="n">
        <v>20.7</v>
      </c>
      <c r="J187" s="95" t="n">
        <v>77.40000000000001</v>
      </c>
      <c r="K187" s="96" t="inlineStr">
        <is>
          <t>1318 MAO GEPING; 6168 ZHOU LIU FU</t>
        </is>
      </c>
    </row>
    <row r="188">
      <c r="A188" s="16" t="inlineStr">
        <is>
          <t>HQ TELECOM SINGAPORE PTE. LTD</t>
        </is>
      </c>
      <c r="B188" s="89" t="n">
        <v>2</v>
      </c>
      <c r="C188" s="94" t="n">
        <v>100</v>
      </c>
      <c r="D188" s="95" t="n">
        <v>48.6</v>
      </c>
      <c r="E188" s="95" t="n">
        <v>40.4</v>
      </c>
      <c r="F188" s="95" t="n">
        <v>34.9</v>
      </c>
      <c r="G188" s="95" t="n">
        <v>9.6</v>
      </c>
      <c r="H188" s="95" t="n">
        <v>-5.5</v>
      </c>
      <c r="I188" s="95" t="n">
        <v>-9.4</v>
      </c>
      <c r="J188" s="95" t="n">
        <v>-27</v>
      </c>
      <c r="K188" s="96" t="inlineStr">
        <is>
          <t>2476 VGT; 3661 SG MICRO</t>
        </is>
      </c>
    </row>
    <row r="189">
      <c r="A189" s="16" t="inlineStr">
        <is>
          <t>First Seafront Fund Series SPC</t>
        </is>
      </c>
      <c r="B189" s="89" t="n">
        <v>2</v>
      </c>
      <c r="C189" s="94" t="n">
        <v>100</v>
      </c>
      <c r="D189" s="95" t="n">
        <v>47.8</v>
      </c>
      <c r="E189" s="95" t="n">
        <v>28.6</v>
      </c>
      <c r="F189" s="95" t="n">
        <v>17.1</v>
      </c>
      <c r="G189" s="95" t="n">
        <v>43.8</v>
      </c>
      <c r="H189" s="95" t="n">
        <v>-7.6</v>
      </c>
      <c r="I189" s="95" t="n">
        <v>-12.8</v>
      </c>
      <c r="J189" s="95" t="n">
        <v>28.9</v>
      </c>
      <c r="K189" s="96" t="inlineStr">
        <is>
          <t>2768 GON TECHNOLOGY; 1956 WENGE AI</t>
        </is>
      </c>
    </row>
    <row r="190">
      <c r="A190" s="16" t="inlineStr">
        <is>
          <t>Gaoling Fund, L.P.</t>
        </is>
      </c>
      <c r="B190" s="89" t="n">
        <v>2</v>
      </c>
      <c r="C190" s="94" t="n">
        <v>100</v>
      </c>
      <c r="D190" s="95" t="n">
        <v>47.4</v>
      </c>
      <c r="E190" s="95" t="n">
        <v>44.6</v>
      </c>
      <c r="F190" s="95" t="n">
        <v>19.1</v>
      </c>
      <c r="G190" s="95" t="n">
        <v>12.9</v>
      </c>
      <c r="H190" s="95" t="n">
        <v>-2.2</v>
      </c>
      <c r="I190" s="95" t="n">
        <v>-19.4</v>
      </c>
      <c r="J190" s="95" t="n">
        <v>-23.7</v>
      </c>
      <c r="K190" s="96" t="inlineStr">
        <is>
          <t>2160 CARDIOFLOW-B; 2190 ZYLOXTB-B</t>
        </is>
      </c>
    </row>
    <row r="191">
      <c r="A191" s="16" t="inlineStr">
        <is>
          <t>Sparky International Company Limited</t>
        </is>
      </c>
      <c r="B191" s="89" t="n">
        <v>2</v>
      </c>
      <c r="C191" s="94" t="n">
        <v>50</v>
      </c>
      <c r="D191" s="95" t="n">
        <v>45.3</v>
      </c>
      <c r="E191" s="95" t="n">
        <v>55.7</v>
      </c>
      <c r="F191" s="95" t="n">
        <v>105.8</v>
      </c>
      <c r="G191" s="95" t="n">
        <v>161.6</v>
      </c>
      <c r="H191" s="95" t="n">
        <v>5.9</v>
      </c>
      <c r="I191" s="95" t="n">
        <v>37.8</v>
      </c>
      <c r="J191" s="95" t="n">
        <v>87.3</v>
      </c>
      <c r="K191" s="96" t="inlineStr">
        <is>
          <t>6693 CHIFENG GOLD; 2546 ZHIHUI MINING</t>
        </is>
      </c>
    </row>
    <row r="192">
      <c r="A192" s="16" t="inlineStr">
        <is>
          <t>Golden Valley Global Limited</t>
        </is>
      </c>
      <c r="B192" s="89" t="n">
        <v>2</v>
      </c>
      <c r="C192" s="94" t="n">
        <v>50</v>
      </c>
      <c r="D192" s="95" t="n">
        <v>44.4</v>
      </c>
      <c r="E192" s="95" t="n">
        <v>-1.5</v>
      </c>
      <c r="F192" s="95" t="n">
        <v>-0.7</v>
      </c>
      <c r="G192" s="95" t="n">
        <v>-52.4</v>
      </c>
      <c r="H192" s="95" t="n">
        <v>-28.5</v>
      </c>
      <c r="I192" s="95" t="n">
        <v>-24.3</v>
      </c>
      <c r="J192" s="95" t="n">
        <v>-44.1</v>
      </c>
      <c r="K192" s="96" t="inlineStr">
        <is>
          <t>6622 ZHAOKE OPHTH-B; 9637 ALEBUND-B</t>
        </is>
      </c>
    </row>
    <row r="193">
      <c r="A193" s="16" t="inlineStr">
        <is>
          <t>CMBC INTERNATIONAL INVESTMENT (HK) LIMITED</t>
        </is>
      </c>
      <c r="B193" s="89" t="n">
        <v>2</v>
      </c>
      <c r="C193" s="94" t="n">
        <v>100</v>
      </c>
      <c r="D193" s="95" t="n">
        <v>43.2</v>
      </c>
      <c r="E193" s="95" t="n">
        <v>20.7</v>
      </c>
      <c r="F193" s="95" t="n">
        <v>-3.2</v>
      </c>
      <c r="G193" s="95" t="n">
        <v>-13.1</v>
      </c>
      <c r="H193" s="95" t="n">
        <v>-10.3</v>
      </c>
      <c r="I193" s="95" t="n">
        <v>-27.4</v>
      </c>
      <c r="J193" s="95" t="n">
        <v>-15.1</v>
      </c>
      <c r="K193" s="96" t="inlineStr">
        <is>
          <t>2692 ZHAOWEI; 1956 WENGE AI</t>
        </is>
      </c>
    </row>
    <row r="194">
      <c r="A194" s="16" t="inlineStr">
        <is>
          <t>Kunming Jiashiqing Investment Partnership (Limited Partnership)</t>
        </is>
      </c>
      <c r="B194" s="89" t="n">
        <v>2</v>
      </c>
      <c r="C194" s="94" t="n">
        <v>100</v>
      </c>
      <c r="D194" s="95" t="n">
        <v>35.8</v>
      </c>
      <c r="E194" s="95" t="n">
        <v>38.2</v>
      </c>
      <c r="F194" s="95" t="n">
        <v>28.7</v>
      </c>
      <c r="G194" s="95" t="n">
        <v>40.5</v>
      </c>
      <c r="H194" s="95" t="n">
        <v>1.7</v>
      </c>
      <c r="I194" s="95" t="n">
        <v>-5.3</v>
      </c>
      <c r="J194" s="95" t="n">
        <v>3.4</v>
      </c>
      <c r="K194" s="96" t="inlineStr">
        <is>
          <t>2257 SIRNAOMICS-B; 2373 BEAUTYFARM MED</t>
        </is>
      </c>
    </row>
    <row r="195">
      <c r="A195" s="16" t="inlineStr">
        <is>
          <t>Changsha Xunmang</t>
        </is>
      </c>
      <c r="B195" s="89" t="n">
        <v>2</v>
      </c>
      <c r="C195" s="94" t="n">
        <v>50</v>
      </c>
      <c r="D195" s="95" t="n">
        <v>34</v>
      </c>
      <c r="E195" s="95" t="n">
        <v>31.1</v>
      </c>
      <c r="F195" s="95" t="n">
        <v>24.5</v>
      </c>
      <c r="G195" s="95" t="n">
        <v>33.2</v>
      </c>
      <c r="H195" s="95" t="n">
        <v>-2.9</v>
      </c>
      <c r="I195" s="95" t="n">
        <v>-8.699999999999999</v>
      </c>
      <c r="J195" s="95" t="n">
        <v>-4</v>
      </c>
      <c r="K195" s="96" t="inlineStr">
        <is>
          <t>1768 BUSYMING; 1187 COFOE MEDICAL</t>
        </is>
      </c>
    </row>
    <row r="196">
      <c r="A196" s="16" t="inlineStr">
        <is>
          <t>Springs Capital (Hong Kong) Limited</t>
        </is>
      </c>
      <c r="B196" s="89" t="n">
        <v>2</v>
      </c>
      <c r="C196" s="94" t="n">
        <v>100</v>
      </c>
      <c r="D196" s="95" t="n">
        <v>32.1</v>
      </c>
      <c r="E196" s="95" t="n">
        <v>20.5</v>
      </c>
      <c r="F196" s="95" t="n">
        <v>3</v>
      </c>
      <c r="G196" s="95" t="n">
        <v>14.6</v>
      </c>
      <c r="H196" s="95" t="n">
        <v>-8.800000000000001</v>
      </c>
      <c r="I196" s="95" t="n">
        <v>-22.4</v>
      </c>
      <c r="J196" s="95" t="n">
        <v>-19.1</v>
      </c>
      <c r="K196" s="96" t="inlineStr">
        <is>
          <t>6938 RIBOLIFE-B; 6067 SENIOR MATERIAL</t>
        </is>
      </c>
    </row>
    <row r="197">
      <c r="A197" s="16" t="inlineStr">
        <is>
          <t>Nova Kerry Inc</t>
        </is>
      </c>
      <c r="B197" s="89" t="n">
        <v>2</v>
      </c>
      <c r="C197" s="94" t="n">
        <v>100</v>
      </c>
      <c r="D197" s="95" t="n">
        <v>27.7</v>
      </c>
      <c r="E197" s="95" t="n">
        <v>-7.8</v>
      </c>
      <c r="F197" s="95" t="n">
        <v>-33.7</v>
      </c>
      <c r="G197" s="95" t="n"/>
      <c r="H197" s="95" t="n">
        <v>-27</v>
      </c>
      <c r="I197" s="95" t="n">
        <v>-47.9</v>
      </c>
      <c r="J197" s="95" t="n"/>
      <c r="K197" s="96" t="inlineStr">
        <is>
          <t>6106 SEER TECH; 6715 XUNLONG SCITECH</t>
        </is>
      </c>
    </row>
    <row r="198">
      <c r="A198" s="16" t="inlineStr">
        <is>
          <t>New Alternative Limited</t>
        </is>
      </c>
      <c r="B198" s="89" t="n">
        <v>2</v>
      </c>
      <c r="C198" s="94" t="n">
        <v>50</v>
      </c>
      <c r="D198" s="95" t="n">
        <v>25</v>
      </c>
      <c r="E198" s="95" t="n">
        <v>15.4</v>
      </c>
      <c r="F198" s="95" t="n">
        <v>26.5</v>
      </c>
      <c r="G198" s="95" t="n">
        <v>-8.300000000000001</v>
      </c>
      <c r="H198" s="95" t="n">
        <v>-8.5</v>
      </c>
      <c r="I198" s="95" t="n">
        <v>-1</v>
      </c>
      <c r="J198" s="95" t="n">
        <v>-26.6</v>
      </c>
      <c r="K198" s="96" t="inlineStr">
        <is>
          <t>9927 SERES; 2476 VGT</t>
        </is>
      </c>
    </row>
    <row r="199">
      <c r="A199" s="16" t="inlineStr">
        <is>
          <t>Ovata Capital</t>
        </is>
      </c>
      <c r="B199" s="89" t="n">
        <v>2</v>
      </c>
      <c r="C199" s="94" t="n">
        <v>50</v>
      </c>
      <c r="D199" s="95" t="n">
        <v>25</v>
      </c>
      <c r="E199" s="95" t="n">
        <v>21.8</v>
      </c>
      <c r="F199" s="95" t="n">
        <v>28</v>
      </c>
      <c r="G199" s="95" t="n">
        <v>12.5</v>
      </c>
      <c r="H199" s="95" t="n">
        <v>-2.1</v>
      </c>
      <c r="I199" s="95" t="n">
        <v>0.4</v>
      </c>
      <c r="J199" s="95" t="n">
        <v>-5.7</v>
      </c>
      <c r="K199" s="96" t="inlineStr">
        <is>
          <t>0470 WUXI LEAD; 2476 VGT</t>
        </is>
      </c>
    </row>
    <row r="200">
      <c r="A200" s="16" t="inlineStr">
        <is>
          <t>Stoneylake Global Alpha Fund</t>
        </is>
      </c>
      <c r="B200" s="89" t="n">
        <v>2</v>
      </c>
      <c r="C200" s="94" t="n">
        <v>100</v>
      </c>
      <c r="D200" s="95" t="n">
        <v>24.9</v>
      </c>
      <c r="E200" s="95" t="n">
        <v>19.9</v>
      </c>
      <c r="F200" s="95" t="n">
        <v>5.2</v>
      </c>
      <c r="G200" s="95" t="n">
        <v>-9.5</v>
      </c>
      <c r="H200" s="95" t="n">
        <v>-4.1</v>
      </c>
      <c r="I200" s="95" t="n">
        <v>-15.9</v>
      </c>
      <c r="J200" s="95" t="n">
        <v>-27.5</v>
      </c>
      <c r="K200" s="96" t="inlineStr">
        <is>
          <t>6687 JST GROUP; 3636 JINXUN RESOURCE</t>
        </is>
      </c>
    </row>
    <row r="201">
      <c r="A201" s="16" t="inlineStr">
        <is>
          <t>Hongda Juankang Limited</t>
        </is>
      </c>
      <c r="B201" s="89" t="n">
        <v>2</v>
      </c>
      <c r="C201" s="94" t="n">
        <v>100</v>
      </c>
      <c r="D201" s="95" t="n">
        <v>23.3</v>
      </c>
      <c r="E201" s="95" t="n">
        <v>53</v>
      </c>
      <c r="F201" s="95" t="n">
        <v>25.7</v>
      </c>
      <c r="G201" s="95" t="n">
        <v>141.4</v>
      </c>
      <c r="H201" s="95" t="n">
        <v>21.6</v>
      </c>
      <c r="I201" s="95" t="n">
        <v>-1</v>
      </c>
      <c r="J201" s="95" t="n">
        <v>83.7</v>
      </c>
      <c r="K201" s="96" t="inlineStr">
        <is>
          <t>2587 HEALTHYWAY INC; 2525 HESAI-W</t>
        </is>
      </c>
    </row>
    <row r="202">
      <c r="A202" s="16" t="inlineStr">
        <is>
          <t>First Sentier Investors (Hong Kong) Limited</t>
        </is>
      </c>
      <c r="B202" s="89" t="n">
        <v>2</v>
      </c>
      <c r="C202" s="94" t="n">
        <v>50</v>
      </c>
      <c r="D202" s="95" t="n">
        <v>22.8</v>
      </c>
      <c r="E202" s="95" t="n">
        <v>16.4</v>
      </c>
      <c r="F202" s="95" t="n">
        <v>2.5</v>
      </c>
      <c r="G202" s="95" t="n"/>
      <c r="H202" s="95" t="n">
        <v>-5</v>
      </c>
      <c r="I202" s="95" t="n">
        <v>-13.5</v>
      </c>
      <c r="J202" s="95" t="n"/>
      <c r="K202" s="96" t="inlineStr">
        <is>
          <t>3661 SG MICRO; 2475 LUXSHARE ICT</t>
        </is>
      </c>
    </row>
    <row r="203">
      <c r="A203" s="16" t="inlineStr">
        <is>
          <t>Deliante Holdings Co., Ltd</t>
        </is>
      </c>
      <c r="B203" s="89" t="n">
        <v>2</v>
      </c>
      <c r="C203" s="94" t="n">
        <v>50</v>
      </c>
      <c r="D203" s="95" t="n">
        <v>22.7</v>
      </c>
      <c r="E203" s="95" t="n">
        <v>18.9</v>
      </c>
      <c r="F203" s="95" t="n">
        <v>13.9</v>
      </c>
      <c r="G203" s="95" t="n">
        <v>9.6</v>
      </c>
      <c r="H203" s="95" t="n">
        <v>-2.6</v>
      </c>
      <c r="I203" s="95" t="n">
        <v>-12.1</v>
      </c>
      <c r="J203" s="95" t="n">
        <v>-27</v>
      </c>
      <c r="K203" s="96" t="inlineStr">
        <is>
          <t>2476 VGT; 1688 LINGYI ITECH</t>
        </is>
      </c>
    </row>
    <row r="204">
      <c r="A204" s="16" t="inlineStr">
        <is>
          <t>Main Achieve Holdings Limited</t>
        </is>
      </c>
      <c r="B204" s="89" t="n">
        <v>2</v>
      </c>
      <c r="C204" s="94" t="n">
        <v>100</v>
      </c>
      <c r="D204" s="95" t="n">
        <v>22.2</v>
      </c>
      <c r="E204" s="95" t="n">
        <v>20.7</v>
      </c>
      <c r="F204" s="95" t="n">
        <v>-2.2</v>
      </c>
      <c r="G204" s="95" t="n">
        <v>-1.8</v>
      </c>
      <c r="H204" s="95" t="n">
        <v>0.2</v>
      </c>
      <c r="I204" s="95" t="n">
        <v>-18.6</v>
      </c>
      <c r="J204" s="95" t="n">
        <v>-19</v>
      </c>
      <c r="K204" s="96" t="inlineStr">
        <is>
          <t>9881 RONGTA TECH; 2692 ZHAOWEI</t>
        </is>
      </c>
    </row>
    <row r="205">
      <c r="A205" s="16" t="inlineStr">
        <is>
          <t>Cithara Fund</t>
        </is>
      </c>
      <c r="B205" s="89" t="n">
        <v>2</v>
      </c>
      <c r="C205" s="94" t="n">
        <v>50</v>
      </c>
      <c r="D205" s="95" t="n">
        <v>21.9</v>
      </c>
      <c r="E205" s="95" t="n">
        <v>15.9</v>
      </c>
      <c r="F205" s="95" t="n">
        <v>21.8</v>
      </c>
      <c r="G205" s="95" t="n">
        <v>7.7</v>
      </c>
      <c r="H205" s="95" t="n">
        <v>-6.3</v>
      </c>
      <c r="I205" s="95" t="n">
        <v>1.1</v>
      </c>
      <c r="J205" s="95" t="n">
        <v>-14.4</v>
      </c>
      <c r="K205" s="96" t="inlineStr">
        <is>
          <t>6090 BUTONG GROUP; 3887 HASHKEY HLDGS</t>
        </is>
      </c>
    </row>
    <row r="206">
      <c r="A206" s="16" t="inlineStr">
        <is>
          <t>Infore Holding</t>
        </is>
      </c>
      <c r="B206" s="89" t="n">
        <v>2</v>
      </c>
      <c r="C206" s="94" t="n">
        <v>100</v>
      </c>
      <c r="D206" s="95" t="n">
        <v>21.4</v>
      </c>
      <c r="E206" s="95" t="n">
        <v>9.800000000000001</v>
      </c>
      <c r="F206" s="95" t="n">
        <v>4.9</v>
      </c>
      <c r="G206" s="95" t="n">
        <v>20.1</v>
      </c>
      <c r="H206" s="95" t="n">
        <v>-7.8</v>
      </c>
      <c r="I206" s="95" t="n">
        <v>-12.1</v>
      </c>
      <c r="J206" s="95" t="n">
        <v>1.1</v>
      </c>
      <c r="K206" s="96" t="inlineStr">
        <is>
          <t>2589 AUNTEA JENNY; 6031 SANY HEAVY IND</t>
        </is>
      </c>
    </row>
    <row r="207">
      <c r="A207" s="16" t="inlineStr">
        <is>
          <t>HCEP Master Fund</t>
        </is>
      </c>
      <c r="B207" s="89" t="n">
        <v>2</v>
      </c>
      <c r="C207" s="94" t="n">
        <v>100</v>
      </c>
      <c r="D207" s="95" t="n">
        <v>20.9</v>
      </c>
      <c r="E207" s="95" t="n">
        <v>21.3</v>
      </c>
      <c r="F207" s="95" t="n">
        <v>25.7</v>
      </c>
      <c r="G207" s="95" t="n">
        <v>29</v>
      </c>
      <c r="H207" s="95" t="n">
        <v>2.2</v>
      </c>
      <c r="I207" s="95" t="n">
        <v>6.2</v>
      </c>
      <c r="J207" s="95" t="n">
        <v>8.9</v>
      </c>
      <c r="K207" s="96" t="inlineStr">
        <is>
          <t>0300 MIDEA GROUP; 6166 CIG</t>
        </is>
      </c>
    </row>
    <row r="208">
      <c r="A208" s="16" t="inlineStr">
        <is>
          <t>Star Flourish Ventures Limited</t>
        </is>
      </c>
      <c r="B208" s="89" t="n">
        <v>2</v>
      </c>
      <c r="C208" s="94" t="n">
        <v>100</v>
      </c>
      <c r="D208" s="95" t="n">
        <v>20.9</v>
      </c>
      <c r="E208" s="95" t="n">
        <v>50.1</v>
      </c>
      <c r="F208" s="95" t="n">
        <v>38.6</v>
      </c>
      <c r="G208" s="95" t="n">
        <v>182</v>
      </c>
      <c r="H208" s="95" t="n">
        <v>21</v>
      </c>
      <c r="I208" s="95" t="n">
        <v>13</v>
      </c>
      <c r="J208" s="95" t="n">
        <v>124</v>
      </c>
      <c r="K208" s="96" t="inlineStr">
        <is>
          <t>2587 HEALTHYWAY INC; 2506 XUNFEIHEALTH</t>
        </is>
      </c>
    </row>
    <row r="209">
      <c r="A209" s="16" t="inlineStr">
        <is>
          <t>Shanghai Gaoyi Asset Management (via HTCI swaps)</t>
        </is>
      </c>
      <c r="B209" s="89" t="n">
        <v>2</v>
      </c>
      <c r="C209" s="94" t="n">
        <v>100</v>
      </c>
      <c r="D209" s="95" t="n">
        <v>20.6</v>
      </c>
      <c r="E209" s="95" t="n">
        <v>25.2</v>
      </c>
      <c r="F209" s="95" t="n">
        <v>9.300000000000001</v>
      </c>
      <c r="G209" s="95" t="n">
        <v>0.7</v>
      </c>
      <c r="H209" s="95" t="n">
        <v>3</v>
      </c>
      <c r="I209" s="95" t="n">
        <v>-6.3</v>
      </c>
      <c r="J209" s="95" t="n">
        <v>-3.1</v>
      </c>
      <c r="K209" s="96" t="inlineStr">
        <is>
          <t>2714 MUYUAN; 1779 LONGBIO-B</t>
        </is>
      </c>
    </row>
    <row r="210">
      <c r="A210" s="16" t="inlineStr">
        <is>
          <t>Fourier Capital</t>
        </is>
      </c>
      <c r="B210" s="89" t="n">
        <v>2</v>
      </c>
      <c r="C210" s="94" t="n">
        <v>100</v>
      </c>
      <c r="D210" s="95" t="n">
        <v>19.9</v>
      </c>
      <c r="E210" s="95" t="n">
        <v>17.2</v>
      </c>
      <c r="F210" s="95" t="n">
        <v>7.9</v>
      </c>
      <c r="G210" s="95" t="n">
        <v>29.4</v>
      </c>
      <c r="H210" s="95" t="n">
        <v>-2</v>
      </c>
      <c r="I210" s="95" t="n">
        <v>-9.300000000000001</v>
      </c>
      <c r="J210" s="95" t="n">
        <v>9</v>
      </c>
      <c r="K210" s="96" t="inlineStr">
        <is>
          <t>1304 FORTIOR; 6687 JST GROUP</t>
        </is>
      </c>
    </row>
    <row r="211">
      <c r="A211" s="16" t="inlineStr">
        <is>
          <t>Baidu (Hong Kong) Limited</t>
        </is>
      </c>
      <c r="B211" s="89" t="n">
        <v>2</v>
      </c>
      <c r="C211" s="94" t="n">
        <v>100</v>
      </c>
      <c r="D211" s="95" t="n">
        <v>19.7</v>
      </c>
      <c r="E211" s="95" t="n">
        <v>58.8</v>
      </c>
      <c r="F211" s="95" t="n">
        <v>33.5</v>
      </c>
      <c r="G211" s="95" t="n">
        <v>156.6</v>
      </c>
      <c r="H211" s="95" t="n">
        <v>30.6</v>
      </c>
      <c r="I211" s="95" t="n">
        <v>9.199999999999999</v>
      </c>
      <c r="J211" s="95" t="n">
        <v>101</v>
      </c>
      <c r="K211" s="96" t="inlineStr">
        <is>
          <t>9660 HORIZONROBOT-W; 2587 HEALTHYWAY INC</t>
        </is>
      </c>
    </row>
    <row r="212">
      <c r="A212" s="16" t="inlineStr">
        <is>
          <t>EDB Investments Pte Ltd</t>
        </is>
      </c>
      <c r="B212" s="89" t="n">
        <v>2</v>
      </c>
      <c r="C212" s="94" t="n">
        <v>100</v>
      </c>
      <c r="D212" s="95" t="n">
        <v>19.3</v>
      </c>
      <c r="E212" s="95" t="n">
        <v>25.4</v>
      </c>
      <c r="F212" s="95" t="n">
        <v>34.8</v>
      </c>
      <c r="G212" s="95" t="n">
        <v>35.1</v>
      </c>
      <c r="H212" s="95" t="n">
        <v>5.7</v>
      </c>
      <c r="I212" s="95" t="n">
        <v>13</v>
      </c>
      <c r="J212" s="95" t="n">
        <v>10.4</v>
      </c>
      <c r="K212" s="96" t="inlineStr">
        <is>
          <t>9959 LINKLOGIS–W; 2629 MIRXES-B</t>
        </is>
      </c>
    </row>
    <row r="213">
      <c r="A213" s="16" t="inlineStr">
        <is>
          <t>Greater Bay Area Homeland Investments Limited</t>
        </is>
      </c>
      <c r="B213" s="89" t="n">
        <v>2</v>
      </c>
      <c r="C213" s="94" t="n">
        <v>100</v>
      </c>
      <c r="D213" s="95" t="n">
        <v>19.1</v>
      </c>
      <c r="E213" s="95" t="n">
        <v>16.9</v>
      </c>
      <c r="F213" s="95" t="n">
        <v>59</v>
      </c>
      <c r="G213" s="95" t="n">
        <v>163.6</v>
      </c>
      <c r="H213" s="95" t="n">
        <v>-2.4</v>
      </c>
      <c r="I213" s="95" t="n">
        <v>30.1</v>
      </c>
      <c r="J213" s="95" t="n">
        <v>97.40000000000001</v>
      </c>
      <c r="K213" s="96" t="inlineStr">
        <is>
          <t>1989 DELTON; 6951 CCTC</t>
        </is>
      </c>
    </row>
    <row r="214">
      <c r="A214" s="16" t="inlineStr">
        <is>
          <t>Al-Rayyan Holding LLC</t>
        </is>
      </c>
      <c r="B214" s="89" t="n">
        <v>2</v>
      </c>
      <c r="C214" s="94" t="n">
        <v>100</v>
      </c>
      <c r="D214" s="95" t="n">
        <v>18.7</v>
      </c>
      <c r="E214" s="95" t="n">
        <v>20.8</v>
      </c>
      <c r="F214" s="95" t="n">
        <v>18.7</v>
      </c>
      <c r="G214" s="95" t="n">
        <v>-11.2</v>
      </c>
      <c r="H214" s="95" t="n">
        <v>1.4</v>
      </c>
      <c r="I214" s="95" t="n">
        <v>-2</v>
      </c>
      <c r="J214" s="95" t="n">
        <v>-23.8</v>
      </c>
      <c r="K214" s="96" t="inlineStr">
        <is>
          <t>2268 WUXI XDC; 9980 EASTROC</t>
        </is>
      </c>
    </row>
    <row r="215">
      <c r="A215" s="16" t="inlineStr">
        <is>
          <t>HSG Growth VII Holdco, Ltd</t>
        </is>
      </c>
      <c r="B215" s="89" t="n">
        <v>2</v>
      </c>
      <c r="C215" s="94" t="n">
        <v>100</v>
      </c>
      <c r="D215" s="95" t="n">
        <v>18.7</v>
      </c>
      <c r="E215" s="95" t="n">
        <v>20.8</v>
      </c>
      <c r="F215" s="95" t="n">
        <v>18.7</v>
      </c>
      <c r="G215" s="95" t="n">
        <v>-11.2</v>
      </c>
      <c r="H215" s="95" t="n">
        <v>1.4</v>
      </c>
      <c r="I215" s="95" t="n">
        <v>-2</v>
      </c>
      <c r="J215" s="95" t="n">
        <v>-23.8</v>
      </c>
      <c r="K215" s="96" t="inlineStr">
        <is>
          <t>2268 WUXI XDC; 9980 EASTROC</t>
        </is>
      </c>
    </row>
    <row r="216">
      <c r="A216" s="16" t="inlineStr">
        <is>
          <t>Wisdomshire AM</t>
        </is>
      </c>
      <c r="B216" s="89" t="n">
        <v>2</v>
      </c>
      <c r="C216" s="94" t="n">
        <v>50</v>
      </c>
      <c r="D216" s="95" t="n">
        <v>18.6</v>
      </c>
      <c r="E216" s="95" t="n">
        <v>22.4</v>
      </c>
      <c r="F216" s="95" t="n">
        <v>-1.2</v>
      </c>
      <c r="G216" s="95" t="n">
        <v>10.9</v>
      </c>
      <c r="H216" s="95" t="n">
        <v>2.1</v>
      </c>
      <c r="I216" s="95" t="n">
        <v>-14.6</v>
      </c>
      <c r="J216" s="95" t="n">
        <v>10.9</v>
      </c>
      <c r="K216" s="96" t="inlineStr">
        <is>
          <t>6936 SF HOLDING; 1779 LONGBIO-B</t>
        </is>
      </c>
    </row>
    <row r="217">
      <c r="A217" s="16" t="inlineStr">
        <is>
          <t>Long-Z Fund I, LP</t>
        </is>
      </c>
      <c r="B217" s="89" t="n">
        <v>2</v>
      </c>
      <c r="C217" s="94" t="n">
        <v>50</v>
      </c>
      <c r="D217" s="95" t="n">
        <v>18.4</v>
      </c>
      <c r="E217" s="95" t="n">
        <v>46.1</v>
      </c>
      <c r="F217" s="95" t="n">
        <v>76.2</v>
      </c>
      <c r="G217" s="95" t="n">
        <v>168.8</v>
      </c>
      <c r="H217" s="95" t="n">
        <v>20.1</v>
      </c>
      <c r="I217" s="95" t="n">
        <v>49.9</v>
      </c>
      <c r="J217" s="95" t="n">
        <v>135.3</v>
      </c>
      <c r="K217" s="96" t="inlineStr">
        <is>
          <t>1364 GUMING; 2097 MIXUE GROUP</t>
        </is>
      </c>
    </row>
    <row r="218">
      <c r="A218" s="16" t="inlineStr">
        <is>
          <t>XING FA (HONG KONG) IMP.&amp;EXP. LIMITED</t>
        </is>
      </c>
      <c r="B218" s="89" t="n">
        <v>2</v>
      </c>
      <c r="C218" s="94" t="n">
        <v>50</v>
      </c>
      <c r="D218" s="95" t="n">
        <v>18.3</v>
      </c>
      <c r="E218" s="95" t="n">
        <v>47.7</v>
      </c>
      <c r="F218" s="95" t="n">
        <v>17</v>
      </c>
      <c r="G218" s="95" t="n">
        <v>128.7</v>
      </c>
      <c r="H218" s="95" t="n">
        <v>21.1</v>
      </c>
      <c r="I218" s="95" t="n">
        <v>-6</v>
      </c>
      <c r="J218" s="95" t="n">
        <v>74.59999999999999</v>
      </c>
      <c r="K218" s="96" t="inlineStr">
        <is>
          <t>3931 CALB; 2587 HEALTHYWAY INC</t>
        </is>
      </c>
    </row>
    <row r="219">
      <c r="A219" s="16" t="inlineStr">
        <is>
          <t>FR M CONSULTING CO., LTD</t>
        </is>
      </c>
      <c r="B219" s="89" t="n">
        <v>2</v>
      </c>
      <c r="C219" s="94" t="n">
        <v>50</v>
      </c>
      <c r="D219" s="95" t="n">
        <v>18.1</v>
      </c>
      <c r="E219" s="95" t="n">
        <v>21.6</v>
      </c>
      <c r="F219" s="95" t="n">
        <v>-8.6</v>
      </c>
      <c r="G219" s="95" t="n">
        <v>-17.7</v>
      </c>
      <c r="H219" s="95" t="n">
        <v>1.8</v>
      </c>
      <c r="I219" s="95" t="n">
        <v>-21.5</v>
      </c>
      <c r="J219" s="95" t="n">
        <v>-16.8</v>
      </c>
      <c r="K219" s="96" t="inlineStr">
        <is>
          <t>1187 COFOE MEDICAL; 1779 LONGBIO-B</t>
        </is>
      </c>
    </row>
    <row r="220">
      <c r="A220" s="16" t="inlineStr">
        <is>
          <t>Fund SPC</t>
        </is>
      </c>
      <c r="B220" s="89" t="n">
        <v>2</v>
      </c>
      <c r="C220" s="94" t="n">
        <v>100</v>
      </c>
      <c r="D220" s="95" t="n">
        <v>17.5</v>
      </c>
      <c r="E220" s="95" t="n">
        <v>9.800000000000001</v>
      </c>
      <c r="F220" s="95" t="n">
        <v>20.2</v>
      </c>
      <c r="G220" s="95" t="n">
        <v>39.4</v>
      </c>
      <c r="H220" s="95" t="n">
        <v>-7</v>
      </c>
      <c r="I220" s="95" t="n">
        <v>1.2</v>
      </c>
      <c r="J220" s="95" t="n">
        <v>15.8</v>
      </c>
      <c r="K220" s="96" t="inlineStr">
        <is>
          <t>2613 CONTIOCEAN; 2629 MIRXES-B</t>
        </is>
      </c>
    </row>
    <row r="221">
      <c r="A221" s="16" t="inlineStr">
        <is>
          <t>Trading Pacific Pte. Ltd</t>
        </is>
      </c>
      <c r="B221" s="89" t="n">
        <v>2</v>
      </c>
      <c r="C221" s="94" t="n">
        <v>100</v>
      </c>
      <c r="D221" s="95" t="n">
        <v>17.5</v>
      </c>
      <c r="E221" s="95" t="n">
        <v>31.8</v>
      </c>
      <c r="F221" s="95" t="n">
        <v>20.5</v>
      </c>
      <c r="G221" s="95" t="n">
        <v>30.4</v>
      </c>
      <c r="H221" s="95" t="n">
        <v>11.3</v>
      </c>
      <c r="I221" s="95" t="n">
        <v>0.7</v>
      </c>
      <c r="J221" s="95" t="n">
        <v>8.699999999999999</v>
      </c>
      <c r="K221" s="96" t="inlineStr">
        <is>
          <t>6168 ZHOU LIU FU; 2525 HESAI-W</t>
        </is>
      </c>
    </row>
    <row r="222">
      <c r="A222" s="16" t="inlineStr">
        <is>
          <t>Schonfeld</t>
        </is>
      </c>
      <c r="B222" s="89" t="n">
        <v>2</v>
      </c>
      <c r="C222" s="94" t="n">
        <v>50</v>
      </c>
      <c r="D222" s="95" t="n">
        <v>16.9</v>
      </c>
      <c r="E222" s="95" t="n">
        <v>6.1</v>
      </c>
      <c r="F222" s="95" t="n">
        <v>5.7</v>
      </c>
      <c r="G222" s="95" t="n">
        <v>5.3</v>
      </c>
      <c r="H222" s="95" t="n">
        <v>-8.199999999999999</v>
      </c>
      <c r="I222" s="95" t="n">
        <v>-8.800000000000001</v>
      </c>
      <c r="J222" s="95" t="n">
        <v>-9.800000000000001</v>
      </c>
      <c r="K222" s="96" t="inlineStr">
        <is>
          <t>6166 CIG; 7618 JD INDUSTRIALS</t>
        </is>
      </c>
    </row>
    <row r="223">
      <c r="A223" s="16" t="inlineStr">
        <is>
          <t>Baheal Wellness Limited</t>
        </is>
      </c>
      <c r="B223" s="89" t="n">
        <v>2</v>
      </c>
      <c r="C223" s="94" t="n">
        <v>50</v>
      </c>
      <c r="D223" s="95" t="n">
        <v>15</v>
      </c>
      <c r="E223" s="95" t="n">
        <v>43.5</v>
      </c>
      <c r="F223" s="95" t="n">
        <v>36.6</v>
      </c>
      <c r="G223" s="95" t="n">
        <v>-20.5</v>
      </c>
      <c r="H223" s="95" t="n">
        <v>23.3</v>
      </c>
      <c r="I223" s="95" t="n">
        <v>16.4</v>
      </c>
      <c r="J223" s="95" t="n">
        <v>-31.7</v>
      </c>
      <c r="K223" s="96" t="inlineStr">
        <is>
          <t>2361 SINOHEALTH HLDG; 2563 BIOSTAR PHARM-B</t>
        </is>
      </c>
    </row>
    <row r="224">
      <c r="A224" s="16" t="inlineStr">
        <is>
          <t>Bridge Zone Group Limited</t>
        </is>
      </c>
      <c r="B224" s="89" t="n">
        <v>2</v>
      </c>
      <c r="C224" s="94" t="n">
        <v>100</v>
      </c>
      <c r="D224" s="95" t="n">
        <v>14.2</v>
      </c>
      <c r="E224" s="95" t="n">
        <v>21.3</v>
      </c>
      <c r="F224" s="95" t="n">
        <v>9</v>
      </c>
      <c r="G224" s="95" t="n">
        <v>-12.9</v>
      </c>
      <c r="H224" s="95" t="n">
        <v>6.5</v>
      </c>
      <c r="I224" s="95" t="n">
        <v>-5</v>
      </c>
      <c r="J224" s="95" t="n">
        <v>-22.9</v>
      </c>
      <c r="K224" s="96" t="inlineStr">
        <is>
          <t>3636 JINXUN RESOURCE; 2692 ZHAOWEI</t>
        </is>
      </c>
    </row>
    <row r="225">
      <c r="A225" s="16" t="inlineStr">
        <is>
          <t>Taibai Investments Pte. Ltd</t>
        </is>
      </c>
      <c r="B225" s="89" t="n">
        <v>2</v>
      </c>
      <c r="C225" s="94" t="n">
        <v>100</v>
      </c>
      <c r="D225" s="95" t="n">
        <v>13.1</v>
      </c>
      <c r="E225" s="95" t="n">
        <v>34.6</v>
      </c>
      <c r="F225" s="95" t="n">
        <v>79.2</v>
      </c>
      <c r="G225" s="95" t="n">
        <v>62.8</v>
      </c>
      <c r="H225" s="95" t="n">
        <v>17.2</v>
      </c>
      <c r="I225" s="95" t="n">
        <v>51.6</v>
      </c>
      <c r="J225" s="95" t="n">
        <v>38.6</v>
      </c>
      <c r="K225" s="96" t="inlineStr">
        <is>
          <t>3696 INSILICO; 9980 EASTROC</t>
        </is>
      </c>
    </row>
    <row r="226">
      <c r="A226" s="16" t="inlineStr">
        <is>
          <t>Pamalican Fund Ltd</t>
        </is>
      </c>
      <c r="B226" s="89" t="n">
        <v>2</v>
      </c>
      <c r="C226" s="94" t="n">
        <v>100</v>
      </c>
      <c r="D226" s="95" t="n">
        <v>11.4</v>
      </c>
      <c r="E226" s="95" t="n">
        <v>17.8</v>
      </c>
      <c r="F226" s="95" t="n">
        <v>10.8</v>
      </c>
      <c r="G226" s="95" t="n">
        <v>10.4</v>
      </c>
      <c r="H226" s="95" t="n">
        <v>6.2</v>
      </c>
      <c r="I226" s="95" t="n">
        <v>0.3</v>
      </c>
      <c r="J226" s="95" t="n">
        <v>0</v>
      </c>
      <c r="K226" s="96" t="inlineStr">
        <is>
          <t>0300 MIDEA GROUP; 2460 CR BEVERAGE</t>
        </is>
      </c>
    </row>
    <row r="227">
      <c r="A227" s="16" t="inlineStr">
        <is>
          <t>Future Industry Investment Fund II</t>
        </is>
      </c>
      <c r="B227" s="89" t="n">
        <v>2</v>
      </c>
      <c r="C227" s="94" t="n">
        <v>100</v>
      </c>
      <c r="D227" s="95" t="n">
        <v>11</v>
      </c>
      <c r="E227" s="95" t="n">
        <v>11.5</v>
      </c>
      <c r="F227" s="95" t="n">
        <v>8.4</v>
      </c>
      <c r="G227" s="95" t="n">
        <v>15.7</v>
      </c>
      <c r="H227" s="95" t="n">
        <v>0.4</v>
      </c>
      <c r="I227" s="95" t="n">
        <v>-2.2</v>
      </c>
      <c r="J227" s="95" t="n">
        <v>5.6</v>
      </c>
      <c r="K227" s="96" t="inlineStr">
        <is>
          <t>2105 LAEKNA-B; 1828 FWD</t>
        </is>
      </c>
    </row>
    <row r="228">
      <c r="A228" s="16" t="inlineStr">
        <is>
          <t>Polymer Asia Fund LP</t>
        </is>
      </c>
      <c r="B228" s="89" t="n">
        <v>2</v>
      </c>
      <c r="C228" s="94" t="n">
        <v>50</v>
      </c>
      <c r="D228" s="95" t="n">
        <v>9.9</v>
      </c>
      <c r="E228" s="95" t="n">
        <v>3</v>
      </c>
      <c r="F228" s="95" t="n">
        <v>19.4</v>
      </c>
      <c r="G228" s="95" t="n"/>
      <c r="H228" s="95" t="n">
        <v>-6</v>
      </c>
      <c r="I228" s="95" t="n">
        <v>8</v>
      </c>
      <c r="J228" s="95" t="n"/>
      <c r="K228" s="96" t="inlineStr">
        <is>
          <t>3388 CREALITY; 2475 LUXSHARE ICT</t>
        </is>
      </c>
    </row>
    <row r="229">
      <c r="A229" s="16" t="inlineStr">
        <is>
          <t>Yishao Capital Management (HK) Limited</t>
        </is>
      </c>
      <c r="B229" s="89" t="n">
        <v>2</v>
      </c>
      <c r="C229" s="94" t="n">
        <v>100</v>
      </c>
      <c r="D229" s="95" t="n">
        <v>9.800000000000001</v>
      </c>
      <c r="E229" s="95" t="n">
        <v>4.5</v>
      </c>
      <c r="F229" s="95" t="n">
        <v>22.1</v>
      </c>
      <c r="G229" s="95" t="n"/>
      <c r="H229" s="95" t="n">
        <v>-5.6</v>
      </c>
      <c r="I229" s="95" t="n">
        <v>8.5</v>
      </c>
      <c r="J229" s="95" t="n"/>
      <c r="K229" s="96" t="inlineStr">
        <is>
          <t>6106 SEER TECH; 3752 ROKAE ROBOTICS</t>
        </is>
      </c>
    </row>
    <row r="230">
      <c r="A230" s="16" t="inlineStr">
        <is>
          <t>Shanghai Greenwoods (via Huatai OTC swaps)</t>
        </is>
      </c>
      <c r="B230" s="89" t="n">
        <v>2</v>
      </c>
      <c r="C230" s="94" t="n">
        <v>100</v>
      </c>
      <c r="D230" s="95" t="n">
        <v>9.300000000000001</v>
      </c>
      <c r="E230" s="95" t="n">
        <v>2.2</v>
      </c>
      <c r="F230" s="95" t="n">
        <v>5.8</v>
      </c>
      <c r="G230" s="95" t="n">
        <v>-28.1</v>
      </c>
      <c r="H230" s="95" t="n">
        <v>-6.2</v>
      </c>
      <c r="I230" s="95" t="n">
        <v>-3.1</v>
      </c>
      <c r="J230" s="95" t="n">
        <v>-30.1</v>
      </c>
      <c r="K230" s="96" t="inlineStr">
        <is>
          <t>9981 WOER; 0668 ANKER</t>
        </is>
      </c>
    </row>
    <row r="231">
      <c r="A231" s="16" t="inlineStr">
        <is>
          <t>Wealth Strategy Holding Limited</t>
        </is>
      </c>
      <c r="B231" s="89" t="n">
        <v>2</v>
      </c>
      <c r="C231" s="94" t="n">
        <v>50</v>
      </c>
      <c r="D231" s="95" t="n">
        <v>8.699999999999999</v>
      </c>
      <c r="E231" s="95" t="n">
        <v>6.3</v>
      </c>
      <c r="F231" s="95" t="n">
        <v>49.8</v>
      </c>
      <c r="G231" s="95" t="n">
        <v>-2.9</v>
      </c>
      <c r="H231" s="95" t="n">
        <v>-11.2</v>
      </c>
      <c r="I231" s="95" t="n">
        <v>38.7</v>
      </c>
      <c r="J231" s="95" t="n">
        <v>-25.3</v>
      </c>
      <c r="K231" s="96" t="inlineStr">
        <is>
          <t>2563 BIOSTAR PHARM-B; 6915 JIANGXI BIO</t>
        </is>
      </c>
    </row>
    <row r="232">
      <c r="A232" s="16" t="inlineStr">
        <is>
          <t>SilkyWater Absolute Return LPF</t>
        </is>
      </c>
      <c r="B232" s="89" t="n">
        <v>2</v>
      </c>
      <c r="C232" s="94" t="n">
        <v>50</v>
      </c>
      <c r="D232" s="95" t="n">
        <v>8.6</v>
      </c>
      <c r="E232" s="95" t="n">
        <v>44.3</v>
      </c>
      <c r="F232" s="95" t="n">
        <v>67</v>
      </c>
      <c r="G232" s="95" t="n">
        <v>84.3</v>
      </c>
      <c r="H232" s="95" t="n">
        <v>32.5</v>
      </c>
      <c r="I232" s="95" t="n">
        <v>58.6</v>
      </c>
      <c r="J232" s="95" t="n">
        <v>93.09999999999999</v>
      </c>
      <c r="K232" s="96" t="inlineStr">
        <is>
          <t>1274 IMOTIONAUTOTECH; 2563 BIOSTAR PHARM-B</t>
        </is>
      </c>
    </row>
    <row r="233">
      <c r="A233" s="16" t="inlineStr">
        <is>
          <t>OmniVision HK</t>
        </is>
      </c>
      <c r="B233" s="89" t="n">
        <v>2</v>
      </c>
      <c r="C233" s="94" t="n">
        <v>50</v>
      </c>
      <c r="D233" s="95" t="n">
        <v>7.4</v>
      </c>
      <c r="E233" s="95" t="n">
        <v>18.9</v>
      </c>
      <c r="F233" s="95" t="n">
        <v>5.4</v>
      </c>
      <c r="G233" s="95" t="n">
        <v>20.7</v>
      </c>
      <c r="H233" s="95" t="n">
        <v>11.3</v>
      </c>
      <c r="I233" s="95" t="n">
        <v>-2.5</v>
      </c>
      <c r="J233" s="95" t="n">
        <v>9.800000000000001</v>
      </c>
      <c r="K233" s="96" t="inlineStr">
        <is>
          <t>3200 HANS CNC; 0600 AXERA</t>
        </is>
      </c>
    </row>
    <row r="234">
      <c r="A234" s="16" t="inlineStr">
        <is>
          <t>China Hongqiao Group Limited</t>
        </is>
      </c>
      <c r="B234" s="89" t="n">
        <v>2</v>
      </c>
      <c r="C234" s="94" t="n">
        <v>50</v>
      </c>
      <c r="D234" s="95" t="n">
        <v>7</v>
      </c>
      <c r="E234" s="95" t="n">
        <v>23.1</v>
      </c>
      <c r="F234" s="95" t="n">
        <v>37.6</v>
      </c>
      <c r="G234" s="95" t="n">
        <v>115.7</v>
      </c>
      <c r="H234" s="95" t="n">
        <v>13.4</v>
      </c>
      <c r="I234" s="95" t="n">
        <v>26.7</v>
      </c>
      <c r="J234" s="95" t="n">
        <v>62.4</v>
      </c>
      <c r="K234" s="96" t="inlineStr">
        <is>
          <t>2788 CHUANGXIN IND; 6745 BEFAR GROUP</t>
        </is>
      </c>
    </row>
    <row r="235">
      <c r="A235" s="16" t="inlineStr">
        <is>
          <t>York Asian Opportunities Investments Master Fund, LP</t>
        </is>
      </c>
      <c r="B235" s="89" t="n">
        <v>2</v>
      </c>
      <c r="C235" s="94" t="n">
        <v>100</v>
      </c>
      <c r="D235" s="95" t="n">
        <v>6.8</v>
      </c>
      <c r="E235" s="95" t="n">
        <v>11.4</v>
      </c>
      <c r="F235" s="95" t="n">
        <v>-1.5</v>
      </c>
      <c r="G235" s="95" t="n">
        <v>59.2</v>
      </c>
      <c r="H235" s="95" t="n">
        <v>4.3</v>
      </c>
      <c r="I235" s="95" t="n">
        <v>-8</v>
      </c>
      <c r="J235" s="95" t="n">
        <v>47.8</v>
      </c>
      <c r="K235" s="96" t="inlineStr">
        <is>
          <t>2279 YONGHE MEDICAL; 9903 ILUVATAR COREX</t>
        </is>
      </c>
    </row>
    <row r="236">
      <c r="A236" s="16" t="inlineStr">
        <is>
          <t>Tulip Fund, L.P</t>
        </is>
      </c>
      <c r="B236" s="89" t="n">
        <v>2</v>
      </c>
      <c r="C236" s="94" t="n">
        <v>100</v>
      </c>
      <c r="D236" s="95" t="n">
        <v>6.6</v>
      </c>
      <c r="E236" s="95" t="n">
        <v>5.2</v>
      </c>
      <c r="F236" s="95" t="n">
        <v>5</v>
      </c>
      <c r="G236" s="95" t="n">
        <v>-9.199999999999999</v>
      </c>
      <c r="H236" s="95" t="n">
        <v>-1.2</v>
      </c>
      <c r="I236" s="95" t="n">
        <v>-1.3</v>
      </c>
      <c r="J236" s="95" t="n">
        <v>-14.5</v>
      </c>
      <c r="K236" s="96" t="inlineStr">
        <is>
          <t>9973 CHERY AUTO; 2657 FOREST CABIN</t>
        </is>
      </c>
    </row>
    <row r="237">
      <c r="A237" s="16" t="inlineStr">
        <is>
          <t>Enreal and Forreal Funds</t>
        </is>
      </c>
      <c r="B237" s="89" t="n">
        <v>2</v>
      </c>
      <c r="C237" s="94" t="n">
        <v>100</v>
      </c>
      <c r="D237" s="95" t="n">
        <v>6.5</v>
      </c>
      <c r="E237" s="95" t="n">
        <v>15.1</v>
      </c>
      <c r="F237" s="95" t="n">
        <v>9.699999999999999</v>
      </c>
      <c r="G237" s="95" t="n">
        <v>0.4</v>
      </c>
      <c r="H237" s="95" t="n">
        <v>7.9</v>
      </c>
      <c r="I237" s="95" t="n">
        <v>2.7</v>
      </c>
      <c r="J237" s="95" t="n">
        <v>-6.1</v>
      </c>
      <c r="K237" s="96" t="inlineStr">
        <is>
          <t>2279 YONGHE MEDICAL; 0300 MIDEA GROUP</t>
        </is>
      </c>
    </row>
    <row r="238">
      <c r="A238" s="16" t="inlineStr">
        <is>
          <t>Yield Royal Investment</t>
        </is>
      </c>
      <c r="B238" s="89" t="n">
        <v>2</v>
      </c>
      <c r="C238" s="94" t="n">
        <v>100</v>
      </c>
      <c r="D238" s="95" t="n">
        <v>6.1</v>
      </c>
      <c r="E238" s="95" t="n">
        <v>4.9</v>
      </c>
      <c r="F238" s="95" t="n">
        <v>2.3</v>
      </c>
      <c r="G238" s="95" t="n">
        <v>-23.2</v>
      </c>
      <c r="H238" s="95" t="n">
        <v>-1.1</v>
      </c>
      <c r="I238" s="95" t="n">
        <v>-3.5</v>
      </c>
      <c r="J238" s="95" t="n">
        <v>-27.7</v>
      </c>
      <c r="K238" s="96" t="inlineStr">
        <is>
          <t>2657 FOREST CABIN; 9981 WOER</t>
        </is>
      </c>
    </row>
    <row r="239">
      <c r="A239" s="16" t="inlineStr">
        <is>
          <t>Kingboard Investments Limited</t>
        </is>
      </c>
      <c r="B239" s="89" t="n">
        <v>2</v>
      </c>
      <c r="C239" s="94" t="n">
        <v>50</v>
      </c>
      <c r="D239" s="95" t="n">
        <v>5.7</v>
      </c>
      <c r="E239" s="95" t="n">
        <v>13.5</v>
      </c>
      <c r="F239" s="95" t="n">
        <v>27.4</v>
      </c>
      <c r="G239" s="95" t="n">
        <v>21.2</v>
      </c>
      <c r="H239" s="95" t="n">
        <v>7.7</v>
      </c>
      <c r="I239" s="95" t="n">
        <v>19.4</v>
      </c>
      <c r="J239" s="95" t="n">
        <v>7</v>
      </c>
      <c r="K239" s="96" t="inlineStr">
        <is>
          <t>3296 HUAQIN; 1377 DTECH</t>
        </is>
      </c>
    </row>
    <row r="240">
      <c r="A240" s="16" t="inlineStr">
        <is>
          <t>Guotai Junan Investments (Hong Kong) Limited</t>
        </is>
      </c>
      <c r="B240" s="89" t="n">
        <v>2</v>
      </c>
      <c r="C240" s="94" t="n">
        <v>100</v>
      </c>
      <c r="D240" s="95" t="n">
        <v>5.4</v>
      </c>
      <c r="E240" s="95" t="n">
        <v>52.4</v>
      </c>
      <c r="F240" s="95" t="n">
        <v>30.2</v>
      </c>
      <c r="G240" s="95" t="n">
        <v>14.9</v>
      </c>
      <c r="H240" s="95" t="n">
        <v>43.8</v>
      </c>
      <c r="I240" s="95" t="n">
        <v>23</v>
      </c>
      <c r="J240" s="95" t="n">
        <v>8.300000000000001</v>
      </c>
      <c r="K240" s="96" t="inlineStr">
        <is>
          <t>0020 SENSETIME-W; 9611 LONGCHEER</t>
        </is>
      </c>
    </row>
    <row r="241">
      <c r="A241" s="16" t="inlineStr">
        <is>
          <t>VVC Technology Fund Ltd</t>
        </is>
      </c>
      <c r="B241" s="89" t="n">
        <v>2</v>
      </c>
      <c r="C241" s="94" t="n">
        <v>100</v>
      </c>
      <c r="D241" s="95" t="n">
        <v>5.3</v>
      </c>
      <c r="E241" s="95" t="n">
        <v>8.4</v>
      </c>
      <c r="F241" s="95" t="n">
        <v>4.4</v>
      </c>
      <c r="G241" s="95" t="n">
        <v>-11.1</v>
      </c>
      <c r="H241" s="95" t="n">
        <v>3.1</v>
      </c>
      <c r="I241" s="95" t="n">
        <v>-1.1</v>
      </c>
      <c r="J241" s="95" t="n">
        <v>-15.6</v>
      </c>
      <c r="K241" s="96" t="inlineStr">
        <is>
          <t>2692 ZHAOWEI; 1021 HUAYAN ROBOTICS</t>
        </is>
      </c>
    </row>
    <row r="242">
      <c r="A242" s="16" t="inlineStr">
        <is>
          <t>Everbright Wealth Management Co., Ltd</t>
        </is>
      </c>
      <c r="B242" s="89" t="n">
        <v>2</v>
      </c>
      <c r="C242" s="94" t="n">
        <v>50</v>
      </c>
      <c r="D242" s="95" t="n">
        <v>4.3</v>
      </c>
      <c r="E242" s="95" t="n">
        <v>6</v>
      </c>
      <c r="F242" s="95" t="n">
        <v>7.5</v>
      </c>
      <c r="G242" s="95" t="n">
        <v>21.2</v>
      </c>
      <c r="H242" s="95" t="n">
        <v>1.5</v>
      </c>
      <c r="I242" s="95" t="n">
        <v>0.1</v>
      </c>
      <c r="J242" s="95" t="n">
        <v>7</v>
      </c>
      <c r="K242" s="96" t="inlineStr">
        <is>
          <t>3296 HUAQIN; 1688 LINGYI ITECH</t>
        </is>
      </c>
    </row>
    <row r="243">
      <c r="A243" s="16" t="inlineStr">
        <is>
          <t>Supercluster Universe Limited</t>
        </is>
      </c>
      <c r="B243" s="89" t="n">
        <v>2</v>
      </c>
      <c r="C243" s="94" t="n">
        <v>100</v>
      </c>
      <c r="D243" s="95" t="n">
        <v>4.2</v>
      </c>
      <c r="E243" s="95" t="n">
        <v>12.8</v>
      </c>
      <c r="F243" s="95" t="n">
        <v>17.5</v>
      </c>
      <c r="G243" s="95" t="n">
        <v>16.2</v>
      </c>
      <c r="H243" s="95" t="n">
        <v>7.8</v>
      </c>
      <c r="I243" s="95" t="n">
        <v>12.3</v>
      </c>
      <c r="J243" s="95" t="n">
        <v>10.9</v>
      </c>
      <c r="K243" s="96" t="inlineStr">
        <is>
          <t>0300 MIDEA GROUP; 3288 HAITIAN FLAV</t>
        </is>
      </c>
    </row>
    <row r="244">
      <c r="A244" s="16" t="inlineStr">
        <is>
          <t>Colorful Cloud</t>
        </is>
      </c>
      <c r="B244" s="89" t="n">
        <v>2</v>
      </c>
      <c r="C244" s="94" t="n">
        <v>100</v>
      </c>
      <c r="D244" s="95" t="n">
        <v>4.1</v>
      </c>
      <c r="E244" s="95" t="n">
        <v>-1.4</v>
      </c>
      <c r="F244" s="95" t="n">
        <v>-12.7</v>
      </c>
      <c r="G244" s="95" t="n">
        <v>-22.7</v>
      </c>
      <c r="H244" s="95" t="n">
        <v>-5.4</v>
      </c>
      <c r="I244" s="95" t="n">
        <v>-15.5</v>
      </c>
      <c r="J244" s="95" t="n">
        <v>-25.1</v>
      </c>
      <c r="K244" s="96" t="inlineStr">
        <is>
          <t>2392 XUANWU CLOUD; 2671 USAS BUILDING</t>
        </is>
      </c>
    </row>
    <row r="245">
      <c r="A245" s="16" t="inlineStr">
        <is>
          <t>Eternal Earn Holding Limited</t>
        </is>
      </c>
      <c r="B245" s="89" t="n">
        <v>2</v>
      </c>
      <c r="C245" s="94" t="n">
        <v>50</v>
      </c>
      <c r="D245" s="95" t="n">
        <v>4.1</v>
      </c>
      <c r="E245" s="95" t="n">
        <v>4.4</v>
      </c>
      <c r="F245" s="95" t="n">
        <v>7.5</v>
      </c>
      <c r="G245" s="95" t="n">
        <v>12.4</v>
      </c>
      <c r="H245" s="95" t="n">
        <v>0.4</v>
      </c>
      <c r="I245" s="95" t="n">
        <v>3.1</v>
      </c>
      <c r="J245" s="95" t="n">
        <v>9</v>
      </c>
      <c r="K245" s="96" t="inlineStr">
        <is>
          <t>1519 J&amp;T EXPRESS-W; 1021 HUAYAN ROBOTICS</t>
        </is>
      </c>
    </row>
    <row r="246">
      <c r="A246" s="16" t="inlineStr">
        <is>
          <t>RemeGen Co., Ltd</t>
        </is>
      </c>
      <c r="B246" s="89" t="n">
        <v>2</v>
      </c>
      <c r="C246" s="94" t="n">
        <v>100</v>
      </c>
      <c r="D246" s="95" t="n">
        <v>4</v>
      </c>
      <c r="E246" s="95" t="n">
        <v>17.6</v>
      </c>
      <c r="F246" s="95" t="n">
        <v>21.8</v>
      </c>
      <c r="G246" s="95" t="n">
        <v>28</v>
      </c>
      <c r="H246" s="95" t="n">
        <v>12.9</v>
      </c>
      <c r="I246" s="95" t="n">
        <v>17</v>
      </c>
      <c r="J246" s="95" t="n">
        <v>22.9</v>
      </c>
      <c r="K246" s="96" t="inlineStr">
        <is>
          <t>2315 BIOCYTOGEN-B; 1541 IMMUNEONCO-B</t>
        </is>
      </c>
    </row>
    <row r="247">
      <c r="A247" s="16" t="inlineStr">
        <is>
          <t>COSCO Shipping (Hong Kong) Co., Limited</t>
        </is>
      </c>
      <c r="B247" s="89" t="n">
        <v>2</v>
      </c>
      <c r="C247" s="94" t="n">
        <v>50</v>
      </c>
      <c r="D247" s="95" t="n">
        <v>3.9</v>
      </c>
      <c r="E247" s="95" t="n">
        <v>18.6</v>
      </c>
      <c r="F247" s="95" t="n">
        <v>26.9</v>
      </c>
      <c r="G247" s="95" t="n">
        <v>24.1</v>
      </c>
      <c r="H247" s="95" t="n">
        <v>13.9</v>
      </c>
      <c r="I247" s="95" t="n">
        <v>21.9</v>
      </c>
      <c r="J247" s="95" t="n">
        <v>19.1</v>
      </c>
      <c r="K247" s="96" t="inlineStr">
        <is>
          <t>1880 CTG DUTY-FREE; 0300 MIDEA GROUP</t>
        </is>
      </c>
    </row>
    <row r="248">
      <c r="A248" s="16" t="inlineStr">
        <is>
          <t>Caitong Fund Management Co., Ltd</t>
        </is>
      </c>
      <c r="B248" s="89" t="n">
        <v>2</v>
      </c>
      <c r="C248" s="94" t="n">
        <v>50</v>
      </c>
      <c r="D248" s="95" t="n">
        <v>3.8</v>
      </c>
      <c r="E248" s="95" t="n">
        <v>-3.7</v>
      </c>
      <c r="F248" s="95" t="n">
        <v>-10.2</v>
      </c>
      <c r="G248" s="95" t="n">
        <v>-32.1</v>
      </c>
      <c r="H248" s="95" t="n">
        <v>-7</v>
      </c>
      <c r="I248" s="95" t="n">
        <v>-14.3</v>
      </c>
      <c r="J248" s="95" t="n">
        <v>-35.6</v>
      </c>
      <c r="K248" s="96" t="inlineStr">
        <is>
          <t>9600 NEWLINK TECH; 3355 FS.COM</t>
        </is>
      </c>
    </row>
    <row r="249">
      <c r="A249" s="16" t="inlineStr">
        <is>
          <t>Oasis Investments II Master Fund Ltd</t>
        </is>
      </c>
      <c r="B249" s="89" t="n">
        <v>2</v>
      </c>
      <c r="C249" s="94" t="n">
        <v>50</v>
      </c>
      <c r="D249" s="95" t="n">
        <v>3.3</v>
      </c>
      <c r="E249" s="95" t="n">
        <v>16.5</v>
      </c>
      <c r="F249" s="95" t="n">
        <v>-1.8</v>
      </c>
      <c r="G249" s="95" t="n"/>
      <c r="H249" s="95" t="n">
        <v>17.2</v>
      </c>
      <c r="I249" s="95" t="n">
        <v>-9</v>
      </c>
      <c r="J249" s="95" t="n"/>
      <c r="K249" s="96" t="inlineStr">
        <is>
          <t>3388 CREALITY; 3952 LAIFUAL</t>
        </is>
      </c>
    </row>
    <row r="250">
      <c r="A250" s="16" t="inlineStr">
        <is>
          <t>LYFE CAPITAL FUND III (DRAGON), L.P</t>
        </is>
      </c>
      <c r="B250" s="89" t="n">
        <v>2</v>
      </c>
      <c r="C250" s="94" t="n">
        <v>50</v>
      </c>
      <c r="D250" s="95" t="n">
        <v>3.2</v>
      </c>
      <c r="E250" s="95" t="n">
        <v>13.7</v>
      </c>
      <c r="F250" s="95" t="n">
        <v>-2.3</v>
      </c>
      <c r="G250" s="95" t="n">
        <v>-16</v>
      </c>
      <c r="H250" s="95" t="n">
        <v>7</v>
      </c>
      <c r="I250" s="95" t="n">
        <v>-9.199999999999999</v>
      </c>
      <c r="J250" s="95" t="n">
        <v>-23.7</v>
      </c>
      <c r="K250" s="96" t="inlineStr">
        <is>
          <t>6609 HEARTCARE-B; 2675 EDGE MEDICAL-B</t>
        </is>
      </c>
    </row>
    <row r="251">
      <c r="A251" s="16" t="inlineStr">
        <is>
          <t>Splendid Zhonghe (Tianjin) Investment Management Co., Ltd</t>
        </is>
      </c>
      <c r="B251" s="89" t="n">
        <v>2</v>
      </c>
      <c r="C251" s="94" t="n">
        <v>100</v>
      </c>
      <c r="D251" s="95" t="n">
        <v>2.5</v>
      </c>
      <c r="E251" s="95" t="n">
        <v>-10.8</v>
      </c>
      <c r="F251" s="95" t="n">
        <v>-31.1</v>
      </c>
      <c r="G251" s="95" t="n">
        <v>-24.2</v>
      </c>
      <c r="H251" s="95" t="n">
        <v>-12.7</v>
      </c>
      <c r="I251" s="95" t="n">
        <v>-32.5</v>
      </c>
      <c r="J251" s="95" t="n">
        <v>-24.6</v>
      </c>
      <c r="K251" s="96" t="inlineStr">
        <is>
          <t>2493 MABWELL-B; 6106 SEER TECH</t>
        </is>
      </c>
    </row>
    <row r="252">
      <c r="A252" s="16" t="inlineStr">
        <is>
          <t>Sanjin International CO., LTD</t>
        </is>
      </c>
      <c r="B252" s="89" t="n">
        <v>2</v>
      </c>
      <c r="C252" s="94" t="n">
        <v>100</v>
      </c>
      <c r="D252" s="95" t="n">
        <v>1.8</v>
      </c>
      <c r="E252" s="95" t="n">
        <v>-0.7</v>
      </c>
      <c r="F252" s="95" t="n">
        <v>-6.1</v>
      </c>
      <c r="G252" s="95" t="n">
        <v>-10.5</v>
      </c>
      <c r="H252" s="95" t="n">
        <v>-2.5</v>
      </c>
      <c r="I252" s="95" t="n">
        <v>-7.9</v>
      </c>
      <c r="J252" s="95" t="n">
        <v>-12.3</v>
      </c>
      <c r="K252" s="96" t="inlineStr">
        <is>
          <t>2315 BIOCYTOGEN-B; 2493 MABWELL-B</t>
        </is>
      </c>
    </row>
    <row r="253">
      <c r="A253" s="16" t="inlineStr">
        <is>
          <t>ZGC International Limited</t>
        </is>
      </c>
      <c r="B253" s="89" t="n">
        <v>2</v>
      </c>
      <c r="C253" s="94" t="n">
        <v>50</v>
      </c>
      <c r="D253" s="95" t="n">
        <v>1.2</v>
      </c>
      <c r="E253" s="95" t="n">
        <v>11.9</v>
      </c>
      <c r="F253" s="95" t="n">
        <v>71.09999999999999</v>
      </c>
      <c r="G253" s="95" t="n">
        <v>42.4</v>
      </c>
      <c r="H253" s="95" t="n">
        <v>10.4</v>
      </c>
      <c r="I253" s="95" t="n">
        <v>66.2</v>
      </c>
      <c r="J253" s="95" t="n">
        <v>36.2</v>
      </c>
      <c r="K253" s="96" t="inlineStr">
        <is>
          <t>9885 YSB; 2438 MOBVOI</t>
        </is>
      </c>
    </row>
    <row r="254">
      <c r="A254" s="16" t="inlineStr">
        <is>
          <t>Heilan Group Co., Limited</t>
        </is>
      </c>
      <c r="B254" s="89" t="n">
        <v>2</v>
      </c>
      <c r="C254" s="94" t="n">
        <v>50</v>
      </c>
      <c r="D254" s="95" t="n">
        <v>1.1</v>
      </c>
      <c r="E254" s="95" t="n">
        <v>0</v>
      </c>
      <c r="F254" s="95" t="n">
        <v>-6</v>
      </c>
      <c r="G254" s="95" t="n">
        <v>-4.7</v>
      </c>
      <c r="H254" s="95" t="n">
        <v>-0.9</v>
      </c>
      <c r="I254" s="95" t="n">
        <v>-6.7</v>
      </c>
      <c r="J254" s="95" t="n">
        <v>-5.9</v>
      </c>
      <c r="K254" s="96" t="inlineStr">
        <is>
          <t>9878 HUITONGDA NET; 9857 LINMON MEDIA</t>
        </is>
      </c>
    </row>
    <row r="255">
      <c r="A255" s="16" t="inlineStr">
        <is>
          <t>Mr. Lu Weiding</t>
        </is>
      </c>
      <c r="B255" s="89" t="n">
        <v>2</v>
      </c>
      <c r="C255" s="94" t="n">
        <v>50</v>
      </c>
      <c r="D255" s="95" t="n">
        <v>1.1</v>
      </c>
      <c r="E255" s="95" t="n">
        <v>-1.4</v>
      </c>
      <c r="F255" s="95" t="n">
        <v>-0.1</v>
      </c>
      <c r="G255" s="95" t="n">
        <v>-21.2</v>
      </c>
      <c r="H255" s="95" t="n">
        <v>-2.7</v>
      </c>
      <c r="I255" s="95" t="n">
        <v>-1.1</v>
      </c>
      <c r="J255" s="95" t="n">
        <v>-22.2</v>
      </c>
      <c r="K255" s="96" t="inlineStr">
        <is>
          <t>3887 HASHKEY HLDGS; 2692 ZHAOWEI</t>
        </is>
      </c>
    </row>
    <row r="256">
      <c r="A256" s="16" t="inlineStr">
        <is>
          <t>Streamax Electronics Limited</t>
        </is>
      </c>
      <c r="B256" s="89" t="n">
        <v>2</v>
      </c>
      <c r="C256" s="94" t="n">
        <v>50</v>
      </c>
      <c r="D256" s="95" t="n">
        <v>0.8</v>
      </c>
      <c r="E256" s="95" t="n">
        <v>-9.5</v>
      </c>
      <c r="F256" s="95" t="n">
        <v>-25.9</v>
      </c>
      <c r="G256" s="95" t="n">
        <v>-37.6</v>
      </c>
      <c r="H256" s="95" t="n">
        <v>-10.1</v>
      </c>
      <c r="I256" s="95" t="n">
        <v>-26.5</v>
      </c>
      <c r="J256" s="95" t="n">
        <v>-38.1</v>
      </c>
      <c r="K256" s="96" t="inlineStr">
        <is>
          <t>2418 DEEWIN; 3268 MEIG</t>
        </is>
      </c>
    </row>
    <row r="257">
      <c r="A257" s="16" t="inlineStr">
        <is>
          <t>United Imaging Healthcare Hong Kong Limited</t>
        </is>
      </c>
      <c r="B257" s="89" t="n">
        <v>2</v>
      </c>
      <c r="C257" s="94" t="n">
        <v>100</v>
      </c>
      <c r="D257" s="95" t="n">
        <v>0.6</v>
      </c>
      <c r="E257" s="95" t="n">
        <v>14.5</v>
      </c>
      <c r="F257" s="95" t="n">
        <v>7.7</v>
      </c>
      <c r="G257" s="95" t="n">
        <v>27.6</v>
      </c>
      <c r="H257" s="95" t="n">
        <v>13.9</v>
      </c>
      <c r="I257" s="95" t="n">
        <v>7.1</v>
      </c>
      <c r="J257" s="95" t="n">
        <v>26.9</v>
      </c>
      <c r="K257" s="96" t="inlineStr">
        <is>
          <t>2522 RIMAG GROUP; 1828 FWD</t>
        </is>
      </c>
    </row>
    <row r="258">
      <c r="A258" s="16" t="inlineStr">
        <is>
          <t>CALB Co., Ltd</t>
        </is>
      </c>
      <c r="B258" s="89" t="n">
        <v>2</v>
      </c>
      <c r="C258" s="94" t="n">
        <v>0</v>
      </c>
      <c r="D258" s="95" t="n">
        <v>-0.1</v>
      </c>
      <c r="E258" s="95" t="n">
        <v>-7.4</v>
      </c>
      <c r="F258" s="95" t="n">
        <v>-9.199999999999999</v>
      </c>
      <c r="G258" s="95" t="n">
        <v>-9.300000000000001</v>
      </c>
      <c r="H258" s="95" t="n">
        <v>-7.3</v>
      </c>
      <c r="I258" s="95" t="n">
        <v>-9.1</v>
      </c>
      <c r="J258" s="95" t="n">
        <v>-9.300000000000001</v>
      </c>
      <c r="K258" s="96" t="inlineStr">
        <is>
          <t>9696 TIANQI LITHIUM; 2579 CNGR</t>
        </is>
      </c>
    </row>
    <row r="259">
      <c r="A259" s="16" t="inlineStr">
        <is>
          <t>Canada Pension Plan Investment Board</t>
        </is>
      </c>
      <c r="B259" s="89" t="n">
        <v>2</v>
      </c>
      <c r="C259" s="94" t="n">
        <v>50</v>
      </c>
      <c r="D259" s="95" t="n">
        <v>-0.5</v>
      </c>
      <c r="E259" s="95" t="n">
        <v>9.1</v>
      </c>
      <c r="F259" s="95" t="n">
        <v>0.3</v>
      </c>
      <c r="G259" s="95" t="n">
        <v>21.1</v>
      </c>
      <c r="H259" s="95" t="n">
        <v>9.800000000000001</v>
      </c>
      <c r="I259" s="95" t="n">
        <v>-0.8</v>
      </c>
      <c r="J259" s="95" t="n">
        <v>19.8</v>
      </c>
      <c r="K259" s="96" t="inlineStr">
        <is>
          <t>1828 FWD; 3308 ZJ INNOLIGHT</t>
        </is>
      </c>
    </row>
    <row r="260">
      <c r="A260" s="16" t="inlineStr">
        <is>
          <t>Burkehill</t>
        </is>
      </c>
      <c r="B260" s="89" t="n">
        <v>2</v>
      </c>
      <c r="C260" s="94" t="n">
        <v>0</v>
      </c>
      <c r="D260" s="95" t="n">
        <v>-1</v>
      </c>
      <c r="E260" s="95" t="n">
        <v>8.1</v>
      </c>
      <c r="F260" s="95" t="n">
        <v>-3.4</v>
      </c>
      <c r="G260" s="95" t="n">
        <v>-8.4</v>
      </c>
      <c r="H260" s="95" t="n">
        <v>9.300000000000001</v>
      </c>
      <c r="I260" s="95" t="n">
        <v>-3.4</v>
      </c>
      <c r="J260" s="95" t="n">
        <v>-8.4</v>
      </c>
      <c r="K260" s="96" t="inlineStr">
        <is>
          <t>7618 JD INDUSTRIALS; 3308 ZJ INNOLIGHT</t>
        </is>
      </c>
    </row>
    <row r="261">
      <c r="A261" s="16" t="inlineStr">
        <is>
          <t>China Chengtong Investment Company Limited</t>
        </is>
      </c>
      <c r="B261" s="89" t="n">
        <v>2</v>
      </c>
      <c r="C261" s="94" t="n">
        <v>50</v>
      </c>
      <c r="D261" s="95" t="n">
        <v>-1.7</v>
      </c>
      <c r="E261" s="95" t="n">
        <v>2.3</v>
      </c>
      <c r="F261" s="95" t="n">
        <v>-17.8</v>
      </c>
      <c r="G261" s="95" t="n">
        <v>-12.4</v>
      </c>
      <c r="H261" s="95" t="n">
        <v>3.7</v>
      </c>
      <c r="I261" s="95" t="n">
        <v>-17.2</v>
      </c>
      <c r="J261" s="95" t="n">
        <v>-10</v>
      </c>
      <c r="K261" s="96" t="inlineStr">
        <is>
          <t>2618 JD LOGISTICS; 2602 ONEWO</t>
        </is>
      </c>
    </row>
    <row r="262">
      <c r="A262" s="16" t="inlineStr">
        <is>
          <t>Azure Telecommunication</t>
        </is>
      </c>
      <c r="B262" s="89" t="n">
        <v>2</v>
      </c>
      <c r="C262" s="94" t="n">
        <v>50</v>
      </c>
      <c r="D262" s="95" t="n">
        <v>-1.9</v>
      </c>
      <c r="E262" s="95" t="n">
        <v>-1.1</v>
      </c>
      <c r="F262" s="95" t="n">
        <v>-10.9</v>
      </c>
      <c r="G262" s="95" t="n">
        <v>-9.4</v>
      </c>
      <c r="H262" s="95" t="n">
        <v>0.8</v>
      </c>
      <c r="I262" s="95" t="n">
        <v>-9</v>
      </c>
      <c r="J262" s="95" t="n">
        <v>-7.4</v>
      </c>
      <c r="K262" s="96" t="inlineStr">
        <is>
          <t>2385 READBOY; 9980 EASTROC</t>
        </is>
      </c>
    </row>
    <row r="263">
      <c r="A263" s="16" t="inlineStr">
        <is>
          <t>Mr. Cheng Wan Wai</t>
        </is>
      </c>
      <c r="B263" s="89" t="n">
        <v>2</v>
      </c>
      <c r="C263" s="94" t="n">
        <v>50</v>
      </c>
      <c r="D263" s="95" t="n">
        <v>-2.3</v>
      </c>
      <c r="E263" s="95" t="n">
        <v>-11.9</v>
      </c>
      <c r="F263" s="95" t="n">
        <v>-26.7</v>
      </c>
      <c r="G263" s="95" t="n">
        <v>-54.1</v>
      </c>
      <c r="H263" s="95" t="n">
        <v>-9.800000000000001</v>
      </c>
      <c r="I263" s="95" t="n">
        <v>-23.9</v>
      </c>
      <c r="J263" s="95" t="n">
        <v>-37.1</v>
      </c>
      <c r="K263" s="96" t="inlineStr">
        <is>
          <t>2350 MTT GROUP; 6067 SENIOR MATERIAL</t>
        </is>
      </c>
    </row>
    <row r="264">
      <c r="A264" s="16" t="inlineStr">
        <is>
          <t>Global Company Limited</t>
        </is>
      </c>
      <c r="B264" s="89" t="n">
        <v>2</v>
      </c>
      <c r="C264" s="94" t="n">
        <v>50</v>
      </c>
      <c r="D264" s="95" t="n">
        <v>-2.7</v>
      </c>
      <c r="E264" s="95" t="n">
        <v>-0.7</v>
      </c>
      <c r="F264" s="95" t="n">
        <v>22.7</v>
      </c>
      <c r="G264" s="95" t="n">
        <v>89</v>
      </c>
      <c r="H264" s="95" t="n">
        <v>2.1</v>
      </c>
      <c r="I264" s="95" t="n">
        <v>27.1</v>
      </c>
      <c r="J264" s="95" t="n">
        <v>97.3</v>
      </c>
      <c r="K264" s="96" t="inlineStr">
        <is>
          <t>1364 GUMING; 1828 FWD</t>
        </is>
      </c>
    </row>
    <row r="265">
      <c r="A265" s="16" t="inlineStr">
        <is>
          <t>Ms. Pan</t>
        </is>
      </c>
      <c r="B265" s="89" t="n">
        <v>2</v>
      </c>
      <c r="C265" s="94" t="n">
        <v>50</v>
      </c>
      <c r="D265" s="95" t="n">
        <v>-2.7</v>
      </c>
      <c r="E265" s="95" t="n">
        <v>-0.3</v>
      </c>
      <c r="F265" s="95" t="n">
        <v>34.4</v>
      </c>
      <c r="G265" s="95" t="n">
        <v>235.3</v>
      </c>
      <c r="H265" s="95" t="n">
        <v>2.6</v>
      </c>
      <c r="I265" s="95" t="n">
        <v>38.8</v>
      </c>
      <c r="J265" s="95" t="n">
        <v>242</v>
      </c>
      <c r="K265" s="96" t="inlineStr">
        <is>
          <t>1364 GUMING; 3317 XUNCE</t>
        </is>
      </c>
    </row>
    <row r="266">
      <c r="A266" s="16" t="inlineStr">
        <is>
          <t>Yangtze River (Hong Kong) Limited</t>
        </is>
      </c>
      <c r="B266" s="89" t="n">
        <v>2</v>
      </c>
      <c r="C266" s="94" t="n">
        <v>50</v>
      </c>
      <c r="D266" s="95" t="n">
        <v>-2.9</v>
      </c>
      <c r="E266" s="95" t="n">
        <v>0.1</v>
      </c>
      <c r="F266" s="95" t="n">
        <v>-16.8</v>
      </c>
      <c r="G266" s="95" t="n">
        <v>-31.6</v>
      </c>
      <c r="H266" s="95" t="n">
        <v>2.8</v>
      </c>
      <c r="I266" s="95" t="n">
        <v>-15</v>
      </c>
      <c r="J266" s="95" t="n">
        <v>-30.5</v>
      </c>
      <c r="K266" s="96" t="inlineStr">
        <is>
          <t>2179 RECBIO-B; 9955 CLOUDR</t>
        </is>
      </c>
    </row>
    <row r="267">
      <c r="A267" s="16" t="inlineStr">
        <is>
          <t>CNGR Hong Kong Material Science &amp; Technology Co., Limited</t>
        </is>
      </c>
      <c r="B267" s="89" t="n">
        <v>2</v>
      </c>
      <c r="C267" s="94" t="n">
        <v>0</v>
      </c>
      <c r="D267" s="95" t="n">
        <v>-3.3</v>
      </c>
      <c r="E267" s="95" t="n">
        <v>-2.4</v>
      </c>
      <c r="F267" s="95" t="n">
        <v>-19.1</v>
      </c>
      <c r="G267" s="95" t="n">
        <v>-45.8</v>
      </c>
      <c r="H267" s="95" t="n">
        <v>1</v>
      </c>
      <c r="I267" s="95" t="n">
        <v>-15.6</v>
      </c>
      <c r="J267" s="95" t="n">
        <v>-45.8</v>
      </c>
      <c r="K267" s="96" t="inlineStr">
        <is>
          <t>3931 CALB; 6228 MERDEKAGOLD-DRS</t>
        </is>
      </c>
    </row>
    <row r="268">
      <c r="A268" s="16" t="inlineStr">
        <is>
          <t>Affin Hwang Asset Management Berhad</t>
        </is>
      </c>
      <c r="B268" s="89" t="n">
        <v>2</v>
      </c>
      <c r="C268" s="94" t="n">
        <v>50</v>
      </c>
      <c r="D268" s="95" t="n">
        <v>-3.6</v>
      </c>
      <c r="E268" s="95" t="n">
        <v>7</v>
      </c>
      <c r="F268" s="95" t="n">
        <v>-17</v>
      </c>
      <c r="G268" s="95" t="n">
        <v>15.4</v>
      </c>
      <c r="H268" s="95" t="n">
        <v>10.8</v>
      </c>
      <c r="I268" s="95" t="n">
        <v>-13.2</v>
      </c>
      <c r="J268" s="95" t="n">
        <v>21</v>
      </c>
      <c r="K268" s="96" t="inlineStr">
        <is>
          <t>2170 BASECARE-B; 2171 CARSGEN-B</t>
        </is>
      </c>
    </row>
    <row r="269">
      <c r="A269" s="16" t="inlineStr">
        <is>
          <t>Ruihua Investment</t>
        </is>
      </c>
      <c r="B269" s="89" t="n">
        <v>2</v>
      </c>
      <c r="C269" s="94" t="n">
        <v>50</v>
      </c>
      <c r="D269" s="95" t="n">
        <v>-3.7</v>
      </c>
      <c r="E269" s="95" t="n">
        <v>-14.9</v>
      </c>
      <c r="F269" s="95" t="n">
        <v>-36.3</v>
      </c>
      <c r="G269" s="95" t="n">
        <v>-24.9</v>
      </c>
      <c r="H269" s="95" t="n">
        <v>-10.6</v>
      </c>
      <c r="I269" s="95" t="n">
        <v>-32.7</v>
      </c>
      <c r="J269" s="95" t="n">
        <v>-14.9</v>
      </c>
      <c r="K269" s="96" t="inlineStr">
        <is>
          <t>0638 FIBOCOM; 6106 SEER TECH</t>
        </is>
      </c>
    </row>
    <row r="270">
      <c r="A270" s="16" t="inlineStr">
        <is>
          <t>Triple Surge Holdings Limited</t>
        </is>
      </c>
      <c r="B270" s="89" t="n">
        <v>2</v>
      </c>
      <c r="C270" s="94" t="n">
        <v>50</v>
      </c>
      <c r="D270" s="95" t="n">
        <v>-4.8</v>
      </c>
      <c r="E270" s="95" t="n">
        <v>-23.7</v>
      </c>
      <c r="F270" s="95" t="n">
        <v>-28.6</v>
      </c>
      <c r="G270" s="95" t="n">
        <v>-50.3</v>
      </c>
      <c r="H270" s="95" t="n">
        <v>-20.7</v>
      </c>
      <c r="I270" s="95" t="n">
        <v>-25</v>
      </c>
      <c r="J270" s="95" t="n">
        <v>-46.5</v>
      </c>
      <c r="K270" s="96" t="inlineStr">
        <is>
          <t>2209 YESASIA HLDGS; 9639 WING LEE DEV</t>
        </is>
      </c>
    </row>
    <row r="271">
      <c r="A271" s="16" t="inlineStr">
        <is>
          <t>Artisan China Post-Venture Master Fund LP</t>
        </is>
      </c>
      <c r="B271" s="89" t="n">
        <v>2</v>
      </c>
      <c r="C271" s="94" t="n">
        <v>50</v>
      </c>
      <c r="D271" s="95" t="n">
        <v>-6.9</v>
      </c>
      <c r="E271" s="95" t="n">
        <v>3.1</v>
      </c>
      <c r="F271" s="95" t="n">
        <v>-7.7</v>
      </c>
      <c r="G271" s="95" t="n">
        <v>-23.4</v>
      </c>
      <c r="H271" s="95" t="n">
        <v>8.199999999999999</v>
      </c>
      <c r="I271" s="95" t="n">
        <v>-3.8</v>
      </c>
      <c r="J271" s="95" t="n">
        <v>-21.2</v>
      </c>
      <c r="K271" s="96" t="inlineStr">
        <is>
          <t>2216 BRONCUS-B; 2252 MEDBOT-B</t>
        </is>
      </c>
    </row>
    <row r="272">
      <c r="A272" s="16" t="inlineStr">
        <is>
          <t>Mercedes-Benz Mobility Services</t>
        </is>
      </c>
      <c r="B272" s="89" t="n">
        <v>2</v>
      </c>
      <c r="C272" s="94" t="n">
        <v>0</v>
      </c>
      <c r="D272" s="95" t="n">
        <v>-7.1</v>
      </c>
      <c r="E272" s="95" t="n">
        <v>-8</v>
      </c>
      <c r="F272" s="95" t="n">
        <v>-6.8</v>
      </c>
      <c r="G272" s="95" t="n">
        <v>25.2</v>
      </c>
      <c r="H272" s="95" t="n">
        <v>-1</v>
      </c>
      <c r="I272" s="95" t="n">
        <v>1.1</v>
      </c>
      <c r="J272" s="95" t="n">
        <v>45.8</v>
      </c>
      <c r="K272" s="96" t="inlineStr">
        <is>
          <t>2643 CAOCAO INC; 6880 MOMENTA-W</t>
        </is>
      </c>
    </row>
    <row r="273">
      <c r="A273" s="16" t="inlineStr">
        <is>
          <t>Sanya Development Holdings Co., Ltd</t>
        </is>
      </c>
      <c r="B273" s="89" t="n">
        <v>2</v>
      </c>
      <c r="C273" s="94" t="n">
        <v>0</v>
      </c>
      <c r="D273" s="95" t="n">
        <v>-7.6</v>
      </c>
      <c r="E273" s="95" t="n">
        <v>-19.9</v>
      </c>
      <c r="F273" s="95" t="n">
        <v>-13.9</v>
      </c>
      <c r="G273" s="95" t="n">
        <v>-28.8</v>
      </c>
      <c r="H273" s="95" t="n">
        <v>-14.5</v>
      </c>
      <c r="I273" s="95" t="n">
        <v>-8.199999999999999</v>
      </c>
      <c r="J273" s="95" t="n">
        <v>-23.8</v>
      </c>
      <c r="K273" s="96" t="inlineStr">
        <is>
          <t>9638 FERRETTI; 9639 WING LEE DEV</t>
        </is>
      </c>
    </row>
    <row r="274">
      <c r="A274" s="16" t="inlineStr">
        <is>
          <t>Carmignac Funds</t>
        </is>
      </c>
      <c r="B274" s="89" t="n">
        <v>2</v>
      </c>
      <c r="C274" s="94" t="n">
        <v>0</v>
      </c>
      <c r="D274" s="95" t="n">
        <v>-8.1</v>
      </c>
      <c r="E274" s="95" t="n">
        <v>-15.3</v>
      </c>
      <c r="F274" s="95" t="n">
        <v>-14.6</v>
      </c>
      <c r="G274" s="95" t="n">
        <v>-20.6</v>
      </c>
      <c r="H274" s="95" t="n">
        <v>-7.8</v>
      </c>
      <c r="I274" s="95" t="n">
        <v>-7.1</v>
      </c>
      <c r="J274" s="95" t="n">
        <v>-13.4</v>
      </c>
      <c r="K274" s="96" t="inlineStr">
        <is>
          <t>6127 JOINN; 9960 KINDSTAR GLOBAL</t>
        </is>
      </c>
    </row>
    <row r="275">
      <c r="A275" s="16" t="inlineStr">
        <is>
          <t>Janus Henderson Funds</t>
        </is>
      </c>
      <c r="B275" s="89" t="n">
        <v>2</v>
      </c>
      <c r="C275" s="94" t="n">
        <v>50</v>
      </c>
      <c r="D275" s="95" t="n">
        <v>-8.5</v>
      </c>
      <c r="E275" s="95" t="n">
        <v>-2.3</v>
      </c>
      <c r="F275" s="95" t="n">
        <v>-3.9</v>
      </c>
      <c r="G275" s="95" t="n">
        <v>-40.9</v>
      </c>
      <c r="H275" s="95" t="n">
        <v>4.9</v>
      </c>
      <c r="I275" s="95" t="n">
        <v>2.9</v>
      </c>
      <c r="J275" s="95" t="n">
        <v>-38</v>
      </c>
      <c r="K275" s="96" t="inlineStr">
        <is>
          <t>9959 LINKLOGIS–W; 1228 CANBRIDGE-B</t>
        </is>
      </c>
    </row>
    <row r="276">
      <c r="A276" s="16" t="inlineStr">
        <is>
          <t>Mr. Su</t>
        </is>
      </c>
      <c r="B276" s="89" t="n">
        <v>2</v>
      </c>
      <c r="C276" s="94" t="n">
        <v>50</v>
      </c>
      <c r="D276" s="95" t="n">
        <v>-9.300000000000001</v>
      </c>
      <c r="E276" s="95" t="n">
        <v>-11</v>
      </c>
      <c r="F276" s="95" t="n">
        <v>-16.8</v>
      </c>
      <c r="G276" s="95" t="n">
        <v>-26</v>
      </c>
      <c r="H276" s="95" t="n">
        <v>-1.8</v>
      </c>
      <c r="I276" s="95" t="n">
        <v>-9.1</v>
      </c>
      <c r="J276" s="95" t="n">
        <v>-16.6</v>
      </c>
      <c r="K276" s="96" t="inlineStr">
        <is>
          <t>2408 XIAO NOODLES; 2657 FOREST CABIN</t>
        </is>
      </c>
    </row>
    <row r="277">
      <c r="A277" s="16" t="inlineStr">
        <is>
          <t>Chery Commercial Vehicle (Anhui) Company Limited</t>
        </is>
      </c>
      <c r="B277" s="89" t="n">
        <v>2</v>
      </c>
      <c r="C277" s="94" t="n">
        <v>0</v>
      </c>
      <c r="D277" s="95" t="n">
        <v>-11.1</v>
      </c>
      <c r="E277" s="95" t="n">
        <v>-28.8</v>
      </c>
      <c r="F277" s="95" t="n">
        <v>-34.2</v>
      </c>
      <c r="G277" s="95" t="n">
        <v>-76.7</v>
      </c>
      <c r="H277" s="95" t="n">
        <v>-21.3</v>
      </c>
      <c r="I277" s="95" t="n">
        <v>-29.7</v>
      </c>
      <c r="J277" s="95" t="n">
        <v>-70.09999999999999</v>
      </c>
      <c r="K277" s="96" t="inlineStr">
        <is>
          <t>2246 GOGOX; 2249 NEXCHIP</t>
        </is>
      </c>
    </row>
    <row r="278">
      <c r="A278" s="16" t="inlineStr">
        <is>
          <t>Laurion Capital Master Fund Ltd</t>
        </is>
      </c>
      <c r="B278" s="89" t="n">
        <v>2</v>
      </c>
      <c r="C278" s="94" t="n">
        <v>50</v>
      </c>
      <c r="D278" s="95" t="n">
        <v>-11.2</v>
      </c>
      <c r="E278" s="95" t="n">
        <v>-12.7</v>
      </c>
      <c r="F278" s="95" t="n">
        <v>-13.6</v>
      </c>
      <c r="G278" s="95" t="n">
        <v>4.8</v>
      </c>
      <c r="H278" s="95" t="n">
        <v>-3.2</v>
      </c>
      <c r="I278" s="95" t="n">
        <v>-6.3</v>
      </c>
      <c r="J278" s="95" t="n">
        <v>15.7</v>
      </c>
      <c r="K278" s="96" t="inlineStr">
        <is>
          <t>2121 AINNOVATION; 6990 SKB BIO-B</t>
        </is>
      </c>
    </row>
    <row r="279">
      <c r="A279" s="16" t="inlineStr">
        <is>
          <t>Country Garden Property Services HK Holdings Company Limited</t>
        </is>
      </c>
      <c r="B279" s="89" t="n">
        <v>2</v>
      </c>
      <c r="C279" s="94" t="n">
        <v>0</v>
      </c>
      <c r="D279" s="95" t="n">
        <v>-12.4</v>
      </c>
      <c r="E279" s="95" t="n">
        <v>-15.1</v>
      </c>
      <c r="F279" s="95" t="n">
        <v>-26.7</v>
      </c>
      <c r="G279" s="95" t="n">
        <v>-28.9</v>
      </c>
      <c r="H279" s="95" t="n">
        <v>-3.5</v>
      </c>
      <c r="I279" s="95" t="n">
        <v>-18.4</v>
      </c>
      <c r="J279" s="95" t="n">
        <v>-21.7</v>
      </c>
      <c r="K279" s="96" t="inlineStr">
        <is>
          <t>2177 UNQ HOLDINGS; 2205 KANGQIAO SER</t>
        </is>
      </c>
    </row>
    <row r="280">
      <c r="A280" s="16" t="inlineStr">
        <is>
          <t>Qingdao Haifa Holding Development Co., Ltd</t>
        </is>
      </c>
      <c r="B280" s="89" t="n">
        <v>2</v>
      </c>
      <c r="C280" s="94" t="n">
        <v>0</v>
      </c>
      <c r="D280" s="95" t="n">
        <v>-12.5</v>
      </c>
      <c r="E280" s="95" t="n">
        <v>-19.3</v>
      </c>
      <c r="F280" s="95" t="n">
        <v>-2.3</v>
      </c>
      <c r="G280" s="95" t="n">
        <v>-16.6</v>
      </c>
      <c r="H280" s="95" t="n">
        <v>-9</v>
      </c>
      <c r="I280" s="95" t="n">
        <v>12.1</v>
      </c>
      <c r="J280" s="95" t="n">
        <v>-3.3</v>
      </c>
      <c r="K280" s="96" t="inlineStr">
        <is>
          <t>9638 FERRETTI; 1973 TIAN TU CAPITAL</t>
        </is>
      </c>
    </row>
    <row r="281">
      <c r="A281" s="16" t="inlineStr">
        <is>
          <t>Fosun Diagnostics (Shanghai) Co., Ltd</t>
        </is>
      </c>
      <c r="B281" s="89" t="n">
        <v>2</v>
      </c>
      <c r="C281" s="94" t="n">
        <v>50</v>
      </c>
      <c r="D281" s="95" t="n">
        <v>-13.2</v>
      </c>
      <c r="E281" s="95" t="n">
        <v>-16.9</v>
      </c>
      <c r="F281" s="95" t="n">
        <v>-23.1</v>
      </c>
      <c r="G281" s="95" t="n">
        <v>-13.7</v>
      </c>
      <c r="H281" s="95" t="n">
        <v>-2.2</v>
      </c>
      <c r="I281" s="95" t="n">
        <v>-11.9</v>
      </c>
      <c r="J281" s="95" t="n">
        <v>-3.8</v>
      </c>
      <c r="K281" s="96" t="inlineStr">
        <is>
          <t>9860 ADICON HOLDINGS; 2566 JIUYUAN GENE</t>
        </is>
      </c>
    </row>
    <row r="282">
      <c r="A282" s="16" t="inlineStr">
        <is>
          <t>CEPHEI</t>
        </is>
      </c>
      <c r="B282" s="89" t="n">
        <v>2</v>
      </c>
      <c r="C282" s="94" t="n">
        <v>0</v>
      </c>
      <c r="D282" s="95" t="n">
        <v>-13.3</v>
      </c>
      <c r="E282" s="95" t="n">
        <v>-19.7</v>
      </c>
      <c r="F282" s="95" t="n">
        <v>-39.6</v>
      </c>
      <c r="G282" s="95" t="n">
        <v>-28.7</v>
      </c>
      <c r="H282" s="95" t="n">
        <v>-7.6</v>
      </c>
      <c r="I282" s="95" t="n">
        <v>-30</v>
      </c>
      <c r="J282" s="95" t="n">
        <v>-19.7</v>
      </c>
      <c r="K282" s="96" t="inlineStr">
        <is>
          <t>2216 BRONCUS-B; 2602 ONEWO</t>
        </is>
      </c>
    </row>
    <row r="283">
      <c r="A283" s="16" t="inlineStr">
        <is>
          <t>Superstring Capital Master Fund LP</t>
        </is>
      </c>
      <c r="B283" s="89" t="n">
        <v>2</v>
      </c>
      <c r="C283" s="94" t="n">
        <v>0</v>
      </c>
      <c r="D283" s="95" t="n">
        <v>-13.8</v>
      </c>
      <c r="E283" s="95" t="n">
        <v>-25.4</v>
      </c>
      <c r="F283" s="95" t="n">
        <v>-29.6</v>
      </c>
      <c r="G283" s="95" t="n">
        <v>-37.3</v>
      </c>
      <c r="H283" s="95" t="n">
        <v>-12.5</v>
      </c>
      <c r="I283" s="95" t="n">
        <v>-19</v>
      </c>
      <c r="J283" s="95" t="n">
        <v>-29.1</v>
      </c>
      <c r="K283" s="96" t="inlineStr">
        <is>
          <t>6609 HEARTCARE-B; 2197 CLOVER BIO-B</t>
        </is>
      </c>
    </row>
    <row r="284">
      <c r="A284" s="16" t="inlineStr">
        <is>
          <t>Huzhou Erqing Asset Operation Co., Ltd</t>
        </is>
      </c>
      <c r="B284" s="89" t="n">
        <v>2</v>
      </c>
      <c r="C284" s="94" t="n">
        <v>0</v>
      </c>
      <c r="D284" s="95" t="n">
        <v>-14.5</v>
      </c>
      <c r="E284" s="95" t="n">
        <v>-4.5</v>
      </c>
      <c r="F284" s="95" t="n">
        <v>-11.6</v>
      </c>
      <c r="G284" s="95" t="n">
        <v>-5.6</v>
      </c>
      <c r="H284" s="95" t="n">
        <v>12.1</v>
      </c>
      <c r="I284" s="95" t="n">
        <v>3.8</v>
      </c>
      <c r="J284" s="95" t="n">
        <v>11</v>
      </c>
      <c r="K284" s="96" t="inlineStr">
        <is>
          <t>6661 HUZHOU GAS; 2409 SEACON</t>
        </is>
      </c>
    </row>
    <row r="285">
      <c r="A285" s="16" t="inlineStr">
        <is>
          <t>Qianhai Kaiyuan Qunwei QDII Plan</t>
        </is>
      </c>
      <c r="B285" s="89" t="n">
        <v>2</v>
      </c>
      <c r="C285" s="94" t="n">
        <v>0</v>
      </c>
      <c r="D285" s="95" t="n">
        <v>-14.9</v>
      </c>
      <c r="E285" s="95" t="n">
        <v>-15.8</v>
      </c>
      <c r="F285" s="95" t="n">
        <v>-12.3</v>
      </c>
      <c r="G285" s="95" t="n">
        <v>-1.8</v>
      </c>
      <c r="H285" s="95" t="n">
        <v>-1.1</v>
      </c>
      <c r="I285" s="95" t="n">
        <v>3</v>
      </c>
      <c r="J285" s="95" t="n">
        <v>15.6</v>
      </c>
      <c r="K285" s="96" t="inlineStr">
        <is>
          <t>3881 CIDI; 2715 ESTUN</t>
        </is>
      </c>
    </row>
    <row r="286">
      <c r="A286" s="16" t="inlineStr">
        <is>
          <t>Mr. Wu Qiyuan</t>
        </is>
      </c>
      <c r="B286" s="89" t="n">
        <v>2</v>
      </c>
      <c r="C286" s="94" t="n">
        <v>50</v>
      </c>
      <c r="D286" s="95" t="n">
        <v>-15.4</v>
      </c>
      <c r="E286" s="95" t="n">
        <v>-15.6</v>
      </c>
      <c r="F286" s="95" t="n">
        <v>-38.2</v>
      </c>
      <c r="G286" s="95" t="n">
        <v>-44.8</v>
      </c>
      <c r="H286" s="95" t="n">
        <v>0.9</v>
      </c>
      <c r="I286" s="95" t="n">
        <v>-24.1</v>
      </c>
      <c r="J286" s="95" t="n">
        <v>-30.5</v>
      </c>
      <c r="K286" s="96" t="inlineStr">
        <is>
          <t>2566 JIUYUAN GENE; 2671 USAS BUILDING</t>
        </is>
      </c>
    </row>
    <row r="287">
      <c r="A287" s="16" t="inlineStr">
        <is>
          <t>Jinhua Industrial Fund Co., Ltd</t>
        </is>
      </c>
      <c r="B287" s="89" t="n">
        <v>2</v>
      </c>
      <c r="C287" s="94" t="n">
        <v>50</v>
      </c>
      <c r="D287" s="95" t="n">
        <v>-16.3</v>
      </c>
      <c r="E287" s="95" t="n">
        <v>-25</v>
      </c>
      <c r="F287" s="95" t="n">
        <v>-30.8</v>
      </c>
      <c r="G287" s="95" t="n">
        <v>-19.2</v>
      </c>
      <c r="H287" s="95" t="n">
        <v>-12.4</v>
      </c>
      <c r="I287" s="95" t="n">
        <v>-21.8</v>
      </c>
      <c r="J287" s="95" t="n">
        <v>-3.8</v>
      </c>
      <c r="K287" s="96" t="inlineStr">
        <is>
          <t>9863 LEAPMOTOR; 2451 LUYUAN GP HLDG</t>
        </is>
      </c>
    </row>
    <row r="288">
      <c r="A288" s="16" t="inlineStr">
        <is>
          <t>Zoomlion International Trading (H.K.) Co., Limited</t>
        </is>
      </c>
      <c r="B288" s="89" t="n">
        <v>2</v>
      </c>
      <c r="C288" s="94" t="n">
        <v>0</v>
      </c>
      <c r="D288" s="95" t="n">
        <v>-18.8</v>
      </c>
      <c r="E288" s="95" t="n">
        <v>-17.8</v>
      </c>
      <c r="F288" s="95" t="n">
        <v>-29.3</v>
      </c>
      <c r="G288" s="95" t="n">
        <v>-25.1</v>
      </c>
      <c r="H288" s="95" t="n">
        <v>-0.8</v>
      </c>
      <c r="I288" s="95" t="n">
        <v>-13.9</v>
      </c>
      <c r="J288" s="95" t="n">
        <v>-8.1</v>
      </c>
      <c r="K288" s="96" t="inlineStr">
        <is>
          <t>2153 TAT HONG EQUIP; 9930 HORIZON CD</t>
        </is>
      </c>
    </row>
    <row r="289">
      <c r="A289" s="16" t="inlineStr">
        <is>
          <t>Jointown International Group Company Limited</t>
        </is>
      </c>
      <c r="B289" s="89" t="n">
        <v>2</v>
      </c>
      <c r="C289" s="94" t="n">
        <v>0</v>
      </c>
      <c r="D289" s="95" t="n">
        <v>-19.2</v>
      </c>
      <c r="E289" s="95" t="n">
        <v>-20.4</v>
      </c>
      <c r="F289" s="95" t="n">
        <v>-23.5</v>
      </c>
      <c r="G289" s="95" t="n">
        <v>-24</v>
      </c>
      <c r="H289" s="95" t="n">
        <v>-0.3</v>
      </c>
      <c r="I289" s="95" t="n">
        <v>-6.9</v>
      </c>
      <c r="J289" s="95" t="n">
        <v>-7.6</v>
      </c>
      <c r="K289" s="96" t="inlineStr">
        <is>
          <t>2291 SCIENTECH; 2566 JIUYUAN GENE</t>
        </is>
      </c>
    </row>
    <row r="290">
      <c r="A290" s="16" t="inlineStr">
        <is>
          <t>CELESTIAL OCEAN INVESTMENTS LIMITED</t>
        </is>
      </c>
      <c r="B290" s="89" t="n">
        <v>2</v>
      </c>
      <c r="C290" s="94" t="n">
        <v>0</v>
      </c>
      <c r="D290" s="95" t="n">
        <v>-27.2</v>
      </c>
      <c r="E290" s="95" t="n">
        <v>-37.9</v>
      </c>
      <c r="F290" s="95" t="n">
        <v>-40.7</v>
      </c>
      <c r="G290" s="95" t="n">
        <v>-11.5</v>
      </c>
      <c r="H290" s="95" t="n">
        <v>-25.5</v>
      </c>
      <c r="I290" s="95" t="n">
        <v>-28.9</v>
      </c>
      <c r="J290" s="95" t="n">
        <v>14.1</v>
      </c>
      <c r="K290" s="96" t="inlineStr">
        <is>
          <t>1519 J&amp;T EXPRESS-W; 2586 DMALL</t>
        </is>
      </c>
    </row>
    <row r="291">
      <c r="A291" s="16" t="inlineStr">
        <is>
          <t>Baillie Gifford Overseas Limited及Baillie Gifford &amp; Co</t>
        </is>
      </c>
      <c r="B291" s="89" t="n">
        <v>1</v>
      </c>
      <c r="C291" s="94" t="n">
        <v>100</v>
      </c>
      <c r="D291" s="95" t="n">
        <v>383.6</v>
      </c>
      <c r="E291" s="95" t="n">
        <v>385</v>
      </c>
      <c r="F291" s="95" t="n">
        <v>236.2</v>
      </c>
      <c r="G291" s="95" t="n">
        <v>27.3</v>
      </c>
      <c r="H291" s="95" t="n">
        <v>0.3</v>
      </c>
      <c r="I291" s="95" t="n">
        <v>-30.5</v>
      </c>
      <c r="J291" s="95" t="n">
        <v>-73.7</v>
      </c>
      <c r="K291" s="96" t="inlineStr">
        <is>
          <t>1879 XIZHI TECH-P</t>
        </is>
      </c>
    </row>
    <row r="292">
      <c r="A292" s="16" t="inlineStr">
        <is>
          <t>Lenovo Group Limited</t>
        </is>
      </c>
      <c r="B292" s="89" t="n">
        <v>1</v>
      </c>
      <c r="C292" s="94" t="n">
        <v>100</v>
      </c>
      <c r="D292" s="95" t="n">
        <v>383.6</v>
      </c>
      <c r="E292" s="95" t="n">
        <v>385</v>
      </c>
      <c r="F292" s="95" t="n">
        <v>236.2</v>
      </c>
      <c r="G292" s="95" t="n">
        <v>27.3</v>
      </c>
      <c r="H292" s="95" t="n">
        <v>0.3</v>
      </c>
      <c r="I292" s="95" t="n">
        <v>-30.5</v>
      </c>
      <c r="J292" s="95" t="n">
        <v>-73.7</v>
      </c>
      <c r="K292" s="96" t="inlineStr">
        <is>
          <t>1879 XIZHI TECH-P</t>
        </is>
      </c>
    </row>
    <row r="293">
      <c r="A293" s="16" t="inlineStr">
        <is>
          <t>Shanghai CM Digital Transformation Investment Fund, L.P</t>
        </is>
      </c>
      <c r="B293" s="89" t="n">
        <v>1</v>
      </c>
      <c r="C293" s="94" t="n">
        <v>100</v>
      </c>
      <c r="D293" s="95" t="n">
        <v>383.6</v>
      </c>
      <c r="E293" s="95" t="n">
        <v>385</v>
      </c>
      <c r="F293" s="95" t="n">
        <v>236.2</v>
      </c>
      <c r="G293" s="95" t="n">
        <v>27.3</v>
      </c>
      <c r="H293" s="95" t="n">
        <v>0.3</v>
      </c>
      <c r="I293" s="95" t="n">
        <v>-30.5</v>
      </c>
      <c r="J293" s="95" t="n">
        <v>-73.7</v>
      </c>
      <c r="K293" s="96" t="inlineStr">
        <is>
          <t>1879 XIZHI TECH-P</t>
        </is>
      </c>
    </row>
    <row r="294">
      <c r="A294" s="16" t="inlineStr">
        <is>
          <t>ZTE (H.K.) Limited</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GLY New Mobility 2. LP</t>
        </is>
      </c>
      <c r="B295" s="89" t="n">
        <v>1</v>
      </c>
      <c r="C295" s="94" t="n">
        <v>100</v>
      </c>
      <c r="D295" s="95" t="n">
        <v>367.9</v>
      </c>
      <c r="E295" s="95" t="n">
        <v>295.2</v>
      </c>
      <c r="F295" s="95" t="n">
        <v>280.8</v>
      </c>
      <c r="G295" s="95" t="n"/>
      <c r="H295" s="95" t="n">
        <v>-15.6</v>
      </c>
      <c r="I295" s="95" t="n">
        <v>-18.6</v>
      </c>
      <c r="J295" s="95" t="n"/>
      <c r="K295" s="96" t="inlineStr">
        <is>
          <t>2672 BAIGE DIGITAL</t>
        </is>
      </c>
    </row>
    <row r="296">
      <c r="A296" s="16" t="inlineStr">
        <is>
          <t>Mr. Ke Jiaqi</t>
        </is>
      </c>
      <c r="B296" s="89" t="n">
        <v>1</v>
      </c>
      <c r="C296" s="94" t="n">
        <v>100</v>
      </c>
      <c r="D296" s="95" t="n">
        <v>367.9</v>
      </c>
      <c r="E296" s="95" t="n">
        <v>295.2</v>
      </c>
      <c r="F296" s="95" t="n">
        <v>280.8</v>
      </c>
      <c r="G296" s="95" t="n"/>
      <c r="H296" s="95" t="n">
        <v>-15.6</v>
      </c>
      <c r="I296" s="95" t="n">
        <v>-18.6</v>
      </c>
      <c r="J296" s="95" t="n"/>
      <c r="K296" s="96" t="inlineStr">
        <is>
          <t>2672 BAIGE DIGITAL</t>
        </is>
      </c>
    </row>
    <row r="297">
      <c r="A297" s="16" t="inlineStr">
        <is>
          <t>Huayou HongKong Holding Limited</t>
        </is>
      </c>
      <c r="B297" s="89" t="n">
        <v>1</v>
      </c>
      <c r="C297" s="94" t="n">
        <v>100</v>
      </c>
      <c r="D297" s="95" t="n">
        <v>258.9</v>
      </c>
      <c r="E297" s="95" t="n">
        <v>459.7</v>
      </c>
      <c r="F297" s="95" t="n">
        <v>303.2</v>
      </c>
      <c r="G297" s="95" t="n">
        <v>290.7</v>
      </c>
      <c r="H297" s="95" t="n">
        <v>56</v>
      </c>
      <c r="I297" s="95" t="n">
        <v>12.4</v>
      </c>
      <c r="J297" s="95" t="n">
        <v>8.9</v>
      </c>
      <c r="K297" s="96" t="inlineStr">
        <is>
          <t>2155 MORIMATSU INTL</t>
        </is>
      </c>
    </row>
    <row r="298">
      <c r="A298" s="16" t="inlineStr">
        <is>
          <t>Hwa-An International Limited</t>
        </is>
      </c>
      <c r="B298" s="89" t="n">
        <v>1</v>
      </c>
      <c r="C298" s="94" t="n">
        <v>100</v>
      </c>
      <c r="D298" s="95" t="n">
        <v>258.9</v>
      </c>
      <c r="E298" s="95" t="n">
        <v>459.7</v>
      </c>
      <c r="F298" s="95" t="n">
        <v>303.2</v>
      </c>
      <c r="G298" s="95" t="n">
        <v>290.7</v>
      </c>
      <c r="H298" s="95" t="n">
        <v>56</v>
      </c>
      <c r="I298" s="95" t="n">
        <v>12.4</v>
      </c>
      <c r="J298" s="95" t="n">
        <v>8.9</v>
      </c>
      <c r="K298" s="96" t="inlineStr">
        <is>
          <t>2155 MORIMATSU INTL</t>
        </is>
      </c>
    </row>
    <row r="299">
      <c r="A299" s="16" t="inlineStr">
        <is>
          <t>Jingzhirui (Suzhou) Microelectronic Technology Co., Ltd</t>
        </is>
      </c>
      <c r="B299" s="89" t="n">
        <v>1</v>
      </c>
      <c r="C299" s="94" t="n">
        <v>100</v>
      </c>
      <c r="D299" s="95" t="n">
        <v>258.9</v>
      </c>
      <c r="E299" s="95" t="n">
        <v>459.7</v>
      </c>
      <c r="F299" s="95" t="n">
        <v>303.2</v>
      </c>
      <c r="G299" s="95" t="n">
        <v>290.7</v>
      </c>
      <c r="H299" s="95" t="n">
        <v>56</v>
      </c>
      <c r="I299" s="95" t="n">
        <v>12.4</v>
      </c>
      <c r="J299" s="95" t="n">
        <v>8.9</v>
      </c>
      <c r="K299" s="96" t="inlineStr">
        <is>
          <t>2155 MORIMATSU INTL</t>
        </is>
      </c>
    </row>
    <row r="300">
      <c r="A300" s="16" t="inlineStr">
        <is>
          <t>Zhang Ning</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Ms. Fan</t>
        </is>
      </c>
      <c r="B301" s="89" t="n">
        <v>1</v>
      </c>
      <c r="C301" s="94" t="n">
        <v>100</v>
      </c>
      <c r="D301" s="95" t="n">
        <v>258.1</v>
      </c>
      <c r="E301" s="95" t="n">
        <v>457.4</v>
      </c>
      <c r="F301" s="95" t="n">
        <v>456.4</v>
      </c>
      <c r="G301" s="95" t="n">
        <v>467.2</v>
      </c>
      <c r="H301" s="95" t="n">
        <v>55.7</v>
      </c>
      <c r="I301" s="95" t="n">
        <v>55.4</v>
      </c>
      <c r="J301" s="95" t="n">
        <v>58.4</v>
      </c>
      <c r="K301" s="96" t="inlineStr">
        <is>
          <t>2583 HIPINE</t>
        </is>
      </c>
    </row>
    <row r="302">
      <c r="A302" s="16" t="inlineStr">
        <is>
          <t>Jinyingu Investment</t>
        </is>
      </c>
      <c r="B302" s="89" t="n">
        <v>1</v>
      </c>
      <c r="C302" s="94" t="n">
        <v>100</v>
      </c>
      <c r="D302" s="95" t="n">
        <v>258.1</v>
      </c>
      <c r="E302" s="95" t="n">
        <v>457.4</v>
      </c>
      <c r="F302" s="95" t="n">
        <v>456.4</v>
      </c>
      <c r="G302" s="95" t="n">
        <v>467.2</v>
      </c>
      <c r="H302" s="95" t="n">
        <v>55.7</v>
      </c>
      <c r="I302" s="95" t="n">
        <v>55.4</v>
      </c>
      <c r="J302" s="95" t="n">
        <v>58.4</v>
      </c>
      <c r="K302" s="96" t="inlineStr">
        <is>
          <t>2583 HIPINE</t>
        </is>
      </c>
    </row>
    <row r="303">
      <c r="A303" s="16" t="inlineStr">
        <is>
          <t>Ren Xuyang (任旭陽)</t>
        </is>
      </c>
      <c r="B303" s="89" t="n">
        <v>1</v>
      </c>
      <c r="C303" s="94" t="n">
        <v>100</v>
      </c>
      <c r="D303" s="95" t="n">
        <v>242.2</v>
      </c>
      <c r="E303" s="95" t="n">
        <v>298.7</v>
      </c>
      <c r="F303" s="95" t="n">
        <v>204.7</v>
      </c>
      <c r="G303" s="95" t="n">
        <v>132.4</v>
      </c>
      <c r="H303" s="95" t="n">
        <v>16.5</v>
      </c>
      <c r="I303" s="95" t="n">
        <v>-11</v>
      </c>
      <c r="J303" s="95" t="n">
        <v>-32.1</v>
      </c>
      <c r="K303" s="96" t="inlineStr">
        <is>
          <t>2706 HAIZHI TECH GP</t>
        </is>
      </c>
    </row>
    <row r="304">
      <c r="A304" s="16" t="inlineStr">
        <is>
          <t>Yang Zaifei (楊再飛)</t>
        </is>
      </c>
      <c r="B304" s="89" t="n">
        <v>1</v>
      </c>
      <c r="C304" s="94" t="n">
        <v>100</v>
      </c>
      <c r="D304" s="95" t="n">
        <v>242.2</v>
      </c>
      <c r="E304" s="95" t="n">
        <v>298.7</v>
      </c>
      <c r="F304" s="95" t="n">
        <v>204.7</v>
      </c>
      <c r="G304" s="95" t="n">
        <v>132.4</v>
      </c>
      <c r="H304" s="95" t="n">
        <v>16.5</v>
      </c>
      <c r="I304" s="95" t="n">
        <v>-11</v>
      </c>
      <c r="J304" s="95" t="n">
        <v>-32.1</v>
      </c>
      <c r="K304" s="96" t="inlineStr">
        <is>
          <t>2706 HAIZHI TECH GP</t>
        </is>
      </c>
    </row>
    <row r="305">
      <c r="A305" s="16" t="inlineStr">
        <is>
          <t>BAI GmbH</t>
        </is>
      </c>
      <c r="B305" s="89" t="n">
        <v>1</v>
      </c>
      <c r="C305" s="94" t="n">
        <v>100</v>
      </c>
      <c r="D305" s="95" t="n">
        <v>242.2</v>
      </c>
      <c r="E305" s="95" t="n">
        <v>298.7</v>
      </c>
      <c r="F305" s="95" t="n">
        <v>204.7</v>
      </c>
      <c r="G305" s="95" t="n">
        <v>132.4</v>
      </c>
      <c r="H305" s="95" t="n">
        <v>16.5</v>
      </c>
      <c r="I305" s="95" t="n">
        <v>-11</v>
      </c>
      <c r="J305" s="95" t="n">
        <v>-32.1</v>
      </c>
      <c r="K305" s="96" t="inlineStr">
        <is>
          <t>2706 HAIZHI TECH GP</t>
        </is>
      </c>
    </row>
    <row r="306">
      <c r="A306" s="16" t="inlineStr">
        <is>
          <t>SKY FINE LIMITED</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Yifang Technology Group, Ltd</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Shi Youcai (史有才)</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Yang Juan (楊娟)</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Wan Pengjiang (萬澎江)</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Hu Song (胡嵩)</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TAL China Focus Master Fund</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Alternative Fund, L.P</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XINWUTANG CO., LIMITED</t>
        </is>
      </c>
      <c r="B314" s="89" t="n">
        <v>1</v>
      </c>
      <c r="C314" s="94" t="n">
        <v>100</v>
      </c>
      <c r="D314" s="95" t="n">
        <v>241.1</v>
      </c>
      <c r="E314" s="95" t="n">
        <v>216.6</v>
      </c>
      <c r="F314" s="95" t="n">
        <v>201.5</v>
      </c>
      <c r="G314" s="95" t="n">
        <v>136.7</v>
      </c>
      <c r="H314" s="95" t="n">
        <v>-7.2</v>
      </c>
      <c r="I314" s="95" t="n">
        <v>-11.6</v>
      </c>
      <c r="J314" s="95" t="n">
        <v>-30.6</v>
      </c>
      <c r="K314" s="96" t="inlineStr">
        <is>
          <t>6810 SUNMI TECH-W</t>
        </is>
      </c>
    </row>
    <row r="315">
      <c r="A315" s="16" t="inlineStr">
        <is>
          <t>Carsonlin Investment Ltd</t>
        </is>
      </c>
      <c r="B315" s="89" t="n">
        <v>1</v>
      </c>
      <c r="C315" s="94" t="n">
        <v>100</v>
      </c>
      <c r="D315" s="95" t="n">
        <v>230.2</v>
      </c>
      <c r="E315" s="95" t="n">
        <v>281.1</v>
      </c>
      <c r="F315" s="95" t="n">
        <v>196.2</v>
      </c>
      <c r="G315" s="95" t="n">
        <v>696.2</v>
      </c>
      <c r="H315" s="95" t="n">
        <v>15.4</v>
      </c>
      <c r="I315" s="95" t="n">
        <v>-10.3</v>
      </c>
      <c r="J315" s="95" t="n">
        <v>141.1</v>
      </c>
      <c r="K315" s="96" t="inlineStr">
        <is>
          <t>2427 GUANZE MEDICAL</t>
        </is>
      </c>
    </row>
    <row r="316">
      <c r="A316" s="16" t="inlineStr">
        <is>
          <t>Mu Min</t>
        </is>
      </c>
      <c r="B316" s="89" t="n">
        <v>1</v>
      </c>
      <c r="C316" s="94" t="n">
        <v>100</v>
      </c>
      <c r="D316" s="95" t="n">
        <v>230.2</v>
      </c>
      <c r="E316" s="95" t="n">
        <v>281.1</v>
      </c>
      <c r="F316" s="95" t="n">
        <v>196.2</v>
      </c>
      <c r="G316" s="95" t="n">
        <v>696.2</v>
      </c>
      <c r="H316" s="95" t="n">
        <v>15.4</v>
      </c>
      <c r="I316" s="95" t="n">
        <v>-10.3</v>
      </c>
      <c r="J316" s="95" t="n">
        <v>141.1</v>
      </c>
      <c r="K316" s="96" t="inlineStr">
        <is>
          <t>2427 GUANZE MEDICAL</t>
        </is>
      </c>
    </row>
    <row r="317">
      <c r="A317" s="16" t="inlineStr">
        <is>
          <t>Yang Xinyun</t>
        </is>
      </c>
      <c r="B317" s="89" t="n">
        <v>1</v>
      </c>
      <c r="C317" s="94" t="n">
        <v>100</v>
      </c>
      <c r="D317" s="95" t="n">
        <v>230.2</v>
      </c>
      <c r="E317" s="95" t="n">
        <v>281.1</v>
      </c>
      <c r="F317" s="95" t="n">
        <v>196.2</v>
      </c>
      <c r="G317" s="95" t="n">
        <v>696.2</v>
      </c>
      <c r="H317" s="95" t="n">
        <v>15.4</v>
      </c>
      <c r="I317" s="95" t="n">
        <v>-10.3</v>
      </c>
      <c r="J317" s="95" t="n">
        <v>141.1</v>
      </c>
      <c r="K317" s="96" t="inlineStr">
        <is>
          <t>2427 GUANZE MEDICAL</t>
        </is>
      </c>
    </row>
    <row r="318">
      <c r="A318" s="16" t="inlineStr">
        <is>
          <t>LI Huifeng ( ኇᅆჾ)</t>
        </is>
      </c>
      <c r="B318" s="89" t="n">
        <v>1</v>
      </c>
      <c r="C318" s="94" t="n">
        <v>100</v>
      </c>
      <c r="D318" s="95" t="n">
        <v>206.5</v>
      </c>
      <c r="E318" s="95" t="n">
        <v>183.7</v>
      </c>
      <c r="F318" s="95" t="n">
        <v>137.4</v>
      </c>
      <c r="G318" s="95" t="n">
        <v>84.59999999999999</v>
      </c>
      <c r="H318" s="95" t="n">
        <v>-7.4</v>
      </c>
      <c r="I318" s="95" t="n">
        <v>-22.6</v>
      </c>
      <c r="J318" s="95" t="n">
        <v>-39.8</v>
      </c>
      <c r="K318" s="96" t="inlineStr">
        <is>
          <t>2591 INNOGEN-B</t>
        </is>
      </c>
    </row>
    <row r="319">
      <c r="A319" s="16" t="inlineStr">
        <is>
          <t>SPC-XtalPi AI Fund SP</t>
        </is>
      </c>
      <c r="B319" s="89" t="n">
        <v>1</v>
      </c>
      <c r="C319" s="94" t="n">
        <v>100</v>
      </c>
      <c r="D319" s="95" t="n">
        <v>206.5</v>
      </c>
      <c r="E319" s="95" t="n">
        <v>183.7</v>
      </c>
      <c r="F319" s="95" t="n">
        <v>137.4</v>
      </c>
      <c r="G319" s="95" t="n">
        <v>84.59999999999999</v>
      </c>
      <c r="H319" s="95" t="n">
        <v>-7.4</v>
      </c>
      <c r="I319" s="95" t="n">
        <v>-22.6</v>
      </c>
      <c r="J319" s="95" t="n">
        <v>-39.8</v>
      </c>
      <c r="K319" s="96" t="inlineStr">
        <is>
          <t>2591 INNOGEN-B</t>
        </is>
      </c>
    </row>
    <row r="320">
      <c r="A320" s="16" t="inlineStr">
        <is>
          <t>Marketingforce Management Ltd</t>
        </is>
      </c>
      <c r="B320" s="89" t="n">
        <v>1</v>
      </c>
      <c r="C320" s="94" t="n">
        <v>100</v>
      </c>
      <c r="D320" s="95" t="n">
        <v>206.5</v>
      </c>
      <c r="E320" s="95" t="n">
        <v>183.7</v>
      </c>
      <c r="F320" s="95" t="n">
        <v>137.4</v>
      </c>
      <c r="G320" s="95" t="n">
        <v>84.59999999999999</v>
      </c>
      <c r="H320" s="95" t="n">
        <v>-7.4</v>
      </c>
      <c r="I320" s="95" t="n">
        <v>-22.6</v>
      </c>
      <c r="J320" s="95" t="n">
        <v>-39.8</v>
      </c>
      <c r="K320" s="96" t="inlineStr">
        <is>
          <t>2591 INNOGEN-B</t>
        </is>
      </c>
    </row>
    <row r="321">
      <c r="A321" s="16" t="inlineStr">
        <is>
          <t>DENG Haifeng</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Palace Investments Pte. Ltd</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BioTrack AA Limited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AMR Action Fund, L.P</t>
        </is>
      </c>
      <c r="B324" s="89" t="n">
        <v>1</v>
      </c>
      <c r="C324" s="94" t="n">
        <v>100</v>
      </c>
      <c r="D324" s="95" t="n">
        <v>178.7</v>
      </c>
      <c r="E324" s="95" t="n">
        <v>166.8</v>
      </c>
      <c r="F324" s="95" t="n">
        <v>248.2</v>
      </c>
      <c r="G324" s="95" t="n">
        <v>165</v>
      </c>
      <c r="H324" s="95" t="n">
        <v>-4.3</v>
      </c>
      <c r="I324" s="95" t="n">
        <v>24.9</v>
      </c>
      <c r="J324" s="95" t="n">
        <v>-4.9</v>
      </c>
      <c r="K324" s="96" t="inlineStr">
        <is>
          <t>6872 TENNOR THERAP-B</t>
        </is>
      </c>
    </row>
    <row r="325">
      <c r="A325" s="16" t="inlineStr">
        <is>
          <t>Shanghai Yangtze River Delta Industry Upgrade Equity Investment</t>
        </is>
      </c>
      <c r="B325" s="89" t="n">
        <v>1</v>
      </c>
      <c r="C325" s="94" t="n">
        <v>100</v>
      </c>
      <c r="D325" s="95" t="n">
        <v>161</v>
      </c>
      <c r="E325" s="95" t="n">
        <v>94.59999999999999</v>
      </c>
      <c r="F325" s="95" t="n">
        <v>89.8</v>
      </c>
      <c r="G325" s="95" t="n">
        <v>112.9</v>
      </c>
      <c r="H325" s="95" t="n">
        <v>-25.4</v>
      </c>
      <c r="I325" s="95" t="n">
        <v>-27.3</v>
      </c>
      <c r="J325" s="95" t="n">
        <v>-18.4</v>
      </c>
      <c r="K325" s="96" t="inlineStr">
        <is>
          <t>2652 CF PHARMTECH</t>
        </is>
      </c>
    </row>
    <row r="326">
      <c r="A326" s="16" t="inlineStr">
        <is>
          <t>The Capital Group Funds</t>
        </is>
      </c>
      <c r="B326" s="89" t="n">
        <v>1</v>
      </c>
      <c r="C326" s="94" t="n">
        <v>100</v>
      </c>
      <c r="D326" s="95" t="n">
        <v>160.9</v>
      </c>
      <c r="E326" s="95" t="n">
        <v>250.4</v>
      </c>
      <c r="F326" s="95" t="n">
        <v>141.9</v>
      </c>
      <c r="G326" s="95" t="n">
        <v>105.4</v>
      </c>
      <c r="H326" s="95" t="n">
        <v>34.3</v>
      </c>
      <c r="I326" s="95" t="n">
        <v>-7.3</v>
      </c>
      <c r="J326" s="95" t="n">
        <v>-21.3</v>
      </c>
      <c r="K326" s="96" t="inlineStr">
        <is>
          <t>1024 KUAISHOU-W</t>
        </is>
      </c>
    </row>
    <row r="327">
      <c r="A327" s="16" t="inlineStr">
        <is>
          <t>Aoqin Heming</t>
        </is>
      </c>
      <c r="B327" s="89" t="n">
        <v>1</v>
      </c>
      <c r="C327" s="94" t="n">
        <v>100</v>
      </c>
      <c r="D327" s="95" t="n">
        <v>158.8</v>
      </c>
      <c r="E327" s="95" t="n">
        <v>229.4</v>
      </c>
      <c r="F327" s="95" t="n">
        <v>338.7</v>
      </c>
      <c r="G327" s="95" t="n">
        <v>592.7</v>
      </c>
      <c r="H327" s="95" t="n">
        <v>27.3</v>
      </c>
      <c r="I327" s="95" t="n">
        <v>69.5</v>
      </c>
      <c r="J327" s="95" t="n">
        <v>167.6</v>
      </c>
      <c r="K327" s="96" t="inlineStr">
        <is>
          <t>2661 QINGSONG HEALTH</t>
        </is>
      </c>
    </row>
    <row r="328">
      <c r="A328" s="16" t="inlineStr">
        <is>
          <t>Discretionary basis</t>
        </is>
      </c>
      <c r="B328" s="89" t="n">
        <v>1</v>
      </c>
      <c r="C328" s="94" t="n">
        <v>100</v>
      </c>
      <c r="D328" s="95" t="n">
        <v>158.8</v>
      </c>
      <c r="E328" s="95" t="n">
        <v>229.4</v>
      </c>
      <c r="F328" s="95" t="n">
        <v>338.7</v>
      </c>
      <c r="G328" s="95" t="n">
        <v>592.7</v>
      </c>
      <c r="H328" s="95" t="n">
        <v>27.3</v>
      </c>
      <c r="I328" s="95" t="n">
        <v>69.5</v>
      </c>
      <c r="J328" s="95" t="n">
        <v>167.6</v>
      </c>
      <c r="K328" s="96" t="inlineStr">
        <is>
          <t>2661 QINGSONG HEALTH</t>
        </is>
      </c>
    </row>
    <row r="329">
      <c r="A329" s="16" t="inlineStr">
        <is>
          <t>George Kent International Pte. Ltd</t>
        </is>
      </c>
      <c r="B329" s="89" t="n">
        <v>1</v>
      </c>
      <c r="C329" s="94" t="n">
        <v>100</v>
      </c>
      <c r="D329" s="95" t="n">
        <v>150</v>
      </c>
      <c r="E329" s="95" t="n">
        <v>164</v>
      </c>
      <c r="F329" s="95" t="n">
        <v>151.2</v>
      </c>
      <c r="G329" s="95" t="n">
        <v>112.5</v>
      </c>
      <c r="H329" s="95" t="n">
        <v>5.6</v>
      </c>
      <c r="I329" s="95" t="n">
        <v>0.5</v>
      </c>
      <c r="J329" s="95" t="n">
        <v>-15</v>
      </c>
      <c r="K329" s="96" t="inlineStr">
        <is>
          <t>6636 EXTREME VISION</t>
        </is>
      </c>
    </row>
    <row r="330">
      <c r="A330" s="16" t="inlineStr">
        <is>
          <t>Zhengjin (Hong Kong) International Co., Limited</t>
        </is>
      </c>
      <c r="B330" s="89" t="n">
        <v>1</v>
      </c>
      <c r="C330" s="94" t="n">
        <v>100</v>
      </c>
      <c r="D330" s="95" t="n">
        <v>150</v>
      </c>
      <c r="E330" s="95" t="n">
        <v>164</v>
      </c>
      <c r="F330" s="95" t="n">
        <v>151.2</v>
      </c>
      <c r="G330" s="95" t="n">
        <v>112.5</v>
      </c>
      <c r="H330" s="95" t="n">
        <v>5.6</v>
      </c>
      <c r="I330" s="95" t="n">
        <v>0.5</v>
      </c>
      <c r="J330" s="95" t="n">
        <v>-15</v>
      </c>
      <c r="K330" s="96" t="inlineStr">
        <is>
          <t>6636 EXTREME VISION</t>
        </is>
      </c>
    </row>
    <row r="331">
      <c r="A331" s="16" t="inlineStr">
        <is>
          <t>Ms. Jin Jie</t>
        </is>
      </c>
      <c r="B331" s="89" t="n">
        <v>1</v>
      </c>
      <c r="C331" s="94" t="n">
        <v>100</v>
      </c>
      <c r="D331" s="95" t="n">
        <v>145.7</v>
      </c>
      <c r="E331" s="95" t="n">
        <v>65</v>
      </c>
      <c r="F331" s="95" t="n">
        <v>131.1</v>
      </c>
      <c r="G331" s="95" t="n">
        <v>216.2</v>
      </c>
      <c r="H331" s="95" t="n">
        <v>-32.9</v>
      </c>
      <c r="I331" s="95" t="n">
        <v>-6</v>
      </c>
      <c r="J331" s="95" t="n">
        <v>28.7</v>
      </c>
      <c r="K331" s="96" t="inlineStr">
        <is>
          <t>2630 VIGONVITA-B</t>
        </is>
      </c>
    </row>
    <row r="332">
      <c r="A332" s="16" t="inlineStr">
        <is>
          <t>Dr. Shen</t>
        </is>
      </c>
      <c r="B332" s="89" t="n">
        <v>1</v>
      </c>
      <c r="C332" s="94" t="n">
        <v>100</v>
      </c>
      <c r="D332" s="95" t="n">
        <v>145.7</v>
      </c>
      <c r="E332" s="95" t="n">
        <v>65</v>
      </c>
      <c r="F332" s="95" t="n">
        <v>131.1</v>
      </c>
      <c r="G332" s="95" t="n">
        <v>216.2</v>
      </c>
      <c r="H332" s="95" t="n">
        <v>-32.9</v>
      </c>
      <c r="I332" s="95" t="n">
        <v>-6</v>
      </c>
      <c r="J332" s="95" t="n">
        <v>28.7</v>
      </c>
      <c r="K332" s="96" t="inlineStr">
        <is>
          <t>2630 VIGONVITA-B</t>
        </is>
      </c>
    </row>
    <row r="333">
      <c r="A333" s="16" t="inlineStr">
        <is>
          <t>Hesai Hong Kong Limited</t>
        </is>
      </c>
      <c r="B333" s="89" t="n">
        <v>1</v>
      </c>
      <c r="C333" s="94" t="n">
        <v>100</v>
      </c>
      <c r="D333" s="95" t="n">
        <v>144.1</v>
      </c>
      <c r="E333" s="95" t="n">
        <v>273.8</v>
      </c>
      <c r="F333" s="95" t="n">
        <v>142.9</v>
      </c>
      <c r="G333" s="95" t="n">
        <v>16.5</v>
      </c>
      <c r="H333" s="95" t="n">
        <v>53.1</v>
      </c>
      <c r="I333" s="95" t="n">
        <v>-0.5</v>
      </c>
      <c r="J333" s="95" t="n">
        <v>-52.3</v>
      </c>
      <c r="K333" s="96" t="inlineStr">
        <is>
          <t>0068 MANYCORE TECH</t>
        </is>
      </c>
    </row>
    <row r="334">
      <c r="A334" s="16" t="inlineStr">
        <is>
          <t>REDWOOD ELITE LIMITED</t>
        </is>
      </c>
      <c r="B334" s="89" t="n">
        <v>1</v>
      </c>
      <c r="C334" s="94" t="n">
        <v>100</v>
      </c>
      <c r="D334" s="95" t="n">
        <v>144.1</v>
      </c>
      <c r="E334" s="95" t="n">
        <v>273.8</v>
      </c>
      <c r="F334" s="95" t="n">
        <v>142.9</v>
      </c>
      <c r="G334" s="95" t="n">
        <v>16.5</v>
      </c>
      <c r="H334" s="95" t="n">
        <v>53.1</v>
      </c>
      <c r="I334" s="95" t="n">
        <v>-0.5</v>
      </c>
      <c r="J334" s="95" t="n">
        <v>-52.3</v>
      </c>
      <c r="K334" s="96" t="inlineStr">
        <is>
          <t>0068 MANYCORE TECH</t>
        </is>
      </c>
    </row>
    <row r="335">
      <c r="A335" s="16" t="inlineStr">
        <is>
          <t>Center Lab</t>
        </is>
      </c>
      <c r="B335" s="89" t="n">
        <v>1</v>
      </c>
      <c r="C335" s="94" t="n">
        <v>100</v>
      </c>
      <c r="D335" s="95" t="n">
        <v>138.8</v>
      </c>
      <c r="E335" s="95" t="n">
        <v>173.7</v>
      </c>
      <c r="F335" s="95" t="n">
        <v>226.8</v>
      </c>
      <c r="G335" s="95" t="n">
        <v>249.3</v>
      </c>
      <c r="H335" s="95" t="n">
        <v>14.6</v>
      </c>
      <c r="I335" s="95" t="n">
        <v>36.8</v>
      </c>
      <c r="J335" s="95" t="n">
        <v>46.3</v>
      </c>
      <c r="K335" s="96" t="inlineStr">
        <is>
          <t>2659 BAO PHARMA-B</t>
        </is>
      </c>
    </row>
    <row r="336">
      <c r="A336" s="16" t="inlineStr">
        <is>
          <t>Zhang Yahong (ߎ2,838,885</t>
        </is>
      </c>
      <c r="B336" s="89" t="n">
        <v>1</v>
      </c>
      <c r="C336" s="94" t="n">
        <v>100</v>
      </c>
      <c r="D336" s="95" t="n">
        <v>138.8</v>
      </c>
      <c r="E336" s="95" t="n">
        <v>173.7</v>
      </c>
      <c r="F336" s="95" t="n">
        <v>226.8</v>
      </c>
      <c r="G336" s="95" t="n">
        <v>249.3</v>
      </c>
      <c r="H336" s="95" t="n">
        <v>14.6</v>
      </c>
      <c r="I336" s="95" t="n">
        <v>36.8</v>
      </c>
      <c r="J336" s="95" t="n">
        <v>46.3</v>
      </c>
      <c r="K336" s="96" t="inlineStr">
        <is>
          <t>2659 BAO PHARMA-B</t>
        </is>
      </c>
    </row>
    <row r="337">
      <c r="A337" s="16" t="inlineStr">
        <is>
          <t>Fan Hong (ߎ2,365,735</t>
        </is>
      </c>
      <c r="B337" s="89" t="n">
        <v>1</v>
      </c>
      <c r="C337" s="94" t="n">
        <v>100</v>
      </c>
      <c r="D337" s="95" t="n">
        <v>138.8</v>
      </c>
      <c r="E337" s="95" t="n">
        <v>173.7</v>
      </c>
      <c r="F337" s="95" t="n">
        <v>226.8</v>
      </c>
      <c r="G337" s="95" t="n">
        <v>249.3</v>
      </c>
      <c r="H337" s="95" t="n">
        <v>14.6</v>
      </c>
      <c r="I337" s="95" t="n">
        <v>36.8</v>
      </c>
      <c r="J337" s="95" t="n">
        <v>46.3</v>
      </c>
      <c r="K337" s="96" t="inlineStr">
        <is>
          <t>2659 BAO PHARMA-B</t>
        </is>
      </c>
    </row>
    <row r="338">
      <c r="A338" s="16" t="inlineStr">
        <is>
          <t>Zheng Keqing (ڡ222,220</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Nie Miao ( ᔗ↿) –</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Wang Jufang (ٹ581,930</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Cui Hongyan (ᜮ) –</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Liu Jintao (ᏹ)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Huang Haitao ( රऎᏹ)</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Xu Sumin ( ஢९ઽ)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Song Aihui ( ҂ฌฯ)</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Zhao Liping ( Ⴛ஁റ)</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Chample International Limited</t>
        </is>
      </c>
      <c r="B347" s="89" t="n">
        <v>1</v>
      </c>
      <c r="C347" s="94" t="n">
        <v>100</v>
      </c>
      <c r="D347" s="95" t="n">
        <v>127.1</v>
      </c>
      <c r="E347" s="95" t="n">
        <v>105.9</v>
      </c>
      <c r="F347" s="95" t="n">
        <v>10</v>
      </c>
      <c r="G347" s="95" t="n"/>
      <c r="H347" s="95" t="n">
        <v>-9.300000000000001</v>
      </c>
      <c r="I347" s="95" t="n">
        <v>-51.6</v>
      </c>
      <c r="J347" s="95" t="n"/>
      <c r="K347" s="96" t="inlineStr">
        <is>
          <t>6675 SENASIC</t>
        </is>
      </c>
    </row>
    <row r="348">
      <c r="A348" s="16" t="inlineStr">
        <is>
          <t>Libra Fixed Income One SP</t>
        </is>
      </c>
      <c r="B348" s="89" t="n">
        <v>1</v>
      </c>
      <c r="C348" s="94" t="n">
        <v>100</v>
      </c>
      <c r="D348" s="95" t="n">
        <v>127.1</v>
      </c>
      <c r="E348" s="95" t="n">
        <v>105.9</v>
      </c>
      <c r="F348" s="95" t="n">
        <v>10</v>
      </c>
      <c r="G348" s="95" t="n"/>
      <c r="H348" s="95" t="n">
        <v>-9.300000000000001</v>
      </c>
      <c r="I348" s="95" t="n">
        <v>-51.6</v>
      </c>
      <c r="J348" s="95" t="n"/>
      <c r="K348" s="96" t="inlineStr">
        <is>
          <t>6675 SENASIC</t>
        </is>
      </c>
    </row>
    <row r="349">
      <c r="A349" s="16" t="inlineStr">
        <is>
          <t>Longwei Hong Kong Company Limited</t>
        </is>
      </c>
      <c r="B349" s="89" t="n">
        <v>1</v>
      </c>
      <c r="C349" s="94" t="n">
        <v>100</v>
      </c>
      <c r="D349" s="95" t="n">
        <v>127.1</v>
      </c>
      <c r="E349" s="95" t="n">
        <v>105.9</v>
      </c>
      <c r="F349" s="95" t="n">
        <v>10</v>
      </c>
      <c r="G349" s="95" t="n"/>
      <c r="H349" s="95" t="n">
        <v>-9.300000000000001</v>
      </c>
      <c r="I349" s="95" t="n">
        <v>-51.6</v>
      </c>
      <c r="J349" s="95" t="n"/>
      <c r="K349" s="96" t="inlineStr">
        <is>
          <t>6675 SENASIC</t>
        </is>
      </c>
    </row>
    <row r="350">
      <c r="A350" s="16" t="inlineStr">
        <is>
          <t>Mr. Andrew Y Yan</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Tembusu Limited</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Thalassa Capital Dynamics SPC</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Xu Yanjun</t>
        </is>
      </c>
      <c r="B353" s="89" t="n">
        <v>1</v>
      </c>
      <c r="C353" s="94" t="n">
        <v>100</v>
      </c>
      <c r="D353" s="95" t="n">
        <v>126.7</v>
      </c>
      <c r="E353" s="95" t="n">
        <v>417.2</v>
      </c>
      <c r="F353" s="95" t="n">
        <v>451.3</v>
      </c>
      <c r="G353" s="95" t="n">
        <v>509.1</v>
      </c>
      <c r="H353" s="95" t="n">
        <v>128.1</v>
      </c>
      <c r="I353" s="95" t="n">
        <v>143.2</v>
      </c>
      <c r="J353" s="95" t="n">
        <v>168.6</v>
      </c>
      <c r="K353" s="96" t="inlineStr">
        <is>
          <t>2575 XUANZHUBIO-B</t>
        </is>
      </c>
    </row>
    <row r="354">
      <c r="A354" s="16" t="inlineStr">
        <is>
          <t>Li Jia Kui</t>
        </is>
      </c>
      <c r="B354" s="89" t="n">
        <v>1</v>
      </c>
      <c r="C354" s="94" t="n">
        <v>100</v>
      </c>
      <c r="D354" s="95" t="n">
        <v>126.7</v>
      </c>
      <c r="E354" s="95" t="n">
        <v>417.2</v>
      </c>
      <c r="F354" s="95" t="n">
        <v>451.3</v>
      </c>
      <c r="G354" s="95" t="n">
        <v>509.1</v>
      </c>
      <c r="H354" s="95" t="n">
        <v>128.1</v>
      </c>
      <c r="I354" s="95" t="n">
        <v>143.2</v>
      </c>
      <c r="J354" s="95" t="n">
        <v>168.6</v>
      </c>
      <c r="K354" s="96" t="inlineStr">
        <is>
          <t>2575 XUANZHUBIO-B</t>
        </is>
      </c>
    </row>
    <row r="355">
      <c r="A355" s="16" t="inlineStr">
        <is>
          <t>China Venture Capital Innovation Investment Fund Co., Ltd</t>
        </is>
      </c>
      <c r="B355" s="89" t="n">
        <v>1</v>
      </c>
      <c r="C355" s="94" t="n">
        <v>100</v>
      </c>
      <c r="D355" s="95" t="n">
        <v>126.7</v>
      </c>
      <c r="E355" s="95" t="n">
        <v>71.40000000000001</v>
      </c>
      <c r="F355" s="95" t="n">
        <v>25.6</v>
      </c>
      <c r="G355" s="95" t="n">
        <v>25.6</v>
      </c>
      <c r="H355" s="95" t="n">
        <v>-24.4</v>
      </c>
      <c r="I355" s="95" t="n">
        <v>-44.6</v>
      </c>
      <c r="J355" s="95" t="n">
        <v>-44.6</v>
      </c>
      <c r="K355" s="96" t="inlineStr">
        <is>
          <t>7666 METIS TECHBIO-P</t>
        </is>
      </c>
    </row>
    <row r="356">
      <c r="A356" s="16" t="inlineStr">
        <is>
          <t>Deerfield Management Company, L.P</t>
        </is>
      </c>
      <c r="B356" s="89" t="n">
        <v>1</v>
      </c>
      <c r="C356" s="94" t="n">
        <v>100</v>
      </c>
      <c r="D356" s="95" t="n">
        <v>126.7</v>
      </c>
      <c r="E356" s="95" t="n">
        <v>71.40000000000001</v>
      </c>
      <c r="F356" s="95" t="n">
        <v>25.6</v>
      </c>
      <c r="G356" s="95" t="n">
        <v>25.6</v>
      </c>
      <c r="H356" s="95" t="n">
        <v>-24.4</v>
      </c>
      <c r="I356" s="95" t="n">
        <v>-44.6</v>
      </c>
      <c r="J356" s="95" t="n">
        <v>-44.6</v>
      </c>
      <c r="K356" s="96" t="inlineStr">
        <is>
          <t>7666 METIS TECHBIO-P</t>
        </is>
      </c>
    </row>
    <row r="357">
      <c r="A357" s="16" t="inlineStr">
        <is>
          <t>Isometry Global Master Fund, L.P</t>
        </is>
      </c>
      <c r="B357" s="89" t="n">
        <v>1</v>
      </c>
      <c r="C357" s="94" t="n">
        <v>100</v>
      </c>
      <c r="D357" s="95" t="n">
        <v>126.7</v>
      </c>
      <c r="E357" s="95" t="n">
        <v>71.40000000000001</v>
      </c>
      <c r="F357" s="95" t="n">
        <v>25.6</v>
      </c>
      <c r="G357" s="95" t="n">
        <v>25.6</v>
      </c>
      <c r="H357" s="95" t="n">
        <v>-24.4</v>
      </c>
      <c r="I357" s="95" t="n">
        <v>-44.6</v>
      </c>
      <c r="J357" s="95" t="n">
        <v>-44.6</v>
      </c>
      <c r="K357" s="96" t="inlineStr">
        <is>
          <t>7666 METIS TECHBIO-P</t>
        </is>
      </c>
    </row>
    <row r="358">
      <c r="A358" s="16" t="inlineStr">
        <is>
          <t>OAP IV (HK) Limited</t>
        </is>
      </c>
      <c r="B358" s="89" t="n">
        <v>1</v>
      </c>
      <c r="C358" s="94" t="n">
        <v>100</v>
      </c>
      <c r="D358" s="95" t="n">
        <v>118.3</v>
      </c>
      <c r="E358" s="95" t="n">
        <v>102.4</v>
      </c>
      <c r="F358" s="95" t="n">
        <v>94.3</v>
      </c>
      <c r="G358" s="95" t="n">
        <v>26.4</v>
      </c>
      <c r="H358" s="95" t="n">
        <v>-7.2</v>
      </c>
      <c r="I358" s="95" t="n">
        <v>-11</v>
      </c>
      <c r="J358" s="95" t="n">
        <v>-42.1</v>
      </c>
      <c r="K358" s="96" t="inlineStr">
        <is>
          <t>1609 STAR SPORTS MED</t>
        </is>
      </c>
    </row>
    <row r="359">
      <c r="A359" s="16" t="inlineStr">
        <is>
          <t>E Fund Mangement</t>
        </is>
      </c>
      <c r="B359" s="89" t="n">
        <v>1</v>
      </c>
      <c r="C359" s="94" t="n">
        <v>100</v>
      </c>
      <c r="D359" s="95" t="n">
        <v>116.7</v>
      </c>
      <c r="E359" s="95" t="n">
        <v>137.8</v>
      </c>
      <c r="F359" s="95" t="n">
        <v>111.4</v>
      </c>
      <c r="G359" s="95" t="n">
        <v>255.2</v>
      </c>
      <c r="H359" s="95" t="n">
        <v>9.800000000000001</v>
      </c>
      <c r="I359" s="95" t="n">
        <v>-2.4</v>
      </c>
      <c r="J359" s="95" t="n">
        <v>63.9</v>
      </c>
      <c r="K359" s="96" t="inlineStr">
        <is>
          <t>9606 DUALITYBIO-B</t>
        </is>
      </c>
    </row>
    <row r="360">
      <c r="A360" s="16" t="inlineStr">
        <is>
          <t>BioNTech SE</t>
        </is>
      </c>
      <c r="B360" s="89" t="n">
        <v>1</v>
      </c>
      <c r="C360" s="94" t="n">
        <v>100</v>
      </c>
      <c r="D360" s="95" t="n">
        <v>116.7</v>
      </c>
      <c r="E360" s="95" t="n">
        <v>137.8</v>
      </c>
      <c r="F360" s="95" t="n">
        <v>111.4</v>
      </c>
      <c r="G360" s="95" t="n">
        <v>255.2</v>
      </c>
      <c r="H360" s="95" t="n">
        <v>9.800000000000001</v>
      </c>
      <c r="I360" s="95" t="n">
        <v>-2.4</v>
      </c>
      <c r="J360" s="95" t="n">
        <v>63.9</v>
      </c>
      <c r="K360" s="96" t="inlineStr">
        <is>
          <t>9606 DUALITYBIO-B</t>
        </is>
      </c>
    </row>
    <row r="361">
      <c r="A361" s="16" t="inlineStr">
        <is>
          <t>DualityBio Ltd</t>
        </is>
      </c>
      <c r="B361" s="89" t="n">
        <v>1</v>
      </c>
      <c r="C361" s="94" t="n">
        <v>100</v>
      </c>
      <c r="D361" s="95" t="n">
        <v>116.7</v>
      </c>
      <c r="E361" s="95" t="n">
        <v>137.8</v>
      </c>
      <c r="F361" s="95" t="n">
        <v>111.4</v>
      </c>
      <c r="G361" s="95" t="n">
        <v>255.2</v>
      </c>
      <c r="H361" s="95" t="n">
        <v>9.800000000000001</v>
      </c>
      <c r="I361" s="95" t="n">
        <v>-2.4</v>
      </c>
      <c r="J361" s="95" t="n">
        <v>63.9</v>
      </c>
      <c r="K361" s="96" t="inlineStr">
        <is>
          <t>9606 DUALITYBIO-B</t>
        </is>
      </c>
    </row>
    <row r="362">
      <c r="A362" s="16" t="inlineStr">
        <is>
          <t>Fighton Asia Master Fund Limited</t>
        </is>
      </c>
      <c r="B362" s="89" t="n">
        <v>1</v>
      </c>
      <c r="C362" s="94" t="n">
        <v>100</v>
      </c>
      <c r="D362" s="95" t="n">
        <v>110.9</v>
      </c>
      <c r="E362" s="95" t="n">
        <v>218.8</v>
      </c>
      <c r="F362" s="95" t="n">
        <v>314.1</v>
      </c>
      <c r="G362" s="95" t="n">
        <v>284.4</v>
      </c>
      <c r="H362" s="95" t="n">
        <v>51.1</v>
      </c>
      <c r="I362" s="95" t="n">
        <v>96.3</v>
      </c>
      <c r="J362" s="95" t="n">
        <v>82.2</v>
      </c>
      <c r="K362" s="96" t="inlineStr">
        <is>
          <t>2422 REGO INTERACT</t>
        </is>
      </c>
    </row>
    <row r="363">
      <c r="A363" s="16" t="inlineStr">
        <is>
          <t>Authority</t>
        </is>
      </c>
      <c r="B363" s="89" t="n">
        <v>1</v>
      </c>
      <c r="C363" s="94" t="n">
        <v>100</v>
      </c>
      <c r="D363" s="95" t="n">
        <v>109.1</v>
      </c>
      <c r="E363" s="95" t="n">
        <v>165.4</v>
      </c>
      <c r="F363" s="95" t="n">
        <v>212.1</v>
      </c>
      <c r="G363" s="95" t="n">
        <v>445.8</v>
      </c>
      <c r="H363" s="95" t="n">
        <v>26.9</v>
      </c>
      <c r="I363" s="95" t="n">
        <v>49.3</v>
      </c>
      <c r="J363" s="95" t="n">
        <v>161</v>
      </c>
      <c r="K363" s="96" t="inlineStr">
        <is>
          <t>0100 MINIMAX-WP</t>
        </is>
      </c>
    </row>
    <row r="364">
      <c r="A364" s="16" t="inlineStr">
        <is>
          <t>First Quarter Moon OFC — Phecda Fund</t>
        </is>
      </c>
      <c r="B364" s="89" t="n">
        <v>1</v>
      </c>
      <c r="C364" s="94" t="n">
        <v>100</v>
      </c>
      <c r="D364" s="95" t="n">
        <v>108.3</v>
      </c>
      <c r="E364" s="95" t="n">
        <v>86.3</v>
      </c>
      <c r="F364" s="95" t="n">
        <v>81.09999999999999</v>
      </c>
      <c r="G364" s="95" t="n">
        <v>-39.8</v>
      </c>
      <c r="H364" s="95" t="n">
        <v>-10.6</v>
      </c>
      <c r="I364" s="95" t="n">
        <v>-13.1</v>
      </c>
      <c r="J364" s="95" t="n">
        <v>-71.09999999999999</v>
      </c>
      <c r="K364" s="96" t="inlineStr">
        <is>
          <t>7630 IMPACT THERAP-B</t>
        </is>
      </c>
    </row>
    <row r="365">
      <c r="A365" s="16" t="inlineStr">
        <is>
          <t>E Fund Hong Kong</t>
        </is>
      </c>
      <c r="B365" s="89" t="n">
        <v>1</v>
      </c>
      <c r="C365" s="94" t="n">
        <v>100</v>
      </c>
      <c r="D365" s="95" t="n">
        <v>106.5</v>
      </c>
      <c r="E365" s="95" t="n">
        <v>87.3</v>
      </c>
      <c r="F365" s="95" t="n">
        <v>30.1</v>
      </c>
      <c r="G365" s="95" t="n">
        <v>25.8</v>
      </c>
      <c r="H365" s="95" t="n">
        <v>-9.300000000000001</v>
      </c>
      <c r="I365" s="95" t="n">
        <v>-37</v>
      </c>
      <c r="J365" s="95" t="n">
        <v>-39.1</v>
      </c>
      <c r="K365" s="96" t="inlineStr">
        <is>
          <t>2595 GENFLEET-B</t>
        </is>
      </c>
    </row>
    <row r="366">
      <c r="A366" s="16" t="inlineStr">
        <is>
          <t>Hundreds Capital</t>
        </is>
      </c>
      <c r="B366" s="89" t="n">
        <v>1</v>
      </c>
      <c r="C366" s="94" t="n">
        <v>100</v>
      </c>
      <c r="D366" s="95" t="n">
        <v>106.1</v>
      </c>
      <c r="E366" s="95" t="n">
        <v>57.2</v>
      </c>
      <c r="F366" s="95" t="n">
        <v>45.2</v>
      </c>
      <c r="G366" s="95" t="n">
        <v>77.90000000000001</v>
      </c>
      <c r="H366" s="95" t="n">
        <v>-23.8</v>
      </c>
      <c r="I366" s="95" t="n">
        <v>-29.5</v>
      </c>
      <c r="J366" s="95" t="n">
        <v>-13.7</v>
      </c>
      <c r="K366" s="96" t="inlineStr">
        <is>
          <t>2718 MININGLAMP-W</t>
        </is>
      </c>
    </row>
    <row r="367">
      <c r="A367" s="16" t="inlineStr">
        <is>
          <t>GFH Financial Group B.S.C</t>
        </is>
      </c>
      <c r="B367" s="89" t="n">
        <v>1</v>
      </c>
      <c r="C367" s="94" t="n">
        <v>100</v>
      </c>
      <c r="D367" s="95" t="n">
        <v>106.1</v>
      </c>
      <c r="E367" s="95" t="n">
        <v>57.2</v>
      </c>
      <c r="F367" s="95" t="n">
        <v>45.2</v>
      </c>
      <c r="G367" s="95" t="n">
        <v>77.90000000000001</v>
      </c>
      <c r="H367" s="95" t="n">
        <v>-23.8</v>
      </c>
      <c r="I367" s="95" t="n">
        <v>-29.5</v>
      </c>
      <c r="J367" s="95" t="n">
        <v>-13.7</v>
      </c>
      <c r="K367" s="96" t="inlineStr">
        <is>
          <t>2718 MININGLAMP-W</t>
        </is>
      </c>
    </row>
    <row r="368">
      <c r="A368" s="16" t="inlineStr">
        <is>
          <t>International Capital Management Limited</t>
        </is>
      </c>
      <c r="B368" s="89" t="n">
        <v>1</v>
      </c>
      <c r="C368" s="94" t="n">
        <v>100</v>
      </c>
      <c r="D368" s="95" t="n">
        <v>106.1</v>
      </c>
      <c r="E368" s="95" t="n">
        <v>57.2</v>
      </c>
      <c r="F368" s="95" t="n">
        <v>45.2</v>
      </c>
      <c r="G368" s="95" t="n">
        <v>77.90000000000001</v>
      </c>
      <c r="H368" s="95" t="n">
        <v>-23.8</v>
      </c>
      <c r="I368" s="95" t="n">
        <v>-29.5</v>
      </c>
      <c r="J368" s="95" t="n">
        <v>-13.7</v>
      </c>
      <c r="K368" s="96" t="inlineStr">
        <is>
          <t>2718 MININGLAMP-W</t>
        </is>
      </c>
    </row>
    <row r="369">
      <c r="A369" s="16" t="inlineStr">
        <is>
          <t>HK Yonglian Investment Development Co., Limited</t>
        </is>
      </c>
      <c r="B369" s="89" t="n">
        <v>1</v>
      </c>
      <c r="C369" s="94" t="n">
        <v>100</v>
      </c>
      <c r="D369" s="95" t="n">
        <v>103.8</v>
      </c>
      <c r="E369" s="95" t="n">
        <v>55.1</v>
      </c>
      <c r="F369" s="95" t="n">
        <v>30.3</v>
      </c>
      <c r="G369" s="95" t="n"/>
      <c r="H369" s="95" t="n">
        <v>-23.9</v>
      </c>
      <c r="I369" s="95" t="n">
        <v>-36.1</v>
      </c>
      <c r="J369" s="95" t="n"/>
      <c r="K369" s="96" t="inlineStr">
        <is>
          <t>9630 CFMEE</t>
        </is>
      </c>
    </row>
    <row r="370">
      <c r="A370" s="16" t="inlineStr">
        <is>
          <t>Hong Kong Xinyao Investment Limited</t>
        </is>
      </c>
      <c r="B370" s="89" t="n">
        <v>1</v>
      </c>
      <c r="C370" s="94" t="n">
        <v>100</v>
      </c>
      <c r="D370" s="95" t="n">
        <v>103.8</v>
      </c>
      <c r="E370" s="95" t="n">
        <v>55.1</v>
      </c>
      <c r="F370" s="95" t="n">
        <v>30.3</v>
      </c>
      <c r="G370" s="95" t="n"/>
      <c r="H370" s="95" t="n">
        <v>-23.9</v>
      </c>
      <c r="I370" s="95" t="n">
        <v>-36.1</v>
      </c>
      <c r="J370" s="95" t="n"/>
      <c r="K370" s="96" t="inlineStr">
        <is>
          <t>9630 CFMEE</t>
        </is>
      </c>
    </row>
    <row r="371">
      <c r="A371" s="16" t="inlineStr">
        <is>
          <t>Lion Global Investors Limited</t>
        </is>
      </c>
      <c r="B371" s="89" t="n">
        <v>1</v>
      </c>
      <c r="C371" s="94" t="n">
        <v>100</v>
      </c>
      <c r="D371" s="95" t="n">
        <v>103.8</v>
      </c>
      <c r="E371" s="95" t="n">
        <v>55.1</v>
      </c>
      <c r="F371" s="95" t="n">
        <v>30.3</v>
      </c>
      <c r="G371" s="95" t="n"/>
      <c r="H371" s="95" t="n">
        <v>-23.9</v>
      </c>
      <c r="I371" s="95" t="n">
        <v>-36.1</v>
      </c>
      <c r="J371" s="95" t="n"/>
      <c r="K371" s="96" t="inlineStr">
        <is>
          <t>9630 CFMEE</t>
        </is>
      </c>
    </row>
    <row r="372">
      <c r="A372" s="16" t="inlineStr">
        <is>
          <t>Monterey Park Finance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Nexchip Semiconductor Hong Kong Corporation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Loomis Sayles Trust Company, LLC</t>
        </is>
      </c>
      <c r="B374" s="89" t="n">
        <v>1</v>
      </c>
      <c r="C374" s="94" t="n">
        <v>100</v>
      </c>
      <c r="D374" s="95" t="n">
        <v>103.5</v>
      </c>
      <c r="E374" s="95" t="n">
        <v>29.1</v>
      </c>
      <c r="F374" s="95" t="n">
        <v>19.5</v>
      </c>
      <c r="G374" s="95" t="n"/>
      <c r="H374" s="95" t="n">
        <v>-36.6</v>
      </c>
      <c r="I374" s="95" t="n">
        <v>-41.3</v>
      </c>
      <c r="J374" s="95" t="n"/>
      <c r="K374" s="96" t="inlineStr">
        <is>
          <t>9637 ALEBUND-B</t>
        </is>
      </c>
    </row>
    <row r="375">
      <c r="A375" s="16" t="inlineStr">
        <is>
          <t>Perfect Ten Holding Limited</t>
        </is>
      </c>
      <c r="B375" s="89" t="n">
        <v>1</v>
      </c>
      <c r="C375" s="94" t="n">
        <v>100</v>
      </c>
      <c r="D375" s="95" t="n">
        <v>103.5</v>
      </c>
      <c r="E375" s="95" t="n">
        <v>29.1</v>
      </c>
      <c r="F375" s="95" t="n">
        <v>19.5</v>
      </c>
      <c r="G375" s="95" t="n"/>
      <c r="H375" s="95" t="n">
        <v>-36.6</v>
      </c>
      <c r="I375" s="95" t="n">
        <v>-41.3</v>
      </c>
      <c r="J375" s="95" t="n"/>
      <c r="K375" s="96" t="inlineStr">
        <is>
          <t>9637 ALEBUND-B</t>
        </is>
      </c>
    </row>
    <row r="376">
      <c r="A376" s="16" t="inlineStr">
        <is>
          <t>SymBiosis II, LLC</t>
        </is>
      </c>
      <c r="B376" s="89" t="n">
        <v>1</v>
      </c>
      <c r="C376" s="94" t="n">
        <v>100</v>
      </c>
      <c r="D376" s="95" t="n">
        <v>103.5</v>
      </c>
      <c r="E376" s="95" t="n">
        <v>29.1</v>
      </c>
      <c r="F376" s="95" t="n">
        <v>19.5</v>
      </c>
      <c r="G376" s="95" t="n"/>
      <c r="H376" s="95" t="n">
        <v>-36.6</v>
      </c>
      <c r="I376" s="95" t="n">
        <v>-41.3</v>
      </c>
      <c r="J376" s="95" t="n"/>
      <c r="K376" s="96" t="inlineStr">
        <is>
          <t>9637 ALEBUND-B</t>
        </is>
      </c>
    </row>
    <row r="377">
      <c r="A377" s="16" t="inlineStr">
        <is>
          <t>AXA Investment Managers UK Limited</t>
        </is>
      </c>
      <c r="B377" s="89" t="n">
        <v>1</v>
      </c>
      <c r="C377" s="94" t="n">
        <v>100</v>
      </c>
      <c r="D377" s="95" t="n">
        <v>103.4</v>
      </c>
      <c r="E377" s="95" t="n">
        <v>73.7</v>
      </c>
      <c r="F377" s="95" t="n">
        <v>64.40000000000001</v>
      </c>
      <c r="G377" s="95" t="n">
        <v>-14.7</v>
      </c>
      <c r="H377" s="95" t="n">
        <v>-14.6</v>
      </c>
      <c r="I377" s="95" t="n">
        <v>-19.2</v>
      </c>
      <c r="J377" s="95" t="n">
        <v>-58.1</v>
      </c>
      <c r="K377" s="96" t="inlineStr">
        <is>
          <t>6656 SIGENERGY</t>
        </is>
      </c>
    </row>
    <row r="378">
      <c r="A378" s="16" t="inlineStr">
        <is>
          <t>Lazurite Hime L.P</t>
        </is>
      </c>
      <c r="B378" s="89" t="n">
        <v>1</v>
      </c>
      <c r="C378" s="94" t="n">
        <v>100</v>
      </c>
      <c r="D378" s="95" t="n">
        <v>103.4</v>
      </c>
      <c r="E378" s="95" t="n">
        <v>73.7</v>
      </c>
      <c r="F378" s="95" t="n">
        <v>64.40000000000001</v>
      </c>
      <c r="G378" s="95" t="n">
        <v>-14.7</v>
      </c>
      <c r="H378" s="95" t="n">
        <v>-14.6</v>
      </c>
      <c r="I378" s="95" t="n">
        <v>-19.2</v>
      </c>
      <c r="J378" s="95" t="n">
        <v>-58.1</v>
      </c>
      <c r="K378" s="96" t="inlineStr">
        <is>
          <t>6656 SIGENERGY</t>
        </is>
      </c>
    </row>
    <row r="379">
      <c r="A379" s="16" t="inlineStr">
        <is>
          <t>Scene Cloud Global Limited</t>
        </is>
      </c>
      <c r="B379" s="89" t="n">
        <v>1</v>
      </c>
      <c r="C379" s="94" t="n">
        <v>100</v>
      </c>
      <c r="D379" s="95" t="n">
        <v>103.4</v>
      </c>
      <c r="E379" s="95" t="n">
        <v>73.7</v>
      </c>
      <c r="F379" s="95" t="n">
        <v>64.40000000000001</v>
      </c>
      <c r="G379" s="95" t="n">
        <v>-14.7</v>
      </c>
      <c r="H379" s="95" t="n">
        <v>-14.6</v>
      </c>
      <c r="I379" s="95" t="n">
        <v>-19.2</v>
      </c>
      <c r="J379" s="95" t="n">
        <v>-58.1</v>
      </c>
      <c r="K379" s="96" t="inlineStr">
        <is>
          <t>6656 SIGENERGY</t>
        </is>
      </c>
    </row>
    <row r="380">
      <c r="A380" s="16" t="inlineStr">
        <is>
          <t>Shanghai Lujiazui (Group) Co., Ltd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Tropical Terrain Limited</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Everest Medicines Limited</t>
        </is>
      </c>
      <c r="B382" s="89" t="n">
        <v>1</v>
      </c>
      <c r="C382" s="94" t="n">
        <v>100</v>
      </c>
      <c r="D382" s="95" t="n">
        <v>102.8</v>
      </c>
      <c r="E382" s="95" t="n">
        <v>97.59999999999999</v>
      </c>
      <c r="F382" s="95" t="n">
        <v>86.8</v>
      </c>
      <c r="G382" s="95" t="n"/>
      <c r="H382" s="95" t="n">
        <v>-2.5</v>
      </c>
      <c r="I382" s="95" t="n">
        <v>-7.9</v>
      </c>
      <c r="J382" s="95" t="n"/>
      <c r="K382" s="96" t="inlineStr">
        <is>
          <t>2335 MICOT PHARMA-B</t>
        </is>
      </c>
    </row>
    <row r="383">
      <c r="A383" s="16" t="inlineStr">
        <is>
          <t>Qiyuan High-tech Innovation Investment (Hong Kong) Limited</t>
        </is>
      </c>
      <c r="B383" s="89" t="n">
        <v>1</v>
      </c>
      <c r="C383" s="94" t="n">
        <v>100</v>
      </c>
      <c r="D383" s="95" t="n">
        <v>102.8</v>
      </c>
      <c r="E383" s="95" t="n">
        <v>97.59999999999999</v>
      </c>
      <c r="F383" s="95" t="n">
        <v>86.8</v>
      </c>
      <c r="G383" s="95" t="n"/>
      <c r="H383" s="95" t="n">
        <v>-2.5</v>
      </c>
      <c r="I383" s="95" t="n">
        <v>-7.9</v>
      </c>
      <c r="J383" s="95" t="n"/>
      <c r="K383" s="96" t="inlineStr">
        <is>
          <t>2335 MICOT PHARMA-B</t>
        </is>
      </c>
    </row>
    <row r="384">
      <c r="A384" s="16" t="inlineStr">
        <is>
          <t>Summit Capital Limited</t>
        </is>
      </c>
      <c r="B384" s="89" t="n">
        <v>1</v>
      </c>
      <c r="C384" s="94" t="n">
        <v>100</v>
      </c>
      <c r="D384" s="95" t="n">
        <v>102.8</v>
      </c>
      <c r="E384" s="95" t="n">
        <v>97.59999999999999</v>
      </c>
      <c r="F384" s="95" t="n">
        <v>86.8</v>
      </c>
      <c r="G384" s="95" t="n"/>
      <c r="H384" s="95" t="n">
        <v>-2.5</v>
      </c>
      <c r="I384" s="95" t="n">
        <v>-7.9</v>
      </c>
      <c r="J384" s="95" t="n"/>
      <c r="K384" s="96" t="inlineStr">
        <is>
          <t>2335 MICOT PHARMA-B</t>
        </is>
      </c>
    </row>
    <row r="385">
      <c r="A385" s="16" t="inlineStr">
        <is>
          <t>Mr. Yang</t>
        </is>
      </c>
      <c r="B385" s="89" t="n">
        <v>1</v>
      </c>
      <c r="C385" s="94" t="n">
        <v>100</v>
      </c>
      <c r="D385" s="95" t="n">
        <v>102.3</v>
      </c>
      <c r="E385" s="95" t="n">
        <v>124.5</v>
      </c>
      <c r="F385" s="95" t="n">
        <v>112.2</v>
      </c>
      <c r="G385" s="95" t="n">
        <v>100.8</v>
      </c>
      <c r="H385" s="95" t="n">
        <v>11</v>
      </c>
      <c r="I385" s="95" t="n">
        <v>4.9</v>
      </c>
      <c r="J385" s="95" t="n">
        <v>-0.7</v>
      </c>
      <c r="K385" s="96" t="inlineStr">
        <is>
          <t>2720 RIDGE OUTDOOR</t>
        </is>
      </c>
    </row>
    <row r="386">
      <c r="A386" s="16" t="inlineStr">
        <is>
          <t>GreatCast</t>
        </is>
      </c>
      <c r="B386" s="89" t="n">
        <v>1</v>
      </c>
      <c r="C386" s="94" t="n">
        <v>100</v>
      </c>
      <c r="D386" s="95" t="n">
        <v>102.3</v>
      </c>
      <c r="E386" s="95" t="n">
        <v>124.5</v>
      </c>
      <c r="F386" s="95" t="n">
        <v>112.2</v>
      </c>
      <c r="G386" s="95" t="n">
        <v>100.8</v>
      </c>
      <c r="H386" s="95" t="n">
        <v>11</v>
      </c>
      <c r="I386" s="95" t="n">
        <v>4.9</v>
      </c>
      <c r="J386" s="95" t="n">
        <v>-0.7</v>
      </c>
      <c r="K386" s="96" t="inlineStr">
        <is>
          <t>2720 RIDGE OUTDOOR</t>
        </is>
      </c>
    </row>
    <row r="387">
      <c r="A387" s="16" t="inlineStr">
        <is>
          <t>Taihong</t>
        </is>
      </c>
      <c r="B387" s="89" t="n">
        <v>1</v>
      </c>
      <c r="C387" s="94" t="n">
        <v>100</v>
      </c>
      <c r="D387" s="95" t="n">
        <v>102.3</v>
      </c>
      <c r="E387" s="95" t="n">
        <v>124.5</v>
      </c>
      <c r="F387" s="95" t="n">
        <v>112.2</v>
      </c>
      <c r="G387" s="95" t="n">
        <v>100.8</v>
      </c>
      <c r="H387" s="95" t="n">
        <v>11</v>
      </c>
      <c r="I387" s="95" t="n">
        <v>4.9</v>
      </c>
      <c r="J387" s="95" t="n">
        <v>-0.7</v>
      </c>
      <c r="K387" s="96" t="inlineStr">
        <is>
          <t>2720 RIDGE OUTDOOR</t>
        </is>
      </c>
    </row>
    <row r="388">
      <c r="A388" s="16" t="inlineStr">
        <is>
          <t>Outrider Partnership</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Orbit VC</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Vision Fund</t>
        </is>
      </c>
      <c r="B390" s="89" t="n">
        <v>1</v>
      </c>
      <c r="C390" s="94" t="n">
        <v>100</v>
      </c>
      <c r="D390" s="95" t="n">
        <v>91.7</v>
      </c>
      <c r="E390" s="95" t="n">
        <v>100</v>
      </c>
      <c r="F390" s="95" t="n">
        <v>94.3</v>
      </c>
      <c r="G390" s="95" t="n">
        <v>69.09999999999999</v>
      </c>
      <c r="H390" s="95" t="n">
        <v>4.3</v>
      </c>
      <c r="I390" s="95" t="n">
        <v>1.4</v>
      </c>
      <c r="J390" s="95" t="n">
        <v>-11.8</v>
      </c>
      <c r="K390" s="96" t="inlineStr">
        <is>
          <t>9887 LEADS BIOLABS-B</t>
        </is>
      </c>
    </row>
    <row r="391">
      <c r="A391" s="16" t="inlineStr">
        <is>
          <t>Digital Vista GD Investment LP</t>
        </is>
      </c>
      <c r="B391" s="89" t="n">
        <v>1</v>
      </c>
      <c r="C391" s="94" t="n">
        <v>100</v>
      </c>
      <c r="D391" s="95" t="n">
        <v>91.7</v>
      </c>
      <c r="E391" s="95" t="n">
        <v>66.90000000000001</v>
      </c>
      <c r="F391" s="95" t="n">
        <v>61</v>
      </c>
      <c r="G391" s="95" t="n">
        <v>34.5</v>
      </c>
      <c r="H391" s="95" t="n">
        <v>-12.9</v>
      </c>
      <c r="I391" s="95" t="n">
        <v>-16</v>
      </c>
      <c r="J391" s="95" t="n">
        <v>-29.9</v>
      </c>
      <c r="K391" s="96" t="inlineStr">
        <is>
          <t>3310 VIEWTRIX TECH</t>
        </is>
      </c>
    </row>
    <row r="392">
      <c r="A392" s="16" t="inlineStr">
        <is>
          <t>SpreadCom Limited</t>
        </is>
      </c>
      <c r="B392" s="89" t="n">
        <v>1</v>
      </c>
      <c r="C392" s="94" t="n">
        <v>100</v>
      </c>
      <c r="D392" s="95" t="n">
        <v>91.7</v>
      </c>
      <c r="E392" s="95" t="n">
        <v>66.90000000000001</v>
      </c>
      <c r="F392" s="95" t="n">
        <v>61</v>
      </c>
      <c r="G392" s="95" t="n">
        <v>34.5</v>
      </c>
      <c r="H392" s="95" t="n">
        <v>-12.9</v>
      </c>
      <c r="I392" s="95" t="n">
        <v>-16</v>
      </c>
      <c r="J392" s="95" t="n">
        <v>-29.9</v>
      </c>
      <c r="K392" s="96" t="inlineStr">
        <is>
          <t>3310 VIEWTRIX TECH</t>
        </is>
      </c>
    </row>
    <row r="393">
      <c r="A393" s="16" t="inlineStr">
        <is>
          <t>GIGA Industries Limited</t>
        </is>
      </c>
      <c r="B393" s="89" t="n">
        <v>1</v>
      </c>
      <c r="C393" s="94" t="n">
        <v>100</v>
      </c>
      <c r="D393" s="95" t="n">
        <v>90.7</v>
      </c>
      <c r="E393" s="95" t="n">
        <v>109.3</v>
      </c>
      <c r="F393" s="95" t="n">
        <v>186</v>
      </c>
      <c r="G393" s="95" t="n">
        <v>212.6</v>
      </c>
      <c r="H393" s="95" t="n">
        <v>9.800000000000001</v>
      </c>
      <c r="I393" s="95" t="n">
        <v>50</v>
      </c>
      <c r="J393" s="95" t="n">
        <v>64</v>
      </c>
      <c r="K393" s="96" t="inlineStr">
        <is>
          <t>2546 ZHIHUI MINING</t>
        </is>
      </c>
    </row>
    <row r="394">
      <c r="A394" s="16" t="inlineStr">
        <is>
          <t>Enterprises Limited</t>
        </is>
      </c>
      <c r="B394" s="89" t="n">
        <v>1</v>
      </c>
      <c r="C394" s="94" t="n">
        <v>100</v>
      </c>
      <c r="D394" s="95" t="n">
        <v>90.7</v>
      </c>
      <c r="E394" s="95" t="n">
        <v>109.3</v>
      </c>
      <c r="F394" s="95" t="n">
        <v>186</v>
      </c>
      <c r="G394" s="95" t="n">
        <v>212.6</v>
      </c>
      <c r="H394" s="95" t="n">
        <v>9.800000000000001</v>
      </c>
      <c r="I394" s="95" t="n">
        <v>50</v>
      </c>
      <c r="J394" s="95" t="n">
        <v>64</v>
      </c>
      <c r="K394" s="96" t="inlineStr">
        <is>
          <t>2546 ZHIHUI MINING</t>
        </is>
      </c>
    </row>
    <row r="395">
      <c r="A395" s="16" t="inlineStr">
        <is>
          <t>Origin Flair Limited</t>
        </is>
      </c>
      <c r="B395" s="89" t="n">
        <v>1</v>
      </c>
      <c r="C395" s="94" t="n">
        <v>100</v>
      </c>
      <c r="D395" s="95" t="n">
        <v>83.7</v>
      </c>
      <c r="E395" s="95" t="n">
        <v>25.9</v>
      </c>
      <c r="F395" s="95" t="n">
        <v>32.3</v>
      </c>
      <c r="G395" s="95" t="n">
        <v>130.9</v>
      </c>
      <c r="H395" s="95" t="n">
        <v>-31.5</v>
      </c>
      <c r="I395" s="95" t="n">
        <v>-28</v>
      </c>
      <c r="J395" s="95" t="n">
        <v>25.7</v>
      </c>
      <c r="K395" s="96" t="inlineStr">
        <is>
          <t>2125 STRAWBEAR ENT</t>
        </is>
      </c>
    </row>
    <row r="396">
      <c r="A396" s="16" t="inlineStr">
        <is>
          <t>Vipshop International Holdings Limited</t>
        </is>
      </c>
      <c r="B396" s="89" t="n">
        <v>1</v>
      </c>
      <c r="C396" s="94" t="n">
        <v>100</v>
      </c>
      <c r="D396" s="95" t="n">
        <v>83.7</v>
      </c>
      <c r="E396" s="95" t="n">
        <v>25.9</v>
      </c>
      <c r="F396" s="95" t="n">
        <v>32.3</v>
      </c>
      <c r="G396" s="95" t="n">
        <v>130.9</v>
      </c>
      <c r="H396" s="95" t="n">
        <v>-31.5</v>
      </c>
      <c r="I396" s="95" t="n">
        <v>-28</v>
      </c>
      <c r="J396" s="95" t="n">
        <v>25.7</v>
      </c>
      <c r="K396" s="96" t="inlineStr">
        <is>
          <t>2125 STRAWBEAR ENT</t>
        </is>
      </c>
    </row>
    <row r="397">
      <c r="A397" s="16" t="inlineStr">
        <is>
          <t>Shanghai Minhang Financial Investment Development Co., Ltd</t>
        </is>
      </c>
      <c r="B397" s="89" t="n">
        <v>1</v>
      </c>
      <c r="C397" s="94" t="n">
        <v>100</v>
      </c>
      <c r="D397" s="95" t="n">
        <v>80</v>
      </c>
      <c r="E397" s="95" t="n">
        <v>35.7</v>
      </c>
      <c r="F397" s="95" t="n">
        <v>11.2</v>
      </c>
      <c r="G397" s="95" t="n">
        <v>-38.8</v>
      </c>
      <c r="H397" s="95" t="n">
        <v>-24.6</v>
      </c>
      <c r="I397" s="95" t="n">
        <v>-38.2</v>
      </c>
      <c r="J397" s="95" t="n">
        <v>-66</v>
      </c>
      <c r="K397" s="96" t="inlineStr">
        <is>
          <t>7688 TOPNC</t>
        </is>
      </c>
    </row>
    <row r="398">
      <c r="A398" s="16" t="inlineStr">
        <is>
          <t>Akeso, Inc</t>
        </is>
      </c>
      <c r="B398" s="89" t="n">
        <v>1</v>
      </c>
      <c r="C398" s="94" t="n">
        <v>100</v>
      </c>
      <c r="D398" s="95" t="n">
        <v>78.7</v>
      </c>
      <c r="E398" s="95" t="n">
        <v>129.3</v>
      </c>
      <c r="F398" s="95" t="n">
        <v>138.8</v>
      </c>
      <c r="G398" s="95" t="n">
        <v>1039.9</v>
      </c>
      <c r="H398" s="95" t="n">
        <v>28.3</v>
      </c>
      <c r="I398" s="95" t="n">
        <v>33.6</v>
      </c>
      <c r="J398" s="95" t="n">
        <v>537.9</v>
      </c>
      <c r="K398" s="96" t="inlineStr">
        <is>
          <t>2617 TRANSTHERA-B</t>
        </is>
      </c>
    </row>
    <row r="399">
      <c r="A399" s="16" t="inlineStr">
        <is>
          <t>BOCOM International Securities Limited</t>
        </is>
      </c>
      <c r="B399" s="89" t="n">
        <v>1</v>
      </c>
      <c r="C399" s="94" t="n">
        <v>100</v>
      </c>
      <c r="D399" s="95" t="n">
        <v>78.7</v>
      </c>
      <c r="E399" s="95" t="n">
        <v>129.3</v>
      </c>
      <c r="F399" s="95" t="n">
        <v>138.8</v>
      </c>
      <c r="G399" s="95" t="n">
        <v>1039.9</v>
      </c>
      <c r="H399" s="95" t="n">
        <v>28.3</v>
      </c>
      <c r="I399" s="95" t="n">
        <v>33.6</v>
      </c>
      <c r="J399" s="95" t="n">
        <v>537.9</v>
      </c>
      <c r="K399" s="96" t="inlineStr">
        <is>
          <t>2617 TRANSTHERA-B</t>
        </is>
      </c>
    </row>
    <row r="400">
      <c r="A400" s="16" t="inlineStr">
        <is>
          <t>Fund LP and China Core Fund</t>
        </is>
      </c>
      <c r="B400" s="89" t="n">
        <v>1</v>
      </c>
      <c r="C400" s="94" t="n">
        <v>100</v>
      </c>
      <c r="D400" s="95" t="n">
        <v>76.5</v>
      </c>
      <c r="E400" s="95" t="n">
        <v>96.3</v>
      </c>
      <c r="F400" s="95" t="n">
        <v>98</v>
      </c>
      <c r="G400" s="95" t="n">
        <v>270.5</v>
      </c>
      <c r="H400" s="95" t="n">
        <v>11.2</v>
      </c>
      <c r="I400" s="95" t="n">
        <v>12.2</v>
      </c>
      <c r="J400" s="95" t="n">
        <v>109.9</v>
      </c>
      <c r="K400" s="96" t="inlineStr">
        <is>
          <t>1318 MAO GEPING</t>
        </is>
      </c>
    </row>
    <row r="401">
      <c r="A401" s="16" t="inlineStr">
        <is>
          <t>Qiming Venture Partners</t>
        </is>
      </c>
      <c r="B401" s="89" t="n">
        <v>1</v>
      </c>
      <c r="C401" s="94" t="n">
        <v>100</v>
      </c>
      <c r="D401" s="95" t="n">
        <v>75.8</v>
      </c>
      <c r="E401" s="95" t="n">
        <v>73.8</v>
      </c>
      <c r="F401" s="95" t="n">
        <v>67.3</v>
      </c>
      <c r="G401" s="95" t="n">
        <v>75.3</v>
      </c>
      <c r="H401" s="95" t="n">
        <v>-1.2</v>
      </c>
      <c r="I401" s="95" t="n">
        <v>-4.8</v>
      </c>
      <c r="J401" s="95" t="n">
        <v>-0.3</v>
      </c>
      <c r="K401" s="96" t="inlineStr">
        <is>
          <t>6082 BIREN TECH</t>
        </is>
      </c>
    </row>
    <row r="402">
      <c r="A402" s="16" t="inlineStr">
        <is>
          <t>Master Fund, L.P</t>
        </is>
      </c>
      <c r="B402" s="89" t="n">
        <v>1</v>
      </c>
      <c r="C402" s="94" t="n">
        <v>100</v>
      </c>
      <c r="D402" s="95" t="n">
        <v>75.8</v>
      </c>
      <c r="E402" s="95" t="n">
        <v>73.8</v>
      </c>
      <c r="F402" s="95" t="n">
        <v>67.3</v>
      </c>
      <c r="G402" s="95" t="n">
        <v>75.3</v>
      </c>
      <c r="H402" s="95" t="n">
        <v>-1.2</v>
      </c>
      <c r="I402" s="95" t="n">
        <v>-4.8</v>
      </c>
      <c r="J402" s="95" t="n">
        <v>-0.3</v>
      </c>
      <c r="K402" s="96" t="inlineStr">
        <is>
          <t>6082 BIREN TECH</t>
        </is>
      </c>
    </row>
    <row r="403">
      <c r="A403" s="16" t="inlineStr">
        <is>
          <t>有限公司)</t>
        </is>
      </c>
      <c r="B403" s="89" t="n">
        <v>1</v>
      </c>
      <c r="C403" s="94" t="n">
        <v>100</v>
      </c>
      <c r="D403" s="95" t="n">
        <v>75.8</v>
      </c>
      <c r="E403" s="95" t="n">
        <v>73.8</v>
      </c>
      <c r="F403" s="95" t="n">
        <v>67.3</v>
      </c>
      <c r="G403" s="95" t="n">
        <v>75.3</v>
      </c>
      <c r="H403" s="95" t="n">
        <v>-1.2</v>
      </c>
      <c r="I403" s="95" t="n">
        <v>-4.8</v>
      </c>
      <c r="J403" s="95" t="n">
        <v>-0.3</v>
      </c>
      <c r="K403" s="96" t="inlineStr">
        <is>
          <t>6082 BIREN TECH</t>
        </is>
      </c>
    </row>
    <row r="404">
      <c r="A404" s="16" t="inlineStr">
        <is>
          <t>Eastern Bell Capital VIII Investment Limited</t>
        </is>
      </c>
      <c r="B404" s="89" t="n">
        <v>1</v>
      </c>
      <c r="C404" s="94" t="n">
        <v>100</v>
      </c>
      <c r="D404" s="95" t="n">
        <v>75.5</v>
      </c>
      <c r="E404" s="95" t="n">
        <v>112.4</v>
      </c>
      <c r="F404" s="95" t="n">
        <v>107.6</v>
      </c>
      <c r="G404" s="95" t="n">
        <v>81.40000000000001</v>
      </c>
      <c r="H404" s="95" t="n">
        <v>21</v>
      </c>
      <c r="I404" s="95" t="n">
        <v>18.3</v>
      </c>
      <c r="J404" s="95" t="n">
        <v>3.4</v>
      </c>
      <c r="K404" s="96" t="inlineStr">
        <is>
          <t>3277 GPIXEL</t>
        </is>
      </c>
    </row>
    <row r="405">
      <c r="A405" s="16" t="inlineStr">
        <is>
          <t>Protium Capital Limited</t>
        </is>
      </c>
      <c r="B405" s="89" t="n">
        <v>1</v>
      </c>
      <c r="C405" s="94" t="n">
        <v>100</v>
      </c>
      <c r="D405" s="95" t="n">
        <v>75.5</v>
      </c>
      <c r="E405" s="95" t="n">
        <v>112.4</v>
      </c>
      <c r="F405" s="95" t="n">
        <v>107.6</v>
      </c>
      <c r="G405" s="95" t="n">
        <v>81.40000000000001</v>
      </c>
      <c r="H405" s="95" t="n">
        <v>21</v>
      </c>
      <c r="I405" s="95" t="n">
        <v>18.3</v>
      </c>
      <c r="J405" s="95" t="n">
        <v>3.4</v>
      </c>
      <c r="K405" s="96" t="inlineStr">
        <is>
          <t>3277 GPIXEL</t>
        </is>
      </c>
    </row>
    <row r="406">
      <c r="A406" s="16" t="inlineStr">
        <is>
          <t>Source Code Super Holdings Co</t>
        </is>
      </c>
      <c r="B406" s="89" t="n">
        <v>1</v>
      </c>
      <c r="C406" s="94" t="n">
        <v>100</v>
      </c>
      <c r="D406" s="95" t="n">
        <v>75.5</v>
      </c>
      <c r="E406" s="95" t="n">
        <v>112.4</v>
      </c>
      <c r="F406" s="95" t="n">
        <v>107.6</v>
      </c>
      <c r="G406" s="95" t="n">
        <v>81.40000000000001</v>
      </c>
      <c r="H406" s="95" t="n">
        <v>21</v>
      </c>
      <c r="I406" s="95" t="n">
        <v>18.3</v>
      </c>
      <c r="J406" s="95" t="n">
        <v>3.4</v>
      </c>
      <c r="K406" s="96" t="inlineStr">
        <is>
          <t>3277 GPIXEL</t>
        </is>
      </c>
    </row>
    <row r="407">
      <c r="A407" s="16" t="inlineStr">
        <is>
          <t>Voyage42 Master Fund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Mr. Zhao</t>
        </is>
      </c>
      <c r="B408" s="89" t="n">
        <v>1</v>
      </c>
      <c r="C408" s="94" t="n">
        <v>100</v>
      </c>
      <c r="D408" s="95" t="n">
        <v>69.09999999999999</v>
      </c>
      <c r="E408" s="95" t="n">
        <v>68.8</v>
      </c>
      <c r="F408" s="95" t="n">
        <v>65.2</v>
      </c>
      <c r="G408" s="95" t="n">
        <v>84.09999999999999</v>
      </c>
      <c r="H408" s="95" t="n">
        <v>-0.1</v>
      </c>
      <c r="I408" s="95" t="n">
        <v>-2.3</v>
      </c>
      <c r="J408" s="95" t="n">
        <v>8.9</v>
      </c>
      <c r="K408" s="96" t="inlineStr">
        <is>
          <t>1768 BUSYMING</t>
        </is>
      </c>
    </row>
    <row r="409">
      <c r="A409" s="16" t="inlineStr">
        <is>
          <t>Shanghai Bird Nest</t>
        </is>
      </c>
      <c r="B409" s="89" t="n">
        <v>1</v>
      </c>
      <c r="C409" s="94" t="n">
        <v>100</v>
      </c>
      <c r="D409" s="95" t="n">
        <v>69.09999999999999</v>
      </c>
      <c r="E409" s="95" t="n">
        <v>68.8</v>
      </c>
      <c r="F409" s="95" t="n">
        <v>65.2</v>
      </c>
      <c r="G409" s="95" t="n">
        <v>84.09999999999999</v>
      </c>
      <c r="H409" s="95" t="n">
        <v>-0.1</v>
      </c>
      <c r="I409" s="95" t="n">
        <v>-2.3</v>
      </c>
      <c r="J409" s="95" t="n">
        <v>8.9</v>
      </c>
      <c r="K409" s="96" t="inlineStr">
        <is>
          <t>1768 BUSYMING</t>
        </is>
      </c>
    </row>
    <row r="410">
      <c r="A410" s="16" t="inlineStr">
        <is>
          <t>Yichun Yikouniao</t>
        </is>
      </c>
      <c r="B410" s="89" t="n">
        <v>1</v>
      </c>
      <c r="C410" s="94" t="n">
        <v>100</v>
      </c>
      <c r="D410" s="95" t="n">
        <v>69.09999999999999</v>
      </c>
      <c r="E410" s="95" t="n">
        <v>68.8</v>
      </c>
      <c r="F410" s="95" t="n">
        <v>65.2</v>
      </c>
      <c r="G410" s="95" t="n">
        <v>84.09999999999999</v>
      </c>
      <c r="H410" s="95" t="n">
        <v>-0.1</v>
      </c>
      <c r="I410" s="95" t="n">
        <v>-2.3</v>
      </c>
      <c r="J410" s="95" t="n">
        <v>8.9</v>
      </c>
      <c r="K410" s="96" t="inlineStr">
        <is>
          <t>1768 BUSYMING</t>
        </is>
      </c>
    </row>
    <row r="411">
      <c r="A411" s="16" t="inlineStr">
        <is>
          <t>Gaorong LKZN</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Discounter Seed</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Shanghai Yihai</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YSC Go (BVI) Limited</t>
        </is>
      </c>
      <c r="B414" s="89" t="n">
        <v>1</v>
      </c>
      <c r="C414" s="94" t="n">
        <v>100</v>
      </c>
      <c r="D414" s="95" t="n">
        <v>58.3</v>
      </c>
      <c r="E414" s="95" t="n">
        <v>17.6</v>
      </c>
      <c r="F414" s="95" t="n">
        <v>-11.1</v>
      </c>
      <c r="G414" s="95" t="n">
        <v>-14</v>
      </c>
      <c r="H414" s="95" t="n">
        <v>-25.7</v>
      </c>
      <c r="I414" s="95" t="n">
        <v>-43.8</v>
      </c>
      <c r="J414" s="95" t="n">
        <v>-45.7</v>
      </c>
      <c r="K414" s="96" t="inlineStr">
        <is>
          <t>2549 CAROTE LTD</t>
        </is>
      </c>
    </row>
    <row r="415">
      <c r="A415" s="16" t="inlineStr">
        <is>
          <t>CDG Group Fund L.P</t>
        </is>
      </c>
      <c r="B415" s="89" t="n">
        <v>1</v>
      </c>
      <c r="C415" s="94" t="n">
        <v>100</v>
      </c>
      <c r="D415" s="95" t="n">
        <v>54.3</v>
      </c>
      <c r="E415" s="95" t="n">
        <v>59.7</v>
      </c>
      <c r="F415" s="95" t="n">
        <v>29.5</v>
      </c>
      <c r="G415" s="95" t="n">
        <v>27.5</v>
      </c>
      <c r="H415" s="95" t="n">
        <v>3.5</v>
      </c>
      <c r="I415" s="95" t="n">
        <v>-16</v>
      </c>
      <c r="J415" s="95" t="n">
        <v>-17.3</v>
      </c>
      <c r="K415" s="96" t="inlineStr">
        <is>
          <t>2160 CARDIOFLOW-B</t>
        </is>
      </c>
    </row>
    <row r="416">
      <c r="A416" s="16" t="inlineStr">
        <is>
          <t>Kunlun Group Limited</t>
        </is>
      </c>
      <c r="B416" s="89" t="n">
        <v>1</v>
      </c>
      <c r="C416" s="94" t="n">
        <v>100</v>
      </c>
      <c r="D416" s="95" t="n">
        <v>54.3</v>
      </c>
      <c r="E416" s="95" t="n">
        <v>59.7</v>
      </c>
      <c r="F416" s="95" t="n">
        <v>29.5</v>
      </c>
      <c r="G416" s="95" t="n">
        <v>27.5</v>
      </c>
      <c r="H416" s="95" t="n">
        <v>3.5</v>
      </c>
      <c r="I416" s="95" t="n">
        <v>-16</v>
      </c>
      <c r="J416" s="95" t="n">
        <v>-17.3</v>
      </c>
      <c r="K416" s="96" t="inlineStr">
        <is>
          <t>2160 CARDIOFLOW-B</t>
        </is>
      </c>
    </row>
    <row r="417">
      <c r="A417" s="16" t="inlineStr">
        <is>
          <t>Tybourne Capital Management (HK) Limited</t>
        </is>
      </c>
      <c r="B417" s="89" t="n">
        <v>1</v>
      </c>
      <c r="C417" s="94" t="n">
        <v>100</v>
      </c>
      <c r="D417" s="95" t="n">
        <v>54.3</v>
      </c>
      <c r="E417" s="95" t="n">
        <v>59.7</v>
      </c>
      <c r="F417" s="95" t="n">
        <v>29.5</v>
      </c>
      <c r="G417" s="95" t="n">
        <v>27.5</v>
      </c>
      <c r="H417" s="95" t="n">
        <v>3.5</v>
      </c>
      <c r="I417" s="95" t="n">
        <v>-16</v>
      </c>
      <c r="J417" s="95" t="n">
        <v>-17.3</v>
      </c>
      <c r="K417" s="96" t="inlineStr">
        <is>
          <t>2160 CARDIOFLOW-B</t>
        </is>
      </c>
    </row>
    <row r="418">
      <c r="A418" s="16" t="inlineStr">
        <is>
          <t>Woodline Master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Juzi Holding Co., Ltd</t>
        </is>
      </c>
      <c r="B419" s="89" t="n">
        <v>1</v>
      </c>
      <c r="C419" s="94" t="n">
        <v>100</v>
      </c>
      <c r="D419" s="95" t="n">
        <v>53.5</v>
      </c>
      <c r="E419" s="95" t="n">
        <v>56.3</v>
      </c>
      <c r="F419" s="95" t="n">
        <v>46</v>
      </c>
      <c r="G419" s="95" t="n">
        <v>58.6</v>
      </c>
      <c r="H419" s="95" t="n">
        <v>1.9</v>
      </c>
      <c r="I419" s="95" t="n">
        <v>-4.9</v>
      </c>
      <c r="J419" s="95" t="n">
        <v>3.4</v>
      </c>
      <c r="K419" s="96" t="inlineStr">
        <is>
          <t>2373 BEAUTYFARM MED</t>
        </is>
      </c>
    </row>
    <row r="420">
      <c r="A420" s="16" t="inlineStr">
        <is>
          <t>CA Fern Parent</t>
        </is>
      </c>
      <c r="B420" s="89" t="n">
        <v>1</v>
      </c>
      <c r="C420" s="94" t="n">
        <v>100</v>
      </c>
      <c r="D420" s="95" t="n">
        <v>50.4</v>
      </c>
      <c r="E420" s="95" t="n">
        <v>42</v>
      </c>
      <c r="F420" s="95" t="n">
        <v>76.09999999999999</v>
      </c>
      <c r="G420" s="95" t="n">
        <v>44.3</v>
      </c>
      <c r="H420" s="95" t="n">
        <v>-5.5</v>
      </c>
      <c r="I420" s="95" t="n">
        <v>17.1</v>
      </c>
      <c r="J420" s="95" t="n">
        <v>-4.1</v>
      </c>
      <c r="K420" s="96" t="inlineStr">
        <is>
          <t>0013 HUTCHMED</t>
        </is>
      </c>
    </row>
    <row r="421">
      <c r="A421" s="16" t="inlineStr">
        <is>
          <t>HBM Healthcare Investments (Cayman) Ltd</t>
        </is>
      </c>
      <c r="B421" s="89" t="n">
        <v>1</v>
      </c>
      <c r="C421" s="94" t="n">
        <v>100</v>
      </c>
      <c r="D421" s="95" t="n">
        <v>50.4</v>
      </c>
      <c r="E421" s="95" t="n">
        <v>42</v>
      </c>
      <c r="F421" s="95" t="n">
        <v>76.09999999999999</v>
      </c>
      <c r="G421" s="95" t="n">
        <v>44.3</v>
      </c>
      <c r="H421" s="95" t="n">
        <v>-5.5</v>
      </c>
      <c r="I421" s="95" t="n">
        <v>17.1</v>
      </c>
      <c r="J421" s="95" t="n">
        <v>-4.1</v>
      </c>
      <c r="K421" s="96" t="inlineStr">
        <is>
          <t>0013 HUTCHMED</t>
        </is>
      </c>
    </row>
    <row r="422">
      <c r="A422" s="16" t="inlineStr">
        <is>
          <t>Cloudview Capital Limited</t>
        </is>
      </c>
      <c r="B422" s="89" t="n">
        <v>1</v>
      </c>
      <c r="C422" s="94" t="n">
        <v>100</v>
      </c>
      <c r="D422" s="95" t="n">
        <v>50.1</v>
      </c>
      <c r="E422" s="95" t="n">
        <v>42.9</v>
      </c>
      <c r="F422" s="95" t="n">
        <v>65</v>
      </c>
      <c r="G422" s="95" t="n">
        <v>9.6</v>
      </c>
      <c r="H422" s="95" t="n">
        <v>-4.8</v>
      </c>
      <c r="I422" s="95" t="n">
        <v>9.9</v>
      </c>
      <c r="J422" s="95" t="n">
        <v>-27</v>
      </c>
      <c r="K422" s="96" t="inlineStr">
        <is>
          <t>2476 VGT</t>
        </is>
      </c>
    </row>
    <row r="423">
      <c r="A423" s="16" t="inlineStr">
        <is>
          <t>CNCB (Hong Kong) Investment Limited</t>
        </is>
      </c>
      <c r="B423" s="89" t="n">
        <v>1</v>
      </c>
      <c r="C423" s="94" t="n">
        <v>100</v>
      </c>
      <c r="D423" s="95" t="n">
        <v>50.1</v>
      </c>
      <c r="E423" s="95" t="n">
        <v>42.9</v>
      </c>
      <c r="F423" s="95" t="n">
        <v>65</v>
      </c>
      <c r="G423" s="95" t="n">
        <v>9.6</v>
      </c>
      <c r="H423" s="95" t="n">
        <v>-4.8</v>
      </c>
      <c r="I423" s="95" t="n">
        <v>9.9</v>
      </c>
      <c r="J423" s="95" t="n">
        <v>-27</v>
      </c>
      <c r="K423" s="96" t="inlineStr">
        <is>
          <t>2476 VGT</t>
        </is>
      </c>
    </row>
    <row r="424">
      <c r="A424" s="16" t="inlineStr">
        <is>
          <t>Golden K2 Falcon Open-ended Fund Company</t>
        </is>
      </c>
      <c r="B424" s="89" t="n">
        <v>1</v>
      </c>
      <c r="C424" s="94" t="n">
        <v>100</v>
      </c>
      <c r="D424" s="95" t="n">
        <v>50.1</v>
      </c>
      <c r="E424" s="95" t="n">
        <v>42.9</v>
      </c>
      <c r="F424" s="95" t="n">
        <v>65</v>
      </c>
      <c r="G424" s="95" t="n">
        <v>9.6</v>
      </c>
      <c r="H424" s="95" t="n">
        <v>-4.8</v>
      </c>
      <c r="I424" s="95" t="n">
        <v>9.9</v>
      </c>
      <c r="J424" s="95" t="n">
        <v>-27</v>
      </c>
      <c r="K424" s="96" t="inlineStr">
        <is>
          <t>2476 VGT</t>
        </is>
      </c>
    </row>
    <row r="425">
      <c r="A425" s="16" t="inlineStr">
        <is>
          <t>Hong Kong Mason Electronics Co., Ltd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Mr. Ye Guofu</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New Golden Future Limited</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Ding Shijia</t>
        </is>
      </c>
      <c r="B428" s="89" t="n">
        <v>1</v>
      </c>
      <c r="C428" s="94" t="n">
        <v>100</v>
      </c>
      <c r="D428" s="95" t="n">
        <v>47.8</v>
      </c>
      <c r="E428" s="95" t="n">
        <v>17.2</v>
      </c>
      <c r="F428" s="95" t="n">
        <v>6.9</v>
      </c>
      <c r="G428" s="95" t="n">
        <v>-1.2</v>
      </c>
      <c r="H428" s="95" t="n">
        <v>-20.7</v>
      </c>
      <c r="I428" s="95" t="n">
        <v>-27.7</v>
      </c>
      <c r="J428" s="95" t="n">
        <v>-33.2</v>
      </c>
      <c r="K428" s="96" t="inlineStr">
        <is>
          <t>2306 YH ENT</t>
        </is>
      </c>
    </row>
    <row r="429">
      <c r="A429" s="16" t="inlineStr">
        <is>
          <t>Maoyan Entertainment (HK) Limited</t>
        </is>
      </c>
      <c r="B429" s="89" t="n">
        <v>1</v>
      </c>
      <c r="C429" s="94" t="n">
        <v>100</v>
      </c>
      <c r="D429" s="95" t="n">
        <v>47.8</v>
      </c>
      <c r="E429" s="95" t="n">
        <v>17.2</v>
      </c>
      <c r="F429" s="95" t="n">
        <v>6.9</v>
      </c>
      <c r="G429" s="95" t="n">
        <v>-1.2</v>
      </c>
      <c r="H429" s="95" t="n">
        <v>-20.7</v>
      </c>
      <c r="I429" s="95" t="n">
        <v>-27.7</v>
      </c>
      <c r="J429" s="95" t="n">
        <v>-33.2</v>
      </c>
      <c r="K429" s="96" t="inlineStr">
        <is>
          <t>2306 YH ENT</t>
        </is>
      </c>
    </row>
    <row r="430">
      <c r="A430" s="16" t="inlineStr">
        <is>
          <t>Sun Mass Energy Development Limited</t>
        </is>
      </c>
      <c r="B430" s="89" t="n">
        <v>1</v>
      </c>
      <c r="C430" s="94" t="n">
        <v>100</v>
      </c>
      <c r="D430" s="95" t="n">
        <v>47.8</v>
      </c>
      <c r="E430" s="95" t="n">
        <v>17.2</v>
      </c>
      <c r="F430" s="95" t="n">
        <v>6.9</v>
      </c>
      <c r="G430" s="95" t="n">
        <v>-1.2</v>
      </c>
      <c r="H430" s="95" t="n">
        <v>-20.7</v>
      </c>
      <c r="I430" s="95" t="n">
        <v>-27.7</v>
      </c>
      <c r="J430" s="95" t="n">
        <v>-33.2</v>
      </c>
      <c r="K430" s="96" t="inlineStr">
        <is>
          <t>2306 YH ENT</t>
        </is>
      </c>
    </row>
    <row r="431">
      <c r="A431" s="16" t="inlineStr">
        <is>
          <t>Kingsoft Cloud Network Corporation Limited</t>
        </is>
      </c>
      <c r="B431" s="89" t="n">
        <v>1</v>
      </c>
      <c r="C431" s="94" t="n">
        <v>100</v>
      </c>
      <c r="D431" s="95" t="n">
        <v>44.7</v>
      </c>
      <c r="E431" s="95" t="n">
        <v>60.5</v>
      </c>
      <c r="F431" s="95" t="n">
        <v>-41.7</v>
      </c>
      <c r="G431" s="95" t="n"/>
      <c r="H431" s="95" t="n">
        <v>10.9</v>
      </c>
      <c r="I431" s="95" t="n">
        <v>-59.7</v>
      </c>
      <c r="J431" s="95" t="n"/>
      <c r="K431" s="96" t="inlineStr">
        <is>
          <t>1191 CREALIGHTS</t>
        </is>
      </c>
    </row>
    <row r="432">
      <c r="A432" s="16" t="inlineStr">
        <is>
          <t>Winwin Technology Investment Co., Limited</t>
        </is>
      </c>
      <c r="B432" s="89" t="n">
        <v>1</v>
      </c>
      <c r="C432" s="94" t="n">
        <v>100</v>
      </c>
      <c r="D432" s="95" t="n">
        <v>44.7</v>
      </c>
      <c r="E432" s="95" t="n">
        <v>60.5</v>
      </c>
      <c r="F432" s="95" t="n">
        <v>-41.7</v>
      </c>
      <c r="G432" s="95" t="n"/>
      <c r="H432" s="95" t="n">
        <v>10.9</v>
      </c>
      <c r="I432" s="95" t="n">
        <v>-59.7</v>
      </c>
      <c r="J432" s="95" t="n"/>
      <c r="K432" s="96" t="inlineStr">
        <is>
          <t>1191 CREALIGHTS</t>
        </is>
      </c>
    </row>
    <row r="433">
      <c r="A433" s="16" t="inlineStr">
        <is>
          <t>Nebula</t>
        </is>
      </c>
      <c r="B433" s="89" t="n">
        <v>1</v>
      </c>
      <c r="C433" s="94" t="n">
        <v>100</v>
      </c>
      <c r="D433" s="95" t="n">
        <v>44.6</v>
      </c>
      <c r="E433" s="95" t="n">
        <v>105.4</v>
      </c>
      <c r="F433" s="95" t="n">
        <v>184.9</v>
      </c>
      <c r="G433" s="95" t="n">
        <v>137.2</v>
      </c>
      <c r="H433" s="95" t="n">
        <v>42</v>
      </c>
      <c r="I433" s="95" t="n">
        <v>97</v>
      </c>
      <c r="J433" s="95" t="n">
        <v>64</v>
      </c>
      <c r="K433" s="96" t="inlineStr">
        <is>
          <t>9678 UNISOUND</t>
        </is>
      </c>
    </row>
    <row r="434">
      <c r="A434" s="16" t="inlineStr">
        <is>
          <t>Great Praise</t>
        </is>
      </c>
      <c r="B434" s="89" t="n">
        <v>1</v>
      </c>
      <c r="C434" s="94" t="n">
        <v>100</v>
      </c>
      <c r="D434" s="95" t="n">
        <v>44</v>
      </c>
      <c r="E434" s="95" t="n">
        <v>46.1</v>
      </c>
      <c r="F434" s="95" t="n">
        <v>36.3</v>
      </c>
      <c r="G434" s="95" t="n">
        <v>44.7</v>
      </c>
      <c r="H434" s="95" t="n">
        <v>1.5</v>
      </c>
      <c r="I434" s="95" t="n">
        <v>-5.3</v>
      </c>
      <c r="J434" s="95" t="n">
        <v>0.5</v>
      </c>
      <c r="K434" s="96" t="inlineStr">
        <is>
          <t>6090 BUTONG GROUP</t>
        </is>
      </c>
    </row>
    <row r="435">
      <c r="A435" s="16" t="inlineStr">
        <is>
          <t>M&amp;G Investments</t>
        </is>
      </c>
      <c r="B435" s="89" t="n">
        <v>1</v>
      </c>
      <c r="C435" s="94" t="n">
        <v>100</v>
      </c>
      <c r="D435" s="95" t="n">
        <v>43.2</v>
      </c>
      <c r="E435" s="95" t="n">
        <v>94.3</v>
      </c>
      <c r="F435" s="95" t="n">
        <v>107.4</v>
      </c>
      <c r="G435" s="95" t="n">
        <v>180.5</v>
      </c>
      <c r="H435" s="95" t="n">
        <v>35.6</v>
      </c>
      <c r="I435" s="95" t="n">
        <v>44.8</v>
      </c>
      <c r="J435" s="95" t="n">
        <v>95.90000000000001</v>
      </c>
      <c r="K435" s="96" t="inlineStr">
        <is>
          <t>2097 MIXUE GROUP</t>
        </is>
      </c>
    </row>
    <row r="436">
      <c r="A436" s="16" t="inlineStr">
        <is>
          <t>Persistence Growth Limited</t>
        </is>
      </c>
      <c r="B436" s="89" t="n">
        <v>1</v>
      </c>
      <c r="C436" s="94" t="n">
        <v>100</v>
      </c>
      <c r="D436" s="95" t="n">
        <v>43.2</v>
      </c>
      <c r="E436" s="95" t="n">
        <v>94.3</v>
      </c>
      <c r="F436" s="95" t="n">
        <v>107.4</v>
      </c>
      <c r="G436" s="95" t="n">
        <v>180.5</v>
      </c>
      <c r="H436" s="95" t="n">
        <v>35.6</v>
      </c>
      <c r="I436" s="95" t="n">
        <v>44.8</v>
      </c>
      <c r="J436" s="95" t="n">
        <v>95.90000000000001</v>
      </c>
      <c r="K436" s="96" t="inlineStr">
        <is>
          <t>2097 MIXUE GROUP</t>
        </is>
      </c>
    </row>
    <row r="437">
      <c r="A437" s="16" t="inlineStr">
        <is>
          <t>Lin Xiaojian</t>
        </is>
      </c>
      <c r="B437" s="89" t="n">
        <v>1</v>
      </c>
      <c r="C437" s="94" t="n">
        <v>100</v>
      </c>
      <c r="D437" s="95" t="n">
        <v>42</v>
      </c>
      <c r="E437" s="95" t="n">
        <v>30</v>
      </c>
      <c r="F437" s="95" t="n">
        <v>3</v>
      </c>
      <c r="G437" s="95" t="n">
        <v>9.5</v>
      </c>
      <c r="H437" s="95" t="n">
        <v>-8.4</v>
      </c>
      <c r="I437" s="95" t="n">
        <v>-27.5</v>
      </c>
      <c r="J437" s="95" t="n">
        <v>-22.9</v>
      </c>
      <c r="K437" s="96" t="inlineStr">
        <is>
          <t>9881 RONGTA TECH</t>
        </is>
      </c>
    </row>
    <row r="438">
      <c r="A438" s="16" t="inlineStr">
        <is>
          <t>Sinos Group Limited</t>
        </is>
      </c>
      <c r="B438" s="89" t="n">
        <v>1</v>
      </c>
      <c r="C438" s="94" t="n">
        <v>100</v>
      </c>
      <c r="D438" s="95" t="n">
        <v>42</v>
      </c>
      <c r="E438" s="95" t="n">
        <v>30</v>
      </c>
      <c r="F438" s="95" t="n">
        <v>3</v>
      </c>
      <c r="G438" s="95" t="n">
        <v>9.5</v>
      </c>
      <c r="H438" s="95" t="n">
        <v>-8.4</v>
      </c>
      <c r="I438" s="95" t="n">
        <v>-27.5</v>
      </c>
      <c r="J438" s="95" t="n">
        <v>-22.9</v>
      </c>
      <c r="K438" s="96" t="inlineStr">
        <is>
          <t>9881 RONGTA TECH</t>
        </is>
      </c>
    </row>
    <row r="439">
      <c r="A439" s="16" t="inlineStr">
        <is>
          <t>Li Shuhan</t>
        </is>
      </c>
      <c r="B439" s="89" t="n">
        <v>1</v>
      </c>
      <c r="C439" s="94" t="n">
        <v>100</v>
      </c>
      <c r="D439" s="95" t="n">
        <v>42</v>
      </c>
      <c r="E439" s="95" t="n">
        <v>30</v>
      </c>
      <c r="F439" s="95" t="n">
        <v>3</v>
      </c>
      <c r="G439" s="95" t="n">
        <v>9.5</v>
      </c>
      <c r="H439" s="95" t="n">
        <v>-8.4</v>
      </c>
      <c r="I439" s="95" t="n">
        <v>-27.5</v>
      </c>
      <c r="J439" s="95" t="n">
        <v>-22.9</v>
      </c>
      <c r="K439" s="96" t="inlineStr">
        <is>
          <t>9881 RONGTA TECH</t>
        </is>
      </c>
    </row>
    <row r="440">
      <c r="A440" s="16" t="inlineStr">
        <is>
          <t>Ng Chi Fat</t>
        </is>
      </c>
      <c r="B440" s="89" t="n">
        <v>1</v>
      </c>
      <c r="C440" s="94" t="n">
        <v>100</v>
      </c>
      <c r="D440" s="95" t="n">
        <v>42</v>
      </c>
      <c r="E440" s="95" t="n">
        <v>30</v>
      </c>
      <c r="F440" s="95" t="n">
        <v>3</v>
      </c>
      <c r="G440" s="95" t="n">
        <v>9.5</v>
      </c>
      <c r="H440" s="95" t="n">
        <v>-8.4</v>
      </c>
      <c r="I440" s="95" t="n">
        <v>-27.5</v>
      </c>
      <c r="J440" s="95" t="n">
        <v>-22.9</v>
      </c>
      <c r="K440" s="96" t="inlineStr">
        <is>
          <t>9881 RONGTA TECH</t>
        </is>
      </c>
    </row>
    <row r="441">
      <c r="A441" s="16" t="inlineStr">
        <is>
          <t>Xu Kaiming</t>
        </is>
      </c>
      <c r="B441" s="89" t="n">
        <v>1</v>
      </c>
      <c r="C441" s="94" t="n">
        <v>100</v>
      </c>
      <c r="D441" s="95" t="n">
        <v>42</v>
      </c>
      <c r="E441" s="95" t="n">
        <v>30</v>
      </c>
      <c r="F441" s="95" t="n">
        <v>3</v>
      </c>
      <c r="G441" s="95" t="n">
        <v>9.5</v>
      </c>
      <c r="H441" s="95" t="n">
        <v>-8.4</v>
      </c>
      <c r="I441" s="95" t="n">
        <v>-27.5</v>
      </c>
      <c r="J441" s="95" t="n">
        <v>-22.9</v>
      </c>
      <c r="K441" s="96" t="inlineStr">
        <is>
          <t>9881 RONGTA TECH</t>
        </is>
      </c>
    </row>
    <row r="442">
      <c r="A442" s="16" t="inlineStr">
        <is>
          <t>Xu Kaihe</t>
        </is>
      </c>
      <c r="B442" s="89" t="n">
        <v>1</v>
      </c>
      <c r="C442" s="94" t="n">
        <v>100</v>
      </c>
      <c r="D442" s="95" t="n">
        <v>42</v>
      </c>
      <c r="E442" s="95" t="n">
        <v>30</v>
      </c>
      <c r="F442" s="95" t="n">
        <v>3</v>
      </c>
      <c r="G442" s="95" t="n">
        <v>9.5</v>
      </c>
      <c r="H442" s="95" t="n">
        <v>-8.4</v>
      </c>
      <c r="I442" s="95" t="n">
        <v>-27.5</v>
      </c>
      <c r="J442" s="95" t="n">
        <v>-22.9</v>
      </c>
      <c r="K442" s="96" t="inlineStr">
        <is>
          <t>9881 RONGTA TECH</t>
        </is>
      </c>
    </row>
    <row r="443">
      <c r="A443" s="16" t="inlineStr">
        <is>
          <t>Lin Huanan</t>
        </is>
      </c>
      <c r="B443" s="89" t="n">
        <v>1</v>
      </c>
      <c r="C443" s="94" t="n">
        <v>100</v>
      </c>
      <c r="D443" s="95" t="n">
        <v>42</v>
      </c>
      <c r="E443" s="95" t="n">
        <v>30</v>
      </c>
      <c r="F443" s="95" t="n">
        <v>3</v>
      </c>
      <c r="G443" s="95" t="n">
        <v>9.5</v>
      </c>
      <c r="H443" s="95" t="n">
        <v>-8.4</v>
      </c>
      <c r="I443" s="95" t="n">
        <v>-27.5</v>
      </c>
      <c r="J443" s="95" t="n">
        <v>-22.9</v>
      </c>
      <c r="K443" s="96" t="inlineStr">
        <is>
          <t>9881 RONGTA TECH</t>
        </is>
      </c>
    </row>
    <row r="444">
      <c r="A444" s="16" t="inlineStr">
        <is>
          <t>Yang Litie</t>
        </is>
      </c>
      <c r="B444" s="89" t="n">
        <v>1</v>
      </c>
      <c r="C444" s="94" t="n">
        <v>100</v>
      </c>
      <c r="D444" s="95" t="n">
        <v>42</v>
      </c>
      <c r="E444" s="95" t="n">
        <v>30</v>
      </c>
      <c r="F444" s="95" t="n">
        <v>3</v>
      </c>
      <c r="G444" s="95" t="n">
        <v>9.5</v>
      </c>
      <c r="H444" s="95" t="n">
        <v>-8.4</v>
      </c>
      <c r="I444" s="95" t="n">
        <v>-27.5</v>
      </c>
      <c r="J444" s="95" t="n">
        <v>-22.9</v>
      </c>
      <c r="K444" s="96" t="inlineStr">
        <is>
          <t>9881 RONGTA TECH</t>
        </is>
      </c>
    </row>
    <row r="445">
      <c r="A445" s="16" t="inlineStr">
        <is>
          <t>Bright Stone Holdings Limited</t>
        </is>
      </c>
      <c r="B445" s="89" t="n">
        <v>1</v>
      </c>
      <c r="C445" s="94" t="n">
        <v>100</v>
      </c>
      <c r="D445" s="95" t="n">
        <v>41.6</v>
      </c>
      <c r="E445" s="95" t="n">
        <v>30.8</v>
      </c>
      <c r="F445" s="95" t="n">
        <v>18.2</v>
      </c>
      <c r="G445" s="95" t="n">
        <v>14.6</v>
      </c>
      <c r="H445" s="95" t="n">
        <v>-7.7</v>
      </c>
      <c r="I445" s="95" t="n">
        <v>-16.5</v>
      </c>
      <c r="J445" s="95" t="n">
        <v>-19.1</v>
      </c>
      <c r="K445" s="96" t="inlineStr">
        <is>
          <t>6938 RIBOLIFE-B</t>
        </is>
      </c>
    </row>
    <row r="446">
      <c r="A446" s="16" t="inlineStr">
        <is>
          <t>Erik Selin Fastigheter Aktiebolag</t>
        </is>
      </c>
      <c r="B446" s="89" t="n">
        <v>1</v>
      </c>
      <c r="C446" s="94" t="n">
        <v>100</v>
      </c>
      <c r="D446" s="95" t="n">
        <v>41.6</v>
      </c>
      <c r="E446" s="95" t="n">
        <v>30.8</v>
      </c>
      <c r="F446" s="95" t="n">
        <v>18.2</v>
      </c>
      <c r="G446" s="95" t="n">
        <v>14.6</v>
      </c>
      <c r="H446" s="95" t="n">
        <v>-7.7</v>
      </c>
      <c r="I446" s="95" t="n">
        <v>-16.5</v>
      </c>
      <c r="J446" s="95" t="n">
        <v>-19.1</v>
      </c>
      <c r="K446" s="96" t="inlineStr">
        <is>
          <t>6938 RIBOLIFE-B</t>
        </is>
      </c>
    </row>
    <row r="447">
      <c r="A447" s="16" t="inlineStr">
        <is>
          <t>Himension Fund</t>
        </is>
      </c>
      <c r="B447" s="89" t="n">
        <v>1</v>
      </c>
      <c r="C447" s="94" t="n">
        <v>100</v>
      </c>
      <c r="D447" s="95" t="n">
        <v>41.6</v>
      </c>
      <c r="E447" s="95" t="n">
        <v>30.8</v>
      </c>
      <c r="F447" s="95" t="n">
        <v>18.2</v>
      </c>
      <c r="G447" s="95" t="n">
        <v>14.6</v>
      </c>
      <c r="H447" s="95" t="n">
        <v>-7.7</v>
      </c>
      <c r="I447" s="95" t="n">
        <v>-16.5</v>
      </c>
      <c r="J447" s="95" t="n">
        <v>-19.1</v>
      </c>
      <c r="K447" s="96" t="inlineStr">
        <is>
          <t>6938 RIBOLIFE-B</t>
        </is>
      </c>
    </row>
    <row r="448">
      <c r="A448" s="16" t="inlineStr">
        <is>
          <t>Mingxin Growth Ventures LS2 Limited</t>
        </is>
      </c>
      <c r="B448" s="89" t="n">
        <v>1</v>
      </c>
      <c r="C448" s="94" t="n">
        <v>100</v>
      </c>
      <c r="D448" s="95" t="n">
        <v>41.6</v>
      </c>
      <c r="E448" s="95" t="n">
        <v>30.8</v>
      </c>
      <c r="F448" s="95" t="n">
        <v>18.2</v>
      </c>
      <c r="G448" s="95" t="n">
        <v>14.6</v>
      </c>
      <c r="H448" s="95" t="n">
        <v>-7.7</v>
      </c>
      <c r="I448" s="95" t="n">
        <v>-16.5</v>
      </c>
      <c r="J448" s="95" t="n">
        <v>-19.1</v>
      </c>
      <c r="K448" s="96" t="inlineStr">
        <is>
          <t>6938 RIBOLIFE-B</t>
        </is>
      </c>
    </row>
    <row r="449">
      <c r="A449" s="16" t="inlineStr">
        <is>
          <t>William WONG ( ˮጳ਷)</t>
        </is>
      </c>
      <c r="B449" s="89" t="n">
        <v>1</v>
      </c>
      <c r="C449" s="94" t="n">
        <v>100</v>
      </c>
      <c r="D449" s="95" t="n">
        <v>41.6</v>
      </c>
      <c r="E449" s="95" t="n">
        <v>30.8</v>
      </c>
      <c r="F449" s="95" t="n">
        <v>18.2</v>
      </c>
      <c r="G449" s="95" t="n">
        <v>14.6</v>
      </c>
      <c r="H449" s="95" t="n">
        <v>-7.7</v>
      </c>
      <c r="I449" s="95" t="n">
        <v>-16.5</v>
      </c>
      <c r="J449" s="95" t="n">
        <v>-19.1</v>
      </c>
      <c r="K449" s="96" t="inlineStr">
        <is>
          <t>6938 RIBOLIFE-B</t>
        </is>
      </c>
    </row>
    <row r="450">
      <c r="A450" s="16" t="inlineStr">
        <is>
          <t>Worldstar Global Holdings Limited</t>
        </is>
      </c>
      <c r="B450" s="89" t="n">
        <v>1</v>
      </c>
      <c r="C450" s="94" t="n">
        <v>100</v>
      </c>
      <c r="D450" s="95" t="n">
        <v>41.6</v>
      </c>
      <c r="E450" s="95" t="n">
        <v>30.8</v>
      </c>
      <c r="F450" s="95" t="n">
        <v>18.2</v>
      </c>
      <c r="G450" s="95" t="n">
        <v>14.6</v>
      </c>
      <c r="H450" s="95" t="n">
        <v>-7.7</v>
      </c>
      <c r="I450" s="95" t="n">
        <v>-16.5</v>
      </c>
      <c r="J450" s="95" t="n">
        <v>-19.1</v>
      </c>
      <c r="K450" s="96" t="inlineStr">
        <is>
          <t>6938 RIBOLIFE-B</t>
        </is>
      </c>
    </row>
    <row r="451">
      <c r="A451" s="16" t="inlineStr">
        <is>
          <t>Wise Vigour Limited</t>
        </is>
      </c>
      <c r="B451" s="89" t="n">
        <v>1</v>
      </c>
      <c r="C451" s="94" t="n">
        <v>100</v>
      </c>
      <c r="D451" s="95" t="n">
        <v>41.6</v>
      </c>
      <c r="E451" s="95" t="n">
        <v>30.8</v>
      </c>
      <c r="F451" s="95" t="n">
        <v>18.2</v>
      </c>
      <c r="G451" s="95" t="n">
        <v>14.6</v>
      </c>
      <c r="H451" s="95" t="n">
        <v>-7.7</v>
      </c>
      <c r="I451" s="95" t="n">
        <v>-16.5</v>
      </c>
      <c r="J451" s="95" t="n">
        <v>-19.1</v>
      </c>
      <c r="K451" s="96" t="inlineStr">
        <is>
          <t>6938 RIBOLIFE-B</t>
        </is>
      </c>
    </row>
    <row r="452">
      <c r="A452" s="16" t="inlineStr">
        <is>
          <t>CURA International (Hong Kong) Investment Management Company Limited</t>
        </is>
      </c>
      <c r="B452" s="89" t="n">
        <v>1</v>
      </c>
      <c r="C452" s="94" t="n">
        <v>100</v>
      </c>
      <c r="D452" s="95" t="n">
        <v>41.5</v>
      </c>
      <c r="E452" s="95" t="n">
        <v>2.5</v>
      </c>
      <c r="F452" s="95" t="n">
        <v>0</v>
      </c>
      <c r="G452" s="95" t="n">
        <v>3.8</v>
      </c>
      <c r="H452" s="95" t="n">
        <v>-27.6</v>
      </c>
      <c r="I452" s="95" t="n">
        <v>-29.3</v>
      </c>
      <c r="J452" s="95" t="n">
        <v>-26.7</v>
      </c>
      <c r="K452" s="96" t="inlineStr">
        <is>
          <t>1965 LANDSEA LIFE</t>
        </is>
      </c>
    </row>
    <row r="453">
      <c r="A453" s="16" t="inlineStr">
        <is>
          <t>Dato Sri Ng Chong Keong</t>
        </is>
      </c>
      <c r="B453" s="89" t="n">
        <v>1</v>
      </c>
      <c r="C453" s="94" t="n">
        <v>100</v>
      </c>
      <c r="D453" s="95" t="n">
        <v>41.1</v>
      </c>
      <c r="E453" s="95" t="n">
        <v>62.5</v>
      </c>
      <c r="F453" s="95" t="n">
        <v>96.40000000000001</v>
      </c>
      <c r="G453" s="95" t="n">
        <v>258.9</v>
      </c>
      <c r="H453" s="95" t="n">
        <v>15.2</v>
      </c>
      <c r="I453" s="95" t="n">
        <v>39.2</v>
      </c>
      <c r="J453" s="95" t="n">
        <v>154.4</v>
      </c>
      <c r="K453" s="96" t="inlineStr">
        <is>
          <t>2321 SWANGCHAICHUAN</t>
        </is>
      </c>
    </row>
    <row r="454">
      <c r="A454" s="16" t="inlineStr">
        <is>
          <t>Huihuang Resources Limited</t>
        </is>
      </c>
      <c r="B454" s="89" t="n">
        <v>1</v>
      </c>
      <c r="C454" s="94" t="n">
        <v>100</v>
      </c>
      <c r="D454" s="95" t="n">
        <v>41.1</v>
      </c>
      <c r="E454" s="95" t="n">
        <v>62.5</v>
      </c>
      <c r="F454" s="95" t="n">
        <v>96.40000000000001</v>
      </c>
      <c r="G454" s="95" t="n">
        <v>258.9</v>
      </c>
      <c r="H454" s="95" t="n">
        <v>15.2</v>
      </c>
      <c r="I454" s="95" t="n">
        <v>39.2</v>
      </c>
      <c r="J454" s="95" t="n">
        <v>154.4</v>
      </c>
      <c r="K454" s="96" t="inlineStr">
        <is>
          <t>2321 SWANGCHAICHUAN</t>
        </is>
      </c>
    </row>
    <row r="455">
      <c r="A455" s="16" t="inlineStr">
        <is>
          <t>Mr. Tee Kian Heng</t>
        </is>
      </c>
      <c r="B455" s="89" t="n">
        <v>1</v>
      </c>
      <c r="C455" s="94" t="n">
        <v>100</v>
      </c>
      <c r="D455" s="95" t="n">
        <v>41.1</v>
      </c>
      <c r="E455" s="95" t="n">
        <v>62.5</v>
      </c>
      <c r="F455" s="95" t="n">
        <v>96.40000000000001</v>
      </c>
      <c r="G455" s="95" t="n">
        <v>258.9</v>
      </c>
      <c r="H455" s="95" t="n">
        <v>15.2</v>
      </c>
      <c r="I455" s="95" t="n">
        <v>39.2</v>
      </c>
      <c r="J455" s="95" t="n">
        <v>154.4</v>
      </c>
      <c r="K455" s="96" t="inlineStr">
        <is>
          <t>2321 SWANGCHAICHUAN</t>
        </is>
      </c>
    </row>
    <row r="456">
      <c r="A456" s="16" t="inlineStr">
        <is>
          <t>Nayuki Holdings Limited</t>
        </is>
      </c>
      <c r="B456" s="89" t="n">
        <v>1</v>
      </c>
      <c r="C456" s="94" t="n">
        <v>100</v>
      </c>
      <c r="D456" s="95" t="n">
        <v>40.9</v>
      </c>
      <c r="E456" s="95" t="n">
        <v>20.8</v>
      </c>
      <c r="F456" s="95" t="n">
        <v>55.9</v>
      </c>
      <c r="G456" s="95" t="n">
        <v>79.09999999999999</v>
      </c>
      <c r="H456" s="95" t="n">
        <v>-14.3</v>
      </c>
      <c r="I456" s="95" t="n">
        <v>10.7</v>
      </c>
      <c r="J456" s="95" t="n">
        <v>27.2</v>
      </c>
      <c r="K456" s="96" t="inlineStr">
        <is>
          <t>2429 UBOX ONLINE</t>
        </is>
      </c>
    </row>
    <row r="457">
      <c r="A457" s="16" t="inlineStr">
        <is>
          <t>Shenzhen Maliujia Network Technology Co., Ltd</t>
        </is>
      </c>
      <c r="B457" s="89" t="n">
        <v>1</v>
      </c>
      <c r="C457" s="94" t="n">
        <v>100</v>
      </c>
      <c r="D457" s="95" t="n">
        <v>40.9</v>
      </c>
      <c r="E457" s="95" t="n">
        <v>20.8</v>
      </c>
      <c r="F457" s="95" t="n">
        <v>55.9</v>
      </c>
      <c r="G457" s="95" t="n">
        <v>79.09999999999999</v>
      </c>
      <c r="H457" s="95" t="n">
        <v>-14.3</v>
      </c>
      <c r="I457" s="95" t="n">
        <v>10.7</v>
      </c>
      <c r="J457" s="95" t="n">
        <v>27.2</v>
      </c>
      <c r="K457" s="96" t="inlineStr">
        <is>
          <t>2429 UBOX ONLINE</t>
        </is>
      </c>
    </row>
    <row r="458">
      <c r="A458" s="16" t="inlineStr">
        <is>
          <t>Wei Jinbing</t>
        </is>
      </c>
      <c r="B458" s="89" t="n">
        <v>1</v>
      </c>
      <c r="C458" s="94" t="n">
        <v>100</v>
      </c>
      <c r="D458" s="95" t="n">
        <v>40.9</v>
      </c>
      <c r="E458" s="95" t="n">
        <v>20.8</v>
      </c>
      <c r="F458" s="95" t="n">
        <v>55.9</v>
      </c>
      <c r="G458" s="95" t="n">
        <v>79.09999999999999</v>
      </c>
      <c r="H458" s="95" t="n">
        <v>-14.3</v>
      </c>
      <c r="I458" s="95" t="n">
        <v>10.7</v>
      </c>
      <c r="J458" s="95" t="n">
        <v>27.2</v>
      </c>
      <c r="K458" s="96" t="inlineStr">
        <is>
          <t>2429 UBOX ONLINE</t>
        </is>
      </c>
    </row>
    <row r="459">
      <c r="A459" s="16" t="inlineStr">
        <is>
          <t>Gaintex Investment Limited</t>
        </is>
      </c>
      <c r="B459" s="89" t="n">
        <v>1</v>
      </c>
      <c r="C459" s="94" t="n">
        <v>100</v>
      </c>
      <c r="D459" s="95" t="n">
        <v>40.9</v>
      </c>
      <c r="E459" s="95" t="n">
        <v>49.6</v>
      </c>
      <c r="F459" s="95" t="n">
        <v>40.2</v>
      </c>
      <c r="G459" s="95" t="n">
        <v>101.7</v>
      </c>
      <c r="H459" s="95" t="n">
        <v>6.2</v>
      </c>
      <c r="I459" s="95" t="n">
        <v>-0.5</v>
      </c>
      <c r="J459" s="95" t="n">
        <v>43.2</v>
      </c>
      <c r="K459" s="96" t="inlineStr">
        <is>
          <t>0325 BLOKS</t>
        </is>
      </c>
    </row>
    <row r="460">
      <c r="A460" s="16" t="inlineStr">
        <is>
          <t>Plus Force Enterprise Limited</t>
        </is>
      </c>
      <c r="B460" s="89" t="n">
        <v>1</v>
      </c>
      <c r="C460" s="94" t="n">
        <v>100</v>
      </c>
      <c r="D460" s="95" t="n">
        <v>40.9</v>
      </c>
      <c r="E460" s="95" t="n">
        <v>49.6</v>
      </c>
      <c r="F460" s="95" t="n">
        <v>40.2</v>
      </c>
      <c r="G460" s="95" t="n">
        <v>101.7</v>
      </c>
      <c r="H460" s="95" t="n">
        <v>6.2</v>
      </c>
      <c r="I460" s="95" t="n">
        <v>-0.5</v>
      </c>
      <c r="J460" s="95" t="n">
        <v>43.2</v>
      </c>
      <c r="K460" s="96" t="inlineStr">
        <is>
          <t>0325 BLOKS</t>
        </is>
      </c>
    </row>
    <row r="461">
      <c r="A461" s="16" t="inlineStr">
        <is>
          <t>Merron Ventures Limited</t>
        </is>
      </c>
      <c r="B461" s="89" t="n">
        <v>1</v>
      </c>
      <c r="C461" s="94" t="n">
        <v>100</v>
      </c>
      <c r="D461" s="95" t="n">
        <v>40.9</v>
      </c>
      <c r="E461" s="95" t="n">
        <v>49.6</v>
      </c>
      <c r="F461" s="95" t="n">
        <v>40.2</v>
      </c>
      <c r="G461" s="95" t="n">
        <v>101.7</v>
      </c>
      <c r="H461" s="95" t="n">
        <v>6.2</v>
      </c>
      <c r="I461" s="95" t="n">
        <v>-0.5</v>
      </c>
      <c r="J461" s="95" t="n">
        <v>43.2</v>
      </c>
      <c r="K461" s="96" t="inlineStr">
        <is>
          <t>0325 BLOKS</t>
        </is>
      </c>
    </row>
    <row r="462">
      <c r="A462" s="16" t="inlineStr">
        <is>
          <t>JYCP Holding Limited</t>
        </is>
      </c>
      <c r="B462" s="89" t="n">
        <v>1</v>
      </c>
      <c r="C462" s="94" t="n">
        <v>100</v>
      </c>
      <c r="D462" s="95" t="n">
        <v>40.9</v>
      </c>
      <c r="E462" s="95" t="n">
        <v>49.6</v>
      </c>
      <c r="F462" s="95" t="n">
        <v>40.2</v>
      </c>
      <c r="G462" s="95" t="n">
        <v>101.7</v>
      </c>
      <c r="H462" s="95" t="n">
        <v>6.2</v>
      </c>
      <c r="I462" s="95" t="n">
        <v>-0.5</v>
      </c>
      <c r="J462" s="95" t="n">
        <v>43.2</v>
      </c>
      <c r="K462" s="96" t="inlineStr">
        <is>
          <t>0325 BLOKS</t>
        </is>
      </c>
    </row>
    <row r="463">
      <c r="A463" s="16" t="inlineStr">
        <is>
          <t>JYMB Holding Limited</t>
        </is>
      </c>
      <c r="B463" s="89" t="n">
        <v>1</v>
      </c>
      <c r="C463" s="94" t="n">
        <v>100</v>
      </c>
      <c r="D463" s="95" t="n">
        <v>40.9</v>
      </c>
      <c r="E463" s="95" t="n">
        <v>49.6</v>
      </c>
      <c r="F463" s="95" t="n">
        <v>40.2</v>
      </c>
      <c r="G463" s="95" t="n">
        <v>101.7</v>
      </c>
      <c r="H463" s="95" t="n">
        <v>6.2</v>
      </c>
      <c r="I463" s="95" t="n">
        <v>-0.5</v>
      </c>
      <c r="J463" s="95" t="n">
        <v>43.2</v>
      </c>
      <c r="K463" s="96" t="inlineStr">
        <is>
          <t>0325 BLOKS</t>
        </is>
      </c>
    </row>
    <row r="464">
      <c r="A464" s="16" t="inlineStr">
        <is>
          <t>Beihai Kmind Management Consulting Limited</t>
        </is>
      </c>
      <c r="B464" s="89" t="n">
        <v>1</v>
      </c>
      <c r="C464" s="94" t="n">
        <v>100</v>
      </c>
      <c r="D464" s="95" t="n">
        <v>40.9</v>
      </c>
      <c r="E464" s="95" t="n">
        <v>49.6</v>
      </c>
      <c r="F464" s="95" t="n">
        <v>40.2</v>
      </c>
      <c r="G464" s="95" t="n">
        <v>101.7</v>
      </c>
      <c r="H464" s="95" t="n">
        <v>6.2</v>
      </c>
      <c r="I464" s="95" t="n">
        <v>-0.5</v>
      </c>
      <c r="J464" s="95" t="n">
        <v>43.2</v>
      </c>
      <c r="K464" s="96" t="inlineStr">
        <is>
          <t>0325 BLOKS</t>
        </is>
      </c>
    </row>
    <row r="465">
      <c r="A465" s="16" t="inlineStr">
        <is>
          <t>BlueCo Investment L.P</t>
        </is>
      </c>
      <c r="B465" s="89" t="n">
        <v>1</v>
      </c>
      <c r="C465" s="94" t="n">
        <v>100</v>
      </c>
      <c r="D465" s="95" t="n">
        <v>40.9</v>
      </c>
      <c r="E465" s="95" t="n">
        <v>49.6</v>
      </c>
      <c r="F465" s="95" t="n">
        <v>40.2</v>
      </c>
      <c r="G465" s="95" t="n">
        <v>101.7</v>
      </c>
      <c r="H465" s="95" t="n">
        <v>6.2</v>
      </c>
      <c r="I465" s="95" t="n">
        <v>-0.5</v>
      </c>
      <c r="J465" s="95" t="n">
        <v>43.2</v>
      </c>
      <c r="K465" s="96" t="inlineStr">
        <is>
          <t>0325 BLOKS</t>
        </is>
      </c>
    </row>
    <row r="466">
      <c r="A466" s="16" t="inlineStr">
        <is>
          <t>Lenient Investment L.P</t>
        </is>
      </c>
      <c r="B466" s="89" t="n">
        <v>1</v>
      </c>
      <c r="C466" s="94" t="n">
        <v>100</v>
      </c>
      <c r="D466" s="95" t="n">
        <v>40.9</v>
      </c>
      <c r="E466" s="95" t="n">
        <v>49.6</v>
      </c>
      <c r="F466" s="95" t="n">
        <v>40.2</v>
      </c>
      <c r="G466" s="95" t="n">
        <v>101.7</v>
      </c>
      <c r="H466" s="95" t="n">
        <v>6.2</v>
      </c>
      <c r="I466" s="95" t="n">
        <v>-0.5</v>
      </c>
      <c r="J466" s="95" t="n">
        <v>43.2</v>
      </c>
      <c r="K466" s="96" t="inlineStr">
        <is>
          <t>0325 BLOKS</t>
        </is>
      </c>
    </row>
    <row r="467">
      <c r="A467" s="16" t="inlineStr">
        <is>
          <t>Golden Future LPF</t>
        </is>
      </c>
      <c r="B467" s="89" t="n">
        <v>1</v>
      </c>
      <c r="C467" s="94" t="n">
        <v>100</v>
      </c>
      <c r="D467" s="95" t="n">
        <v>40</v>
      </c>
      <c r="E467" s="95" t="n">
        <v>58.8</v>
      </c>
      <c r="F467" s="95" t="n">
        <v>110.6</v>
      </c>
      <c r="G467" s="95" t="n">
        <v>105.8</v>
      </c>
      <c r="H467" s="95" t="n">
        <v>13.4</v>
      </c>
      <c r="I467" s="95" t="n">
        <v>50.4</v>
      </c>
      <c r="J467" s="95" t="n">
        <v>47</v>
      </c>
      <c r="K467" s="96" t="inlineStr">
        <is>
          <t>0917 QUNABOX GROUP</t>
        </is>
      </c>
    </row>
    <row r="468">
      <c r="A468" s="16" t="inlineStr">
        <is>
          <t>Changfeng Growth Equity Fund</t>
        </is>
      </c>
      <c r="B468" s="89" t="n">
        <v>1</v>
      </c>
      <c r="C468" s="94" t="n">
        <v>100</v>
      </c>
      <c r="D468" s="95" t="n">
        <v>38.3</v>
      </c>
      <c r="E468" s="95" t="n">
        <v>31.1</v>
      </c>
      <c r="F468" s="95" t="n">
        <v>79.40000000000001</v>
      </c>
      <c r="G468" s="95" t="n">
        <v>53.3</v>
      </c>
      <c r="H468" s="95" t="n">
        <v>-5.2</v>
      </c>
      <c r="I468" s="95" t="n">
        <v>29.7</v>
      </c>
      <c r="J468" s="95" t="n">
        <v>10.8</v>
      </c>
      <c r="K468" s="96" t="inlineStr">
        <is>
          <t>1333 BRETON</t>
        </is>
      </c>
    </row>
    <row r="469">
      <c r="A469" s="16" t="inlineStr">
        <is>
          <t>Xiaomi</t>
        </is>
      </c>
      <c r="B469" s="89" t="n">
        <v>1</v>
      </c>
      <c r="C469" s="94" t="n">
        <v>100</v>
      </c>
      <c r="D469" s="95" t="n">
        <v>37.5</v>
      </c>
      <c r="E469" s="95" t="n">
        <v>88.90000000000001</v>
      </c>
      <c r="F469" s="95" t="n">
        <v>82.7</v>
      </c>
      <c r="G469" s="95" t="n">
        <v>161.1</v>
      </c>
      <c r="H469" s="95" t="n">
        <v>37.3</v>
      </c>
      <c r="I469" s="95" t="n">
        <v>32.9</v>
      </c>
      <c r="J469" s="95" t="n">
        <v>89.90000000000001</v>
      </c>
      <c r="K469" s="96" t="inlineStr">
        <is>
          <t>3986 GIGADEVICE</t>
        </is>
      </c>
    </row>
    <row r="470">
      <c r="A470" s="16" t="inlineStr">
        <is>
          <t>TCL Industries</t>
        </is>
      </c>
      <c r="B470" s="89" t="n">
        <v>1</v>
      </c>
      <c r="C470" s="94" t="n">
        <v>100</v>
      </c>
      <c r="D470" s="95" t="n">
        <v>37.5</v>
      </c>
      <c r="E470" s="95" t="n">
        <v>88.90000000000001</v>
      </c>
      <c r="F470" s="95" t="n">
        <v>82.7</v>
      </c>
      <c r="G470" s="95" t="n">
        <v>161.1</v>
      </c>
      <c r="H470" s="95" t="n">
        <v>37.3</v>
      </c>
      <c r="I470" s="95" t="n">
        <v>32.9</v>
      </c>
      <c r="J470" s="95" t="n">
        <v>89.90000000000001</v>
      </c>
      <c r="K470" s="96" t="inlineStr">
        <is>
          <t>3986 GIGADEVICE</t>
        </is>
      </c>
    </row>
    <row r="471">
      <c r="A471" s="16" t="inlineStr">
        <is>
          <t>Yuanfeng Future Growth Fund and CGII</t>
        </is>
      </c>
      <c r="B471" s="89" t="n">
        <v>1</v>
      </c>
      <c r="C471" s="94" t="n">
        <v>100</v>
      </c>
      <c r="D471" s="95" t="n">
        <v>37.2</v>
      </c>
      <c r="E471" s="95" t="n">
        <v>49.8</v>
      </c>
      <c r="F471" s="95" t="n">
        <v>-1.1</v>
      </c>
      <c r="G471" s="95" t="n"/>
      <c r="H471" s="95" t="n">
        <v>9.199999999999999</v>
      </c>
      <c r="I471" s="95" t="n">
        <v>-27.9</v>
      </c>
      <c r="J471" s="95" t="n"/>
      <c r="K471" s="96" t="inlineStr">
        <is>
          <t>1779 LONGBIO-B</t>
        </is>
      </c>
    </row>
    <row r="472">
      <c r="A472" s="16" t="inlineStr">
        <is>
          <t>Affluent Base Limited</t>
        </is>
      </c>
      <c r="B472" s="89" t="n">
        <v>1</v>
      </c>
      <c r="C472" s="94" t="n">
        <v>100</v>
      </c>
      <c r="D472" s="95" t="n">
        <v>36.7</v>
      </c>
      <c r="E472" s="95" t="n">
        <v>98</v>
      </c>
      <c r="F472" s="95" t="n">
        <v>71.8</v>
      </c>
      <c r="G472" s="95" t="n">
        <v>303.2</v>
      </c>
      <c r="H472" s="95" t="n">
        <v>44.8</v>
      </c>
      <c r="I472" s="95" t="n">
        <v>25.7</v>
      </c>
      <c r="J472" s="95" t="n">
        <v>195</v>
      </c>
      <c r="K472" s="96" t="inlineStr">
        <is>
          <t>2587 HEALTHYWAY INC</t>
        </is>
      </c>
    </row>
    <row r="473">
      <c r="A473" s="16" t="inlineStr">
        <is>
          <t>HW MedSpect Limited</t>
        </is>
      </c>
      <c r="B473" s="89" t="n">
        <v>1</v>
      </c>
      <c r="C473" s="94" t="n">
        <v>100</v>
      </c>
      <c r="D473" s="95" t="n">
        <v>36.7</v>
      </c>
      <c r="E473" s="95" t="n">
        <v>98</v>
      </c>
      <c r="F473" s="95" t="n">
        <v>71.8</v>
      </c>
      <c r="G473" s="95" t="n">
        <v>303.2</v>
      </c>
      <c r="H473" s="95" t="n">
        <v>44.8</v>
      </c>
      <c r="I473" s="95" t="n">
        <v>25.7</v>
      </c>
      <c r="J473" s="95" t="n">
        <v>195</v>
      </c>
      <c r="K473" s="96" t="inlineStr">
        <is>
          <t>2587 HEALTHYWAY INC</t>
        </is>
      </c>
    </row>
    <row r="474">
      <c r="A474" s="16" t="inlineStr">
        <is>
          <t>Strait One Investment LTD</t>
        </is>
      </c>
      <c r="B474" s="89" t="n">
        <v>1</v>
      </c>
      <c r="C474" s="94" t="n">
        <v>100</v>
      </c>
      <c r="D474" s="95" t="n">
        <v>36.7</v>
      </c>
      <c r="E474" s="95" t="n">
        <v>98</v>
      </c>
      <c r="F474" s="95" t="n">
        <v>71.8</v>
      </c>
      <c r="G474" s="95" t="n">
        <v>303.2</v>
      </c>
      <c r="H474" s="95" t="n">
        <v>44.8</v>
      </c>
      <c r="I474" s="95" t="n">
        <v>25.7</v>
      </c>
      <c r="J474" s="95" t="n">
        <v>195</v>
      </c>
      <c r="K474" s="96" t="inlineStr">
        <is>
          <t>2587 HEALTHYWAY INC</t>
        </is>
      </c>
    </row>
    <row r="475">
      <c r="A475" s="16" t="inlineStr">
        <is>
          <t>May Jyu Limited</t>
        </is>
      </c>
      <c r="B475" s="89" t="n">
        <v>1</v>
      </c>
      <c r="C475" s="94" t="n">
        <v>100</v>
      </c>
      <c r="D475" s="95" t="n">
        <v>36.7</v>
      </c>
      <c r="E475" s="95" t="n">
        <v>98</v>
      </c>
      <c r="F475" s="95" t="n">
        <v>71.8</v>
      </c>
      <c r="G475" s="95" t="n">
        <v>303.2</v>
      </c>
      <c r="H475" s="95" t="n">
        <v>44.8</v>
      </c>
      <c r="I475" s="95" t="n">
        <v>25.7</v>
      </c>
      <c r="J475" s="95" t="n">
        <v>195</v>
      </c>
      <c r="K475" s="96" t="inlineStr">
        <is>
          <t>2587 HEALTHYWAY INC</t>
        </is>
      </c>
    </row>
    <row r="476">
      <c r="A476" s="16" t="inlineStr">
        <is>
          <t>Jyun Jing Limited</t>
        </is>
      </c>
      <c r="B476" s="89" t="n">
        <v>1</v>
      </c>
      <c r="C476" s="94" t="n">
        <v>100</v>
      </c>
      <c r="D476" s="95" t="n">
        <v>36.7</v>
      </c>
      <c r="E476" s="95" t="n">
        <v>98</v>
      </c>
      <c r="F476" s="95" t="n">
        <v>71.8</v>
      </c>
      <c r="G476" s="95" t="n">
        <v>303.2</v>
      </c>
      <c r="H476" s="95" t="n">
        <v>44.8</v>
      </c>
      <c r="I476" s="95" t="n">
        <v>25.7</v>
      </c>
      <c r="J476" s="95" t="n">
        <v>195</v>
      </c>
      <c r="K476" s="96" t="inlineStr">
        <is>
          <t>2587 HEALTHYWAY INC</t>
        </is>
      </c>
    </row>
    <row r="477">
      <c r="A477" s="16" t="inlineStr">
        <is>
          <t>Bai Sheng Enterprises Limited</t>
        </is>
      </c>
      <c r="B477" s="89" t="n">
        <v>1</v>
      </c>
      <c r="C477" s="94" t="n">
        <v>100</v>
      </c>
      <c r="D477" s="95" t="n">
        <v>36.7</v>
      </c>
      <c r="E477" s="95" t="n">
        <v>98</v>
      </c>
      <c r="F477" s="95" t="n">
        <v>71.8</v>
      </c>
      <c r="G477" s="95" t="n">
        <v>303.2</v>
      </c>
      <c r="H477" s="95" t="n">
        <v>44.8</v>
      </c>
      <c r="I477" s="95" t="n">
        <v>25.7</v>
      </c>
      <c r="J477" s="95" t="n">
        <v>195</v>
      </c>
      <c r="K477" s="96" t="inlineStr">
        <is>
          <t>2587 HEALTHYWAY INC</t>
        </is>
      </c>
    </row>
    <row r="478">
      <c r="A478" s="16" t="inlineStr">
        <is>
          <t>Novo Holdings A / S</t>
        </is>
      </c>
      <c r="B478" s="89" t="n">
        <v>1</v>
      </c>
      <c r="C478" s="94" t="n">
        <v>100</v>
      </c>
      <c r="D478" s="95" t="n">
        <v>35.9</v>
      </c>
      <c r="E478" s="95" t="n">
        <v>40.8</v>
      </c>
      <c r="F478" s="95" t="n">
        <v>51.2</v>
      </c>
      <c r="G478" s="95" t="n">
        <v>-10</v>
      </c>
      <c r="H478" s="95" t="n">
        <v>3.6</v>
      </c>
      <c r="I478" s="95" t="n">
        <v>11.2</v>
      </c>
      <c r="J478" s="95" t="n">
        <v>-33.8</v>
      </c>
      <c r="K478" s="96" t="inlineStr">
        <is>
          <t>2268 WUXI XDC</t>
        </is>
      </c>
    </row>
    <row r="479">
      <c r="A479" s="16" t="inlineStr">
        <is>
          <t>JKKB Limited</t>
        </is>
      </c>
      <c r="B479" s="89" t="n">
        <v>1</v>
      </c>
      <c r="C479" s="94" t="n">
        <v>100</v>
      </c>
      <c r="D479" s="95" t="n">
        <v>33.7</v>
      </c>
      <c r="E479" s="95" t="n">
        <v>0.5</v>
      </c>
      <c r="F479" s="95" t="n">
        <v>16.4</v>
      </c>
      <c r="G479" s="95" t="n">
        <v>-6.5</v>
      </c>
      <c r="H479" s="95" t="n">
        <v>-24.9</v>
      </c>
      <c r="I479" s="95" t="n">
        <v>-13</v>
      </c>
      <c r="J479" s="95" t="n">
        <v>-30.1</v>
      </c>
      <c r="K479" s="96" t="inlineStr">
        <is>
          <t>2508 SAINT BELLA</t>
        </is>
      </c>
    </row>
    <row r="480">
      <c r="A480" s="16" t="inlineStr">
        <is>
          <t>Carl Wu / 吳啟楠</t>
        </is>
      </c>
      <c r="B480" s="89" t="n">
        <v>1</v>
      </c>
      <c r="C480" s="94" t="n">
        <v>100</v>
      </c>
      <c r="D480" s="95" t="n">
        <v>33.7</v>
      </c>
      <c r="E480" s="95" t="n">
        <v>0.5</v>
      </c>
      <c r="F480" s="95" t="n">
        <v>16.4</v>
      </c>
      <c r="G480" s="95" t="n">
        <v>-6.5</v>
      </c>
      <c r="H480" s="95" t="n">
        <v>-24.9</v>
      </c>
      <c r="I480" s="95" t="n">
        <v>-13</v>
      </c>
      <c r="J480" s="95" t="n">
        <v>-30.1</v>
      </c>
      <c r="K480" s="96" t="inlineStr">
        <is>
          <t>2508 SAINT BELLA</t>
        </is>
      </c>
    </row>
    <row r="481">
      <c r="A481" s="16" t="inlineStr">
        <is>
          <t>Gigantic Wealth Holdings Limited</t>
        </is>
      </c>
      <c r="B481" s="89" t="n">
        <v>1</v>
      </c>
      <c r="C481" s="94" t="n">
        <v>100</v>
      </c>
      <c r="D481" s="95" t="n">
        <v>33</v>
      </c>
      <c r="E481" s="95" t="n">
        <v>44.3</v>
      </c>
      <c r="F481" s="95" t="n">
        <v>25.5</v>
      </c>
      <c r="G481" s="95" t="n">
        <v>-10.5</v>
      </c>
      <c r="H481" s="95" t="n">
        <v>8.5</v>
      </c>
      <c r="I481" s="95" t="n">
        <v>-5.7</v>
      </c>
      <c r="J481" s="95" t="n">
        <v>-32.7</v>
      </c>
      <c r="K481" s="96" t="inlineStr">
        <is>
          <t>2219 CHAOJU EYE CARE</t>
        </is>
      </c>
    </row>
    <row r="482">
      <c r="A482" s="16" t="inlineStr">
        <is>
          <t>GT Cedar Capital (Hong Kong) Limited</t>
        </is>
      </c>
      <c r="B482" s="89" t="n">
        <v>1</v>
      </c>
      <c r="C482" s="94" t="n">
        <v>100</v>
      </c>
      <c r="D482" s="95" t="n">
        <v>33</v>
      </c>
      <c r="E482" s="95" t="n">
        <v>44.3</v>
      </c>
      <c r="F482" s="95" t="n">
        <v>25.5</v>
      </c>
      <c r="G482" s="95" t="n">
        <v>-10.5</v>
      </c>
      <c r="H482" s="95" t="n">
        <v>8.5</v>
      </c>
      <c r="I482" s="95" t="n">
        <v>-5.7</v>
      </c>
      <c r="J482" s="95" t="n">
        <v>-32.7</v>
      </c>
      <c r="K482" s="96" t="inlineStr">
        <is>
          <t>2219 CHAOJU EYE CARE</t>
        </is>
      </c>
    </row>
    <row r="483">
      <c r="A483" s="16" t="inlineStr">
        <is>
          <t>Management (HK) Limited</t>
        </is>
      </c>
      <c r="B483" s="89" t="n">
        <v>1</v>
      </c>
      <c r="C483" s="94" t="n">
        <v>100</v>
      </c>
      <c r="D483" s="95" t="n">
        <v>32.8</v>
      </c>
      <c r="E483" s="95" t="n">
        <v>59.4</v>
      </c>
      <c r="F483" s="95" t="n">
        <v>78.3</v>
      </c>
      <c r="G483" s="95" t="n">
        <v>115.7</v>
      </c>
      <c r="H483" s="95" t="n">
        <v>20.1</v>
      </c>
      <c r="I483" s="95" t="n">
        <v>34.3</v>
      </c>
      <c r="J483" s="95" t="n">
        <v>62.4</v>
      </c>
      <c r="K483" s="96" t="inlineStr">
        <is>
          <t>2788 CHUANGXIN IND</t>
        </is>
      </c>
    </row>
    <row r="484">
      <c r="A484" s="16" t="inlineStr">
        <is>
          <t>CCB International Capital Limited</t>
        </is>
      </c>
      <c r="B484" s="89" t="n">
        <v>1</v>
      </c>
      <c r="C484" s="94" t="n">
        <v>100</v>
      </c>
      <c r="D484" s="95" t="n">
        <v>31.3</v>
      </c>
      <c r="E484" s="95" t="n">
        <v>20.1</v>
      </c>
      <c r="F484" s="95" t="n">
        <v>24.4</v>
      </c>
      <c r="G484" s="95" t="n">
        <v>20.1</v>
      </c>
      <c r="H484" s="95" t="n">
        <v>-8.6</v>
      </c>
      <c r="I484" s="95" t="n">
        <v>-5.2</v>
      </c>
      <c r="J484" s="95" t="n">
        <v>-8.6</v>
      </c>
      <c r="K484" s="96" t="inlineStr">
        <is>
          <t>6960 SHUANGDENG</t>
        </is>
      </c>
    </row>
    <row r="485">
      <c r="A485" s="16" t="inlineStr">
        <is>
          <t>Connected Client CSOP Asset Management Limited</t>
        </is>
      </c>
      <c r="B485" s="89" t="n">
        <v>1</v>
      </c>
      <c r="C485" s="94" t="n">
        <v>100</v>
      </c>
      <c r="D485" s="95" t="n">
        <v>31.3</v>
      </c>
      <c r="E485" s="95" t="n">
        <v>20.1</v>
      </c>
      <c r="F485" s="95" t="n">
        <v>24.4</v>
      </c>
      <c r="G485" s="95" t="n">
        <v>20.1</v>
      </c>
      <c r="H485" s="95" t="n">
        <v>-8.6</v>
      </c>
      <c r="I485" s="95" t="n">
        <v>-5.2</v>
      </c>
      <c r="J485" s="95" t="n">
        <v>-8.6</v>
      </c>
      <c r="K485" s="96" t="inlineStr">
        <is>
          <t>6960 SHUANGDENG</t>
        </is>
      </c>
    </row>
    <row r="486">
      <c r="A486" s="16" t="inlineStr">
        <is>
          <t>Abu Dhabi Investment Authority</t>
        </is>
      </c>
      <c r="B486" s="89" t="n">
        <v>1</v>
      </c>
      <c r="C486" s="94" t="n">
        <v>100</v>
      </c>
      <c r="D486" s="95" t="n">
        <v>30.9</v>
      </c>
      <c r="E486" s="95" t="n">
        <v>55.5</v>
      </c>
      <c r="F486" s="95" t="n">
        <v>37.7</v>
      </c>
      <c r="G486" s="95" t="n">
        <v>24.9</v>
      </c>
      <c r="H486" s="95" t="n">
        <v>18.8</v>
      </c>
      <c r="I486" s="95" t="n">
        <v>5.2</v>
      </c>
      <c r="J486" s="95" t="n">
        <v>-4.6</v>
      </c>
      <c r="K486" s="96" t="inlineStr">
        <is>
          <t>2675 EDGE MEDICAL-B</t>
        </is>
      </c>
    </row>
    <row r="487">
      <c r="A487" s="16" t="inlineStr">
        <is>
          <t>China Alpha Fund Management (HK) Ltd</t>
        </is>
      </c>
      <c r="B487" s="89" t="n">
        <v>1</v>
      </c>
      <c r="C487" s="94" t="n">
        <v>100</v>
      </c>
      <c r="D487" s="95" t="n">
        <v>30.9</v>
      </c>
      <c r="E487" s="95" t="n">
        <v>55.5</v>
      </c>
      <c r="F487" s="95" t="n">
        <v>37.7</v>
      </c>
      <c r="G487" s="95" t="n">
        <v>24.9</v>
      </c>
      <c r="H487" s="95" t="n">
        <v>18.8</v>
      </c>
      <c r="I487" s="95" t="n">
        <v>5.2</v>
      </c>
      <c r="J487" s="95" t="n">
        <v>-4.6</v>
      </c>
      <c r="K487" s="96" t="inlineStr">
        <is>
          <t>2675 EDGE MEDICAL-B</t>
        </is>
      </c>
    </row>
    <row r="488">
      <c r="A488" s="16" t="inlineStr">
        <is>
          <t>Tekful Limited</t>
        </is>
      </c>
      <c r="B488" s="89" t="n">
        <v>1</v>
      </c>
      <c r="C488" s="94" t="n">
        <v>100</v>
      </c>
      <c r="D488" s="95" t="n">
        <v>30.9</v>
      </c>
      <c r="E488" s="95" t="n">
        <v>55.5</v>
      </c>
      <c r="F488" s="95" t="n">
        <v>37.7</v>
      </c>
      <c r="G488" s="95" t="n">
        <v>24.9</v>
      </c>
      <c r="H488" s="95" t="n">
        <v>18.8</v>
      </c>
      <c r="I488" s="95" t="n">
        <v>5.2</v>
      </c>
      <c r="J488" s="95" t="n">
        <v>-4.6</v>
      </c>
      <c r="K488" s="96" t="inlineStr">
        <is>
          <t>2675 EDGE MEDICAL-B</t>
        </is>
      </c>
    </row>
    <row r="489">
      <c r="A489" s="16" t="inlineStr">
        <is>
          <t>Novotech SG Holdings Pte. Ltd</t>
        </is>
      </c>
      <c r="B489" s="89" t="n">
        <v>1</v>
      </c>
      <c r="C489" s="94" t="n">
        <v>100</v>
      </c>
      <c r="D489" s="95" t="n">
        <v>30</v>
      </c>
      <c r="E489" s="95" t="n">
        <v>75</v>
      </c>
      <c r="F489" s="95" t="n">
        <v>74.7</v>
      </c>
      <c r="G489" s="95" t="n">
        <v>-2.9</v>
      </c>
      <c r="H489" s="95" t="n">
        <v>34.6</v>
      </c>
      <c r="I489" s="95" t="n">
        <v>34.4</v>
      </c>
      <c r="J489" s="95" t="n">
        <v>-25.3</v>
      </c>
      <c r="K489" s="96" t="inlineStr">
        <is>
          <t>2563 BIOSTAR PHARM-B</t>
        </is>
      </c>
    </row>
    <row r="490">
      <c r="A490" s="16" t="inlineStr">
        <is>
          <t>Mr. Li Yi</t>
        </is>
      </c>
      <c r="B490" s="89" t="n">
        <v>1</v>
      </c>
      <c r="C490" s="94" t="n">
        <v>100</v>
      </c>
      <c r="D490" s="95" t="n">
        <v>29.9</v>
      </c>
      <c r="E490" s="95" t="n">
        <v>51.5</v>
      </c>
      <c r="F490" s="95" t="n">
        <v>212.5</v>
      </c>
      <c r="G490" s="95" t="n">
        <v>18.8</v>
      </c>
      <c r="H490" s="95" t="n">
        <v>16.6</v>
      </c>
      <c r="I490" s="95" t="n">
        <v>140.5</v>
      </c>
      <c r="J490" s="95" t="n">
        <v>-8.5</v>
      </c>
      <c r="K490" s="96" t="inlineStr">
        <is>
          <t>6651 51WORLD</t>
        </is>
      </c>
    </row>
    <row r="491">
      <c r="A491" s="16" t="inlineStr">
        <is>
          <t>III, L.P.</t>
        </is>
      </c>
      <c r="B491" s="89" t="n">
        <v>1</v>
      </c>
      <c r="C491" s="94" t="n">
        <v>100</v>
      </c>
      <c r="D491" s="95" t="n">
        <v>28.8</v>
      </c>
      <c r="E491" s="95" t="n">
        <v>25.3</v>
      </c>
      <c r="F491" s="95" t="n">
        <v>44.4</v>
      </c>
      <c r="G491" s="95" t="n">
        <v>87.5</v>
      </c>
      <c r="H491" s="95" t="n">
        <v>-2.7</v>
      </c>
      <c r="I491" s="95" t="n">
        <v>12.2</v>
      </c>
      <c r="J491" s="95" t="n">
        <v>45.7</v>
      </c>
      <c r="K491" s="96" t="inlineStr">
        <is>
          <t>2629 MIRXES-B</t>
        </is>
      </c>
    </row>
    <row r="492">
      <c r="A492" s="16" t="inlineStr">
        <is>
          <t>Creation Pte. Ltd.</t>
        </is>
      </c>
      <c r="B492" s="89" t="n">
        <v>1</v>
      </c>
      <c r="C492" s="94" t="n">
        <v>100</v>
      </c>
      <c r="D492" s="95" t="n">
        <v>28.8</v>
      </c>
      <c r="E492" s="95" t="n">
        <v>25.3</v>
      </c>
      <c r="F492" s="95" t="n">
        <v>44.4</v>
      </c>
      <c r="G492" s="95" t="n">
        <v>87.5</v>
      </c>
      <c r="H492" s="95" t="n">
        <v>-2.7</v>
      </c>
      <c r="I492" s="95" t="n">
        <v>12.2</v>
      </c>
      <c r="J492" s="95" t="n">
        <v>45.7</v>
      </c>
      <c r="K492" s="96" t="inlineStr">
        <is>
          <t>2629 MIRXES-B</t>
        </is>
      </c>
    </row>
    <row r="493">
      <c r="A493" s="16" t="inlineStr">
        <is>
          <t>NHH Venture Fund, L.P</t>
        </is>
      </c>
      <c r="B493" s="89" t="n">
        <v>1</v>
      </c>
      <c r="C493" s="94" t="n">
        <v>100</v>
      </c>
      <c r="D493" s="95" t="n">
        <v>28.8</v>
      </c>
      <c r="E493" s="95" t="n">
        <v>25.3</v>
      </c>
      <c r="F493" s="95" t="n">
        <v>44.4</v>
      </c>
      <c r="G493" s="95" t="n">
        <v>87.5</v>
      </c>
      <c r="H493" s="95" t="n">
        <v>-2.7</v>
      </c>
      <c r="I493" s="95" t="n">
        <v>12.2</v>
      </c>
      <c r="J493" s="95" t="n">
        <v>45.7</v>
      </c>
      <c r="K493" s="96" t="inlineStr">
        <is>
          <t>2629 MIRXES-B</t>
        </is>
      </c>
    </row>
    <row r="494">
      <c r="A494" s="16" t="inlineStr">
        <is>
          <t>源九號有限合夥基金</t>
        </is>
      </c>
      <c r="B494" s="89" t="n">
        <v>1</v>
      </c>
      <c r="C494" s="94" t="n">
        <v>100</v>
      </c>
      <c r="D494" s="95" t="n">
        <v>28.8</v>
      </c>
      <c r="E494" s="95" t="n">
        <v>25.3</v>
      </c>
      <c r="F494" s="95" t="n">
        <v>44.4</v>
      </c>
      <c r="G494" s="95" t="n">
        <v>87.5</v>
      </c>
      <c r="H494" s="95" t="n">
        <v>-2.7</v>
      </c>
      <c r="I494" s="95" t="n">
        <v>12.2</v>
      </c>
      <c r="J494" s="95" t="n">
        <v>45.7</v>
      </c>
      <c r="K494" s="96" t="inlineStr">
        <is>
          <t>2629 MIRXES-B</t>
        </is>
      </c>
    </row>
    <row r="495">
      <c r="A495" s="16" t="inlineStr">
        <is>
          <t>SDG Alpha Win PE LPF</t>
        </is>
      </c>
      <c r="B495" s="89" t="n">
        <v>1</v>
      </c>
      <c r="C495" s="94" t="n">
        <v>100</v>
      </c>
      <c r="D495" s="95" t="n">
        <v>28.8</v>
      </c>
      <c r="E495" s="95" t="n">
        <v>25.3</v>
      </c>
      <c r="F495" s="95" t="n">
        <v>44.4</v>
      </c>
      <c r="G495" s="95" t="n">
        <v>87.5</v>
      </c>
      <c r="H495" s="95" t="n">
        <v>-2.7</v>
      </c>
      <c r="I495" s="95" t="n">
        <v>12.2</v>
      </c>
      <c r="J495" s="95" t="n">
        <v>45.7</v>
      </c>
      <c r="K495" s="96" t="inlineStr">
        <is>
          <t>2629 MIRXES-B</t>
        </is>
      </c>
    </row>
    <row r="496">
      <c r="A496" s="16" t="inlineStr">
        <is>
          <t>Holdings Company Limited</t>
        </is>
      </c>
      <c r="B496" s="89" t="n">
        <v>1</v>
      </c>
      <c r="C496" s="94" t="n">
        <v>100</v>
      </c>
      <c r="D496" s="95" t="n">
        <v>28.8</v>
      </c>
      <c r="E496" s="95" t="n">
        <v>25.3</v>
      </c>
      <c r="F496" s="95" t="n">
        <v>44.4</v>
      </c>
      <c r="G496" s="95" t="n">
        <v>87.5</v>
      </c>
      <c r="H496" s="95" t="n">
        <v>-2.7</v>
      </c>
      <c r="I496" s="95" t="n">
        <v>12.2</v>
      </c>
      <c r="J496" s="95" t="n">
        <v>45.7</v>
      </c>
      <c r="K496" s="96" t="inlineStr">
        <is>
          <t>2629 MIRXES-B</t>
        </is>
      </c>
    </row>
    <row r="497">
      <c r="A497" s="16" t="inlineStr">
        <is>
          <t>BPC SPV MRX LIMITED</t>
        </is>
      </c>
      <c r="B497" s="89" t="n">
        <v>1</v>
      </c>
      <c r="C497" s="94" t="n">
        <v>100</v>
      </c>
      <c r="D497" s="95" t="n">
        <v>28.8</v>
      </c>
      <c r="E497" s="95" t="n">
        <v>25.3</v>
      </c>
      <c r="F497" s="95" t="n">
        <v>44.4</v>
      </c>
      <c r="G497" s="95" t="n">
        <v>87.5</v>
      </c>
      <c r="H497" s="95" t="n">
        <v>-2.7</v>
      </c>
      <c r="I497" s="95" t="n">
        <v>12.2</v>
      </c>
      <c r="J497" s="95" t="n">
        <v>45.7</v>
      </c>
      <c r="K497" s="96" t="inlineStr">
        <is>
          <t>2629 MIRXES-B</t>
        </is>
      </c>
    </row>
    <row r="498">
      <c r="A498" s="16" t="inlineStr">
        <is>
          <t>Accurate Gene Limited</t>
        </is>
      </c>
      <c r="B498" s="89" t="n">
        <v>1</v>
      </c>
      <c r="C498" s="94" t="n">
        <v>100</v>
      </c>
      <c r="D498" s="95" t="n">
        <v>28.8</v>
      </c>
      <c r="E498" s="95" t="n">
        <v>25.3</v>
      </c>
      <c r="F498" s="95" t="n">
        <v>44.4</v>
      </c>
      <c r="G498" s="95" t="n">
        <v>87.5</v>
      </c>
      <c r="H498" s="95" t="n">
        <v>-2.7</v>
      </c>
      <c r="I498" s="95" t="n">
        <v>12.2</v>
      </c>
      <c r="J498" s="95" t="n">
        <v>45.7</v>
      </c>
      <c r="K498" s="96" t="inlineStr">
        <is>
          <t>2629 MIRXES-B</t>
        </is>
      </c>
    </row>
    <row r="499">
      <c r="A499" s="16" t="inlineStr">
        <is>
          <t>Technologies Pte. Ltd.</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Luo Jinhong</t>
        </is>
      </c>
      <c r="B500" s="89" t="n">
        <v>1</v>
      </c>
      <c r="C500" s="94" t="n">
        <v>100</v>
      </c>
      <c r="D500" s="95" t="n">
        <v>28.4</v>
      </c>
      <c r="E500" s="95" t="n">
        <v>28</v>
      </c>
      <c r="F500" s="95" t="n">
        <v>28.9</v>
      </c>
      <c r="G500" s="95" t="n">
        <v>27.1</v>
      </c>
      <c r="H500" s="95" t="n">
        <v>-0.4</v>
      </c>
      <c r="I500" s="95" t="n">
        <v>0.4</v>
      </c>
      <c r="J500" s="95" t="n">
        <v>-1.1</v>
      </c>
      <c r="K500" s="96" t="inlineStr">
        <is>
          <t>2285 CHERVON</t>
        </is>
      </c>
    </row>
    <row r="501">
      <c r="A501" s="16" t="inlineStr">
        <is>
          <t>Double Joy Ventures Limited</t>
        </is>
      </c>
      <c r="B501" s="89" t="n">
        <v>1</v>
      </c>
      <c r="C501" s="94" t="n">
        <v>100</v>
      </c>
      <c r="D501" s="95" t="n">
        <v>27.6</v>
      </c>
      <c r="E501" s="95" t="n">
        <v>27.9</v>
      </c>
      <c r="F501" s="95" t="n">
        <v>22.5</v>
      </c>
      <c r="G501" s="95" t="n">
        <v>-6.2</v>
      </c>
      <c r="H501" s="95" t="n">
        <v>0.3</v>
      </c>
      <c r="I501" s="95" t="n">
        <v>-4</v>
      </c>
      <c r="J501" s="95" t="n">
        <v>-26.5</v>
      </c>
      <c r="K501" s="96" t="inlineStr">
        <is>
          <t>2162 KEYMED BIO-B</t>
        </is>
      </c>
    </row>
    <row r="502">
      <c r="A502" s="16" t="inlineStr">
        <is>
          <t>Zhengxin Group Investment Limited</t>
        </is>
      </c>
      <c r="B502" s="89" t="n">
        <v>1</v>
      </c>
      <c r="C502" s="94" t="n">
        <v>100</v>
      </c>
      <c r="D502" s="95" t="n">
        <v>26</v>
      </c>
      <c r="E502" s="95" t="n">
        <v>31.3</v>
      </c>
      <c r="F502" s="95" t="n">
        <v>25.5</v>
      </c>
      <c r="G502" s="95" t="n">
        <v>-12.7</v>
      </c>
      <c r="H502" s="95" t="n">
        <v>4.2</v>
      </c>
      <c r="I502" s="95" t="n">
        <v>-0.4</v>
      </c>
      <c r="J502" s="95" t="n">
        <v>-30.7</v>
      </c>
      <c r="K502" s="96" t="inlineStr">
        <is>
          <t>3636 JINXUN RESOURCE</t>
        </is>
      </c>
    </row>
    <row r="503">
      <c r="A503" s="16" t="inlineStr">
        <is>
          <t>New Asia Ferrell Asset Management Limited</t>
        </is>
      </c>
      <c r="B503" s="89" t="n">
        <v>1</v>
      </c>
      <c r="C503" s="94" t="n">
        <v>100</v>
      </c>
      <c r="D503" s="95" t="n">
        <v>26</v>
      </c>
      <c r="E503" s="95" t="n">
        <v>31.3</v>
      </c>
      <c r="F503" s="95" t="n">
        <v>25.5</v>
      </c>
      <c r="G503" s="95" t="n">
        <v>-12.7</v>
      </c>
      <c r="H503" s="95" t="n">
        <v>4.2</v>
      </c>
      <c r="I503" s="95" t="n">
        <v>-0.4</v>
      </c>
      <c r="J503" s="95" t="n">
        <v>-30.7</v>
      </c>
      <c r="K503" s="96" t="inlineStr">
        <is>
          <t>3636 JINXUN RESOURCE</t>
        </is>
      </c>
    </row>
    <row r="504">
      <c r="A504" s="16" t="inlineStr">
        <is>
          <t>Mobilewise Limited</t>
        </is>
      </c>
      <c r="B504" s="89" t="n">
        <v>1</v>
      </c>
      <c r="C504" s="94" t="n">
        <v>100</v>
      </c>
      <c r="D504" s="95" t="n">
        <v>25.9</v>
      </c>
      <c r="E504" s="95" t="n">
        <v>66.09999999999999</v>
      </c>
      <c r="F504" s="95" t="n">
        <v>139.4</v>
      </c>
      <c r="G504" s="95" t="n">
        <v>167.2</v>
      </c>
      <c r="H504" s="95" t="n">
        <v>31.9</v>
      </c>
      <c r="I504" s="95" t="n">
        <v>90.09999999999999</v>
      </c>
      <c r="J504" s="95" t="n">
        <v>112.2</v>
      </c>
      <c r="K504" s="96" t="inlineStr">
        <is>
          <t>1244 3D MEDICINES-B</t>
        </is>
      </c>
    </row>
    <row r="505">
      <c r="A505" s="16" t="inlineStr">
        <is>
          <t>NewTrails Capital</t>
        </is>
      </c>
      <c r="B505" s="89" t="n">
        <v>1</v>
      </c>
      <c r="C505" s="94" t="n">
        <v>100</v>
      </c>
      <c r="D505" s="95" t="n">
        <v>25.9</v>
      </c>
      <c r="E505" s="95" t="n">
        <v>17.7</v>
      </c>
      <c r="F505" s="95" t="n">
        <v>14.5</v>
      </c>
      <c r="G505" s="95" t="n">
        <v>17.1</v>
      </c>
      <c r="H505" s="95" t="n">
        <v>-6.5</v>
      </c>
      <c r="I505" s="95" t="n">
        <v>-9.1</v>
      </c>
      <c r="J505" s="95" t="n">
        <v>-7</v>
      </c>
      <c r="K505" s="96" t="inlineStr">
        <is>
          <t>2698 SOFTCARE</t>
        </is>
      </c>
    </row>
    <row r="506">
      <c r="A506" s="16" t="inlineStr">
        <is>
          <t>Qihui Runjin</t>
        </is>
      </c>
      <c r="B506" s="89" t="n">
        <v>1</v>
      </c>
      <c r="C506" s="94" t="n">
        <v>100</v>
      </c>
      <c r="D506" s="95" t="n">
        <v>25.9</v>
      </c>
      <c r="E506" s="95" t="n">
        <v>17.7</v>
      </c>
      <c r="F506" s="95" t="n">
        <v>14.5</v>
      </c>
      <c r="G506" s="95" t="n">
        <v>17.1</v>
      </c>
      <c r="H506" s="95" t="n">
        <v>-6.5</v>
      </c>
      <c r="I506" s="95" t="n">
        <v>-9.1</v>
      </c>
      <c r="J506" s="95" t="n">
        <v>-7</v>
      </c>
      <c r="K506" s="96" t="inlineStr">
        <is>
          <t>2698 SOFTCARE</t>
        </is>
      </c>
    </row>
    <row r="507">
      <c r="A507" s="16" t="inlineStr">
        <is>
          <t>Strategies (Asia) Pte. Ltd</t>
        </is>
      </c>
      <c r="B507" s="89" t="n">
        <v>1</v>
      </c>
      <c r="C507" s="94" t="n">
        <v>100</v>
      </c>
      <c r="D507" s="95" t="n">
        <v>25.2</v>
      </c>
      <c r="E507" s="95" t="n">
        <v>31.7</v>
      </c>
      <c r="F507" s="95" t="n">
        <v>26.8</v>
      </c>
      <c r="G507" s="95" t="n">
        <v>76.5</v>
      </c>
      <c r="H507" s="95" t="n">
        <v>5.2</v>
      </c>
      <c r="I507" s="95" t="n">
        <v>1.3</v>
      </c>
      <c r="J507" s="95" t="n">
        <v>41</v>
      </c>
      <c r="K507" s="96" t="inlineStr">
        <is>
          <t>1276 HENGRUI PHARMA</t>
        </is>
      </c>
    </row>
    <row r="508">
      <c r="A508" s="16" t="inlineStr">
        <is>
          <t>Cordial Solar</t>
        </is>
      </c>
      <c r="B508" s="89" t="n">
        <v>1</v>
      </c>
      <c r="C508" s="94" t="n">
        <v>100</v>
      </c>
      <c r="D508" s="95" t="n">
        <v>25.2</v>
      </c>
      <c r="E508" s="95" t="n">
        <v>31.7</v>
      </c>
      <c r="F508" s="95" t="n">
        <v>26.8</v>
      </c>
      <c r="G508" s="95" t="n">
        <v>76.5</v>
      </c>
      <c r="H508" s="95" t="n">
        <v>5.2</v>
      </c>
      <c r="I508" s="95" t="n">
        <v>1.3</v>
      </c>
      <c r="J508" s="95" t="n">
        <v>41</v>
      </c>
      <c r="K508" s="96" t="inlineStr">
        <is>
          <t>1276 HENGRUI PHARMA</t>
        </is>
      </c>
    </row>
    <row r="509">
      <c r="A509" s="16" t="inlineStr">
        <is>
          <t>Zhou Keting</t>
        </is>
      </c>
      <c r="B509" s="89" t="n">
        <v>1</v>
      </c>
      <c r="C509" s="94" t="n">
        <v>100</v>
      </c>
      <c r="D509" s="95" t="n">
        <v>23.9</v>
      </c>
      <c r="E509" s="95" t="n">
        <v>8.5</v>
      </c>
      <c r="F509" s="95" t="n">
        <v>-15.1</v>
      </c>
      <c r="G509" s="95" t="n">
        <v>-6.3</v>
      </c>
      <c r="H509" s="95" t="n">
        <v>-12.4</v>
      </c>
      <c r="I509" s="95" t="n">
        <v>-31.4</v>
      </c>
      <c r="J509" s="95" t="n">
        <v>-24.3</v>
      </c>
      <c r="K509" s="96" t="inlineStr">
        <is>
          <t>6687 JST GROUP</t>
        </is>
      </c>
    </row>
    <row r="510">
      <c r="A510" s="16" t="inlineStr">
        <is>
          <t>CUAM Entities</t>
        </is>
      </c>
      <c r="B510" s="89" t="n">
        <v>1</v>
      </c>
      <c r="C510" s="94" t="n">
        <v>100</v>
      </c>
      <c r="D510" s="95" t="n">
        <v>23.9</v>
      </c>
      <c r="E510" s="95" t="n">
        <v>8.5</v>
      </c>
      <c r="F510" s="95" t="n">
        <v>-15.1</v>
      </c>
      <c r="G510" s="95" t="n">
        <v>-6.3</v>
      </c>
      <c r="H510" s="95" t="n">
        <v>-12.4</v>
      </c>
      <c r="I510" s="95" t="n">
        <v>-31.4</v>
      </c>
      <c r="J510" s="95" t="n">
        <v>-24.3</v>
      </c>
      <c r="K510" s="96" t="inlineStr">
        <is>
          <t>6687 JST GROUP</t>
        </is>
      </c>
    </row>
    <row r="511">
      <c r="A511" s="16" t="inlineStr">
        <is>
          <t>GTCS Holdings</t>
        </is>
      </c>
      <c r="B511" s="89" t="n">
        <v>1</v>
      </c>
      <c r="C511" s="94" t="n">
        <v>100</v>
      </c>
      <c r="D511" s="95" t="n">
        <v>23.9</v>
      </c>
      <c r="E511" s="95" t="n">
        <v>8.5</v>
      </c>
      <c r="F511" s="95" t="n">
        <v>-15.1</v>
      </c>
      <c r="G511" s="95" t="n">
        <v>-6.3</v>
      </c>
      <c r="H511" s="95" t="n">
        <v>-12.4</v>
      </c>
      <c r="I511" s="95" t="n">
        <v>-31.4</v>
      </c>
      <c r="J511" s="95" t="n">
        <v>-24.3</v>
      </c>
      <c r="K511" s="96" t="inlineStr">
        <is>
          <t>6687 JST GROUP</t>
        </is>
      </c>
    </row>
    <row r="512">
      <c r="A512" s="16" t="inlineStr">
        <is>
          <t>Blink Field Limited</t>
        </is>
      </c>
      <c r="B512" s="89" t="n">
        <v>1</v>
      </c>
      <c r="C512" s="94" t="n">
        <v>100</v>
      </c>
      <c r="D512" s="95" t="n">
        <v>23.8</v>
      </c>
      <c r="E512" s="95" t="n">
        <v>67.09999999999999</v>
      </c>
      <c r="F512" s="95" t="n">
        <v>34.4</v>
      </c>
      <c r="G512" s="95" t="n">
        <v>102.3</v>
      </c>
      <c r="H512" s="95" t="n">
        <v>35</v>
      </c>
      <c r="I512" s="95" t="n">
        <v>8.6</v>
      </c>
      <c r="J512" s="95" t="n">
        <v>63.5</v>
      </c>
      <c r="K512" s="96" t="inlineStr">
        <is>
          <t>6683 STARPLUS LEGEND</t>
        </is>
      </c>
    </row>
    <row r="513">
      <c r="A513" s="16" t="inlineStr">
        <is>
          <t>NETDRAGON WEBSOFT INC</t>
        </is>
      </c>
      <c r="B513" s="89" t="n">
        <v>1</v>
      </c>
      <c r="C513" s="94" t="n">
        <v>100</v>
      </c>
      <c r="D513" s="95" t="n">
        <v>23.8</v>
      </c>
      <c r="E513" s="95" t="n">
        <v>67.09999999999999</v>
      </c>
      <c r="F513" s="95" t="n">
        <v>34.4</v>
      </c>
      <c r="G513" s="95" t="n">
        <v>102.3</v>
      </c>
      <c r="H513" s="95" t="n">
        <v>35</v>
      </c>
      <c r="I513" s="95" t="n">
        <v>8.6</v>
      </c>
      <c r="J513" s="95" t="n">
        <v>63.5</v>
      </c>
      <c r="K513" s="96" t="inlineStr">
        <is>
          <t>6683 STARPLUS LEGEND</t>
        </is>
      </c>
    </row>
    <row r="514">
      <c r="A514" s="16" t="inlineStr">
        <is>
          <t>Beevest Capital Limited</t>
        </is>
      </c>
      <c r="B514" s="89" t="n">
        <v>1</v>
      </c>
      <c r="C514" s="94" t="n">
        <v>100</v>
      </c>
      <c r="D514" s="95" t="n">
        <v>23.7</v>
      </c>
      <c r="E514" s="95" t="n">
        <v>21</v>
      </c>
      <c r="F514" s="95" t="n">
        <v>20.7</v>
      </c>
      <c r="G514" s="95" t="n">
        <v>39.6</v>
      </c>
      <c r="H514" s="95" t="n">
        <v>-2.2</v>
      </c>
      <c r="I514" s="95" t="n">
        <v>-2.5</v>
      </c>
      <c r="J514" s="95" t="n">
        <v>12.9</v>
      </c>
      <c r="K514" s="96" t="inlineStr">
        <is>
          <t>2509 QYUNS-B</t>
        </is>
      </c>
    </row>
    <row r="515">
      <c r="A515" s="16" t="inlineStr">
        <is>
          <t>Huadong Medicine Investment Holding (Hong Kong) Limited</t>
        </is>
      </c>
      <c r="B515" s="89" t="n">
        <v>1</v>
      </c>
      <c r="C515" s="94" t="n">
        <v>100</v>
      </c>
      <c r="D515" s="95" t="n">
        <v>23.7</v>
      </c>
      <c r="E515" s="95" t="n">
        <v>21</v>
      </c>
      <c r="F515" s="95" t="n">
        <v>20.7</v>
      </c>
      <c r="G515" s="95" t="n">
        <v>39.6</v>
      </c>
      <c r="H515" s="95" t="n">
        <v>-2.2</v>
      </c>
      <c r="I515" s="95" t="n">
        <v>-2.5</v>
      </c>
      <c r="J515" s="95" t="n">
        <v>12.9</v>
      </c>
      <c r="K515" s="96" t="inlineStr">
        <is>
          <t>2509 QYUNS-B</t>
        </is>
      </c>
    </row>
    <row r="516">
      <c r="A516" s="16" t="inlineStr">
        <is>
          <t>JianXin Medical Technology Limited</t>
        </is>
      </c>
      <c r="B516" s="89" t="n">
        <v>1</v>
      </c>
      <c r="C516" s="94" t="n">
        <v>100</v>
      </c>
      <c r="D516" s="95" t="n">
        <v>23.7</v>
      </c>
      <c r="E516" s="95" t="n">
        <v>21</v>
      </c>
      <c r="F516" s="95" t="n">
        <v>20.7</v>
      </c>
      <c r="G516" s="95" t="n">
        <v>39.6</v>
      </c>
      <c r="H516" s="95" t="n">
        <v>-2.2</v>
      </c>
      <c r="I516" s="95" t="n">
        <v>-2.5</v>
      </c>
      <c r="J516" s="95" t="n">
        <v>12.9</v>
      </c>
      <c r="K516" s="96" t="inlineStr">
        <is>
          <t>2509 QYUNS-B</t>
        </is>
      </c>
    </row>
    <row r="517">
      <c r="A517" s="16" t="inlineStr">
        <is>
          <t>Xinmin Tianshi Agricultural Industry Development Company Limited</t>
        </is>
      </c>
      <c r="B517" s="89" t="n">
        <v>1</v>
      </c>
      <c r="C517" s="94" t="n">
        <v>100</v>
      </c>
      <c r="D517" s="95" t="n">
        <v>22.7</v>
      </c>
      <c r="E517" s="95" t="n">
        <v>60.8</v>
      </c>
      <c r="F517" s="95" t="n">
        <v>61.5</v>
      </c>
      <c r="G517" s="95" t="n">
        <v>68.3</v>
      </c>
      <c r="H517" s="95" t="n">
        <v>31.1</v>
      </c>
      <c r="I517" s="95" t="n">
        <v>31.6</v>
      </c>
      <c r="J517" s="95" t="n">
        <v>37.2</v>
      </c>
      <c r="K517" s="96" t="inlineStr">
        <is>
          <t>9676 SHIYUE DAOTIAN</t>
        </is>
      </c>
    </row>
    <row r="518">
      <c r="A518" s="16" t="inlineStr">
        <is>
          <t>Bona Star Consultant Limited</t>
        </is>
      </c>
      <c r="B518" s="89" t="n">
        <v>1</v>
      </c>
      <c r="C518" s="94" t="n">
        <v>100</v>
      </c>
      <c r="D518" s="95" t="n">
        <v>22.5</v>
      </c>
      <c r="E518" s="95" t="n">
        <v>10.2</v>
      </c>
      <c r="F518" s="95" t="n">
        <v>-12.2</v>
      </c>
      <c r="G518" s="95" t="n"/>
      <c r="H518" s="95" t="n">
        <v>-10</v>
      </c>
      <c r="I518" s="95" t="n">
        <v>-28.4</v>
      </c>
      <c r="J518" s="95" t="n"/>
      <c r="K518" s="96" t="inlineStr">
        <is>
          <t>6067 SENIOR MATERIAL</t>
        </is>
      </c>
    </row>
    <row r="519">
      <c r="A519" s="16" t="inlineStr">
        <is>
          <t>JINKOSOLAR INVESTMENT LIMITED</t>
        </is>
      </c>
      <c r="B519" s="89" t="n">
        <v>1</v>
      </c>
      <c r="C519" s="94" t="n">
        <v>100</v>
      </c>
      <c r="D519" s="95" t="n">
        <v>22.5</v>
      </c>
      <c r="E519" s="95" t="n">
        <v>10.2</v>
      </c>
      <c r="F519" s="95" t="n">
        <v>-12.2</v>
      </c>
      <c r="G519" s="95" t="n"/>
      <c r="H519" s="95" t="n">
        <v>-10</v>
      </c>
      <c r="I519" s="95" t="n">
        <v>-28.4</v>
      </c>
      <c r="J519" s="95" t="n"/>
      <c r="K519" s="96" t="inlineStr">
        <is>
          <t>6067 SENIOR MATERIAL</t>
        </is>
      </c>
    </row>
    <row r="520">
      <c r="A520" s="16" t="inlineStr">
        <is>
          <t>Mondeomax Limited</t>
        </is>
      </c>
      <c r="B520" s="89" t="n">
        <v>1</v>
      </c>
      <c r="C520" s="94" t="n">
        <v>100</v>
      </c>
      <c r="D520" s="95" t="n">
        <v>22.5</v>
      </c>
      <c r="E520" s="95" t="n">
        <v>10.2</v>
      </c>
      <c r="F520" s="95" t="n">
        <v>-12.2</v>
      </c>
      <c r="G520" s="95" t="n"/>
      <c r="H520" s="95" t="n">
        <v>-10</v>
      </c>
      <c r="I520" s="95" t="n">
        <v>-28.4</v>
      </c>
      <c r="J520" s="95" t="n"/>
      <c r="K520" s="96" t="inlineStr">
        <is>
          <t>6067 SENIOR MATERIAL</t>
        </is>
      </c>
    </row>
    <row r="521">
      <c r="A521" s="16" t="inlineStr">
        <is>
          <t>SHEEN NATION HOLDINGS LIMITED</t>
        </is>
      </c>
      <c r="B521" s="89" t="n">
        <v>1</v>
      </c>
      <c r="C521" s="94" t="n">
        <v>100</v>
      </c>
      <c r="D521" s="95" t="n">
        <v>22.5</v>
      </c>
      <c r="E521" s="95" t="n">
        <v>10.2</v>
      </c>
      <c r="F521" s="95" t="n">
        <v>-12.2</v>
      </c>
      <c r="G521" s="95" t="n"/>
      <c r="H521" s="95" t="n">
        <v>-10</v>
      </c>
      <c r="I521" s="95" t="n">
        <v>-28.4</v>
      </c>
      <c r="J521" s="95" t="n"/>
      <c r="K521" s="96" t="inlineStr">
        <is>
          <t>6067 SENIOR MATERIAL</t>
        </is>
      </c>
    </row>
    <row r="522">
      <c r="A522" s="16" t="inlineStr">
        <is>
          <t>SINSANWA HOLDINGS (H.K.) CO., LIMITED</t>
        </is>
      </c>
      <c r="B522" s="89" t="n">
        <v>1</v>
      </c>
      <c r="C522" s="94" t="n">
        <v>100</v>
      </c>
      <c r="D522" s="95" t="n">
        <v>22.5</v>
      </c>
      <c r="E522" s="95" t="n">
        <v>10.2</v>
      </c>
      <c r="F522" s="95" t="n">
        <v>-12.2</v>
      </c>
      <c r="G522" s="95" t="n"/>
      <c r="H522" s="95" t="n">
        <v>-10</v>
      </c>
      <c r="I522" s="95" t="n">
        <v>-28.4</v>
      </c>
      <c r="J522" s="95" t="n"/>
      <c r="K522" s="96" t="inlineStr">
        <is>
          <t>6067 SENIOR MATERIAL</t>
        </is>
      </c>
    </row>
    <row r="523">
      <c r="A523" s="16" t="inlineStr">
        <is>
          <t>Coast Flagship Investment SPC</t>
        </is>
      </c>
      <c r="B523" s="89" t="n">
        <v>1</v>
      </c>
      <c r="C523" s="94" t="n">
        <v>100</v>
      </c>
      <c r="D523" s="95" t="n">
        <v>21.9</v>
      </c>
      <c r="E523" s="95" t="n">
        <v>10.6</v>
      </c>
      <c r="F523" s="95" t="n">
        <v>8.1</v>
      </c>
      <c r="G523" s="95" t="n">
        <v>21.1</v>
      </c>
      <c r="H523" s="95" t="n">
        <v>-9.300000000000001</v>
      </c>
      <c r="I523" s="95" t="n">
        <v>-11.3</v>
      </c>
      <c r="J523" s="95" t="n">
        <v>-0.7</v>
      </c>
      <c r="K523" s="96" t="inlineStr">
        <is>
          <t>1490 CHESHI</t>
        </is>
      </c>
    </row>
    <row r="524">
      <c r="A524" s="16" t="inlineStr">
        <is>
          <t>Goldstream Capital Management Limited</t>
        </is>
      </c>
      <c r="B524" s="89" t="n">
        <v>1</v>
      </c>
      <c r="C524" s="94" t="n">
        <v>100</v>
      </c>
      <c r="D524" s="95" t="n">
        <v>21.9</v>
      </c>
      <c r="E524" s="95" t="n">
        <v>10.6</v>
      </c>
      <c r="F524" s="95" t="n">
        <v>8.1</v>
      </c>
      <c r="G524" s="95" t="n">
        <v>21.1</v>
      </c>
      <c r="H524" s="95" t="n">
        <v>-9.300000000000001</v>
      </c>
      <c r="I524" s="95" t="n">
        <v>-11.3</v>
      </c>
      <c r="J524" s="95" t="n">
        <v>-0.7</v>
      </c>
      <c r="K524" s="96" t="inlineStr">
        <is>
          <t>1490 CHESHI</t>
        </is>
      </c>
    </row>
    <row r="525">
      <c r="A525" s="16" t="inlineStr">
        <is>
          <t>Shimmering Skyline L.P</t>
        </is>
      </c>
      <c r="B525" s="89" t="n">
        <v>1</v>
      </c>
      <c r="C525" s="94" t="n">
        <v>100</v>
      </c>
      <c r="D525" s="95" t="n">
        <v>21.9</v>
      </c>
      <c r="E525" s="95" t="n">
        <v>10.6</v>
      </c>
      <c r="F525" s="95" t="n">
        <v>8.1</v>
      </c>
      <c r="G525" s="95" t="n">
        <v>21.1</v>
      </c>
      <c r="H525" s="95" t="n">
        <v>-9.300000000000001</v>
      </c>
      <c r="I525" s="95" t="n">
        <v>-11.3</v>
      </c>
      <c r="J525" s="95" t="n">
        <v>-0.7</v>
      </c>
      <c r="K525" s="96" t="inlineStr">
        <is>
          <t>1490 CHESHI</t>
        </is>
      </c>
    </row>
    <row r="526">
      <c r="A526" s="16" t="inlineStr">
        <is>
          <t>Pingtan Xinghang Investment</t>
        </is>
      </c>
      <c r="B526" s="89" t="n">
        <v>1</v>
      </c>
      <c r="C526" s="94" t="n">
        <v>100</v>
      </c>
      <c r="D526" s="95" t="n">
        <v>21.4</v>
      </c>
      <c r="E526" s="95" t="n">
        <v>-16.8</v>
      </c>
      <c r="F526" s="95" t="n">
        <v>-34.6</v>
      </c>
      <c r="G526" s="95" t="n">
        <v>-34.9</v>
      </c>
      <c r="H526" s="95" t="n">
        <v>-31.5</v>
      </c>
      <c r="I526" s="95" t="n">
        <v>-46.1</v>
      </c>
      <c r="J526" s="95" t="n">
        <v>-46.4</v>
      </c>
      <c r="K526" s="96" t="inlineStr">
        <is>
          <t>2573 NEWTREND GROUP</t>
        </is>
      </c>
    </row>
    <row r="527">
      <c r="A527" s="16" t="inlineStr">
        <is>
          <t>Ms. Huang</t>
        </is>
      </c>
      <c r="B527" s="89" t="n">
        <v>1</v>
      </c>
      <c r="C527" s="94" t="n">
        <v>100</v>
      </c>
      <c r="D527" s="95" t="n">
        <v>21.4</v>
      </c>
      <c r="E527" s="95" t="n">
        <v>-16.8</v>
      </c>
      <c r="F527" s="95" t="n">
        <v>-34.6</v>
      </c>
      <c r="G527" s="95" t="n">
        <v>-34.9</v>
      </c>
      <c r="H527" s="95" t="n">
        <v>-31.5</v>
      </c>
      <c r="I527" s="95" t="n">
        <v>-46.1</v>
      </c>
      <c r="J527" s="95" t="n">
        <v>-46.4</v>
      </c>
      <c r="K527" s="96" t="inlineStr">
        <is>
          <t>2573 NEWTREND GROUP</t>
        </is>
      </c>
    </row>
    <row r="528">
      <c r="A528" s="16" t="inlineStr">
        <is>
          <t>Ms. He</t>
        </is>
      </c>
      <c r="B528" s="89" t="n">
        <v>1</v>
      </c>
      <c r="C528" s="94" t="n">
        <v>100</v>
      </c>
      <c r="D528" s="95" t="n">
        <v>21.4</v>
      </c>
      <c r="E528" s="95" t="n">
        <v>-16.8</v>
      </c>
      <c r="F528" s="95" t="n">
        <v>-34.6</v>
      </c>
      <c r="G528" s="95" t="n">
        <v>-34.9</v>
      </c>
      <c r="H528" s="95" t="n">
        <v>-31.5</v>
      </c>
      <c r="I528" s="95" t="n">
        <v>-46.1</v>
      </c>
      <c r="J528" s="95" t="n">
        <v>-46.4</v>
      </c>
      <c r="K528" s="96" t="inlineStr">
        <is>
          <t>2573 NEWTREND GROUP</t>
        </is>
      </c>
    </row>
    <row r="529">
      <c r="A529" s="16" t="inlineStr">
        <is>
          <t>Ms. Chen</t>
        </is>
      </c>
      <c r="B529" s="89" t="n">
        <v>1</v>
      </c>
      <c r="C529" s="94" t="n">
        <v>100</v>
      </c>
      <c r="D529" s="95" t="n">
        <v>21.4</v>
      </c>
      <c r="E529" s="95" t="n">
        <v>-16.8</v>
      </c>
      <c r="F529" s="95" t="n">
        <v>-34.6</v>
      </c>
      <c r="G529" s="95" t="n">
        <v>-34.9</v>
      </c>
      <c r="H529" s="95" t="n">
        <v>-31.5</v>
      </c>
      <c r="I529" s="95" t="n">
        <v>-46.1</v>
      </c>
      <c r="J529" s="95" t="n">
        <v>-46.4</v>
      </c>
      <c r="K529" s="96" t="inlineStr">
        <is>
          <t>2573 NEWTREND GROUP</t>
        </is>
      </c>
    </row>
    <row r="530">
      <c r="A530" s="16" t="inlineStr">
        <is>
          <t>He Win Hong Kong Holdings</t>
        </is>
      </c>
      <c r="B530" s="89" t="n">
        <v>1</v>
      </c>
      <c r="C530" s="94" t="n">
        <v>100</v>
      </c>
      <c r="D530" s="95" t="n">
        <v>21.4</v>
      </c>
      <c r="E530" s="95" t="n">
        <v>-16.8</v>
      </c>
      <c r="F530" s="95" t="n">
        <v>-34.6</v>
      </c>
      <c r="G530" s="95" t="n">
        <v>-34.9</v>
      </c>
      <c r="H530" s="95" t="n">
        <v>-31.5</v>
      </c>
      <c r="I530" s="95" t="n">
        <v>-46.1</v>
      </c>
      <c r="J530" s="95" t="n">
        <v>-46.4</v>
      </c>
      <c r="K530" s="96" t="inlineStr">
        <is>
          <t>2573 NEWTREND GROUP</t>
        </is>
      </c>
    </row>
    <row r="531">
      <c r="A531" s="16" t="inlineStr">
        <is>
          <t>Apex Insight Investment L.P</t>
        </is>
      </c>
      <c r="B531" s="89" t="n">
        <v>1</v>
      </c>
      <c r="C531" s="94" t="n">
        <v>100</v>
      </c>
      <c r="D531" s="95" t="n">
        <v>21.3</v>
      </c>
      <c r="E531" s="95" t="n">
        <v>11.2</v>
      </c>
      <c r="F531" s="95" t="n">
        <v>38.7</v>
      </c>
      <c r="G531" s="95" t="n"/>
      <c r="H531" s="95" t="n">
        <v>-8.300000000000001</v>
      </c>
      <c r="I531" s="95" t="n">
        <v>14.4</v>
      </c>
      <c r="J531" s="95" t="n"/>
      <c r="K531" s="96" t="inlineStr">
        <is>
          <t>3388 CREALITY</t>
        </is>
      </c>
    </row>
    <row r="532">
      <c r="A532" s="16" t="inlineStr">
        <is>
          <t>Colloway Group Limited</t>
        </is>
      </c>
      <c r="B532" s="89" t="n">
        <v>1</v>
      </c>
      <c r="C532" s="94" t="n">
        <v>100</v>
      </c>
      <c r="D532" s="95" t="n">
        <v>21.3</v>
      </c>
      <c r="E532" s="95" t="n">
        <v>11.2</v>
      </c>
      <c r="F532" s="95" t="n">
        <v>38.7</v>
      </c>
      <c r="G532" s="95" t="n"/>
      <c r="H532" s="95" t="n">
        <v>-8.300000000000001</v>
      </c>
      <c r="I532" s="95" t="n">
        <v>14.4</v>
      </c>
      <c r="J532" s="95" t="n"/>
      <c r="K532" s="96" t="inlineStr">
        <is>
          <t>3388 CREALITY</t>
        </is>
      </c>
    </row>
    <row r="533">
      <c r="A533" s="16" t="inlineStr">
        <is>
          <t>Dingxin (Securities) Limited</t>
        </is>
      </c>
      <c r="B533" s="89" t="n">
        <v>1</v>
      </c>
      <c r="C533" s="94" t="n">
        <v>100</v>
      </c>
      <c r="D533" s="95" t="n">
        <v>21.3</v>
      </c>
      <c r="E533" s="95" t="n">
        <v>11.2</v>
      </c>
      <c r="F533" s="95" t="n">
        <v>38.7</v>
      </c>
      <c r="G533" s="95" t="n"/>
      <c r="H533" s="95" t="n">
        <v>-8.300000000000001</v>
      </c>
      <c r="I533" s="95" t="n">
        <v>14.4</v>
      </c>
      <c r="J533" s="95" t="n"/>
      <c r="K533" s="96" t="inlineStr">
        <is>
          <t>3388 CREALITY</t>
        </is>
      </c>
    </row>
    <row r="534">
      <c r="A534" s="16" t="inlineStr">
        <is>
          <t>GBA Homeland Limited</t>
        </is>
      </c>
      <c r="B534" s="89" t="n">
        <v>1</v>
      </c>
      <c r="C534" s="94" t="n">
        <v>100</v>
      </c>
      <c r="D534" s="95" t="n">
        <v>21.3</v>
      </c>
      <c r="E534" s="95" t="n">
        <v>11.2</v>
      </c>
      <c r="F534" s="95" t="n">
        <v>38.7</v>
      </c>
      <c r="G534" s="95" t="n"/>
      <c r="H534" s="95" t="n">
        <v>-8.300000000000001</v>
      </c>
      <c r="I534" s="95" t="n">
        <v>14.4</v>
      </c>
      <c r="J534" s="95" t="n"/>
      <c r="K534" s="96" t="inlineStr">
        <is>
          <t>3388 CREALITY</t>
        </is>
      </c>
    </row>
    <row r="535">
      <c r="A535" s="16" t="inlineStr">
        <is>
          <t>Optimas ACM Fund LP</t>
        </is>
      </c>
      <c r="B535" s="89" t="n">
        <v>1</v>
      </c>
      <c r="C535" s="94" t="n">
        <v>100</v>
      </c>
      <c r="D535" s="95" t="n">
        <v>21.3</v>
      </c>
      <c r="E535" s="95" t="n">
        <v>11.2</v>
      </c>
      <c r="F535" s="95" t="n">
        <v>38.7</v>
      </c>
      <c r="G535" s="95" t="n"/>
      <c r="H535" s="95" t="n">
        <v>-8.300000000000001</v>
      </c>
      <c r="I535" s="95" t="n">
        <v>14.4</v>
      </c>
      <c r="J535" s="95" t="n"/>
      <c r="K535" s="96" t="inlineStr">
        <is>
          <t>3388 CREALITY</t>
        </is>
      </c>
    </row>
    <row r="536">
      <c r="A536" s="16" t="inlineStr">
        <is>
          <t>Yuyao Yangming Equity Investment Fund Co., Ltd</t>
        </is>
      </c>
      <c r="B536" s="89" t="n">
        <v>1</v>
      </c>
      <c r="C536" s="94" t="n">
        <v>100</v>
      </c>
      <c r="D536" s="95" t="n">
        <v>20.9</v>
      </c>
      <c r="E536" s="95" t="n">
        <v>22.3</v>
      </c>
      <c r="F536" s="95" t="n">
        <v>16.5</v>
      </c>
      <c r="G536" s="95" t="n">
        <v>10.4</v>
      </c>
      <c r="H536" s="95" t="n">
        <v>1.2</v>
      </c>
      <c r="I536" s="95" t="n">
        <v>-3.6</v>
      </c>
      <c r="J536" s="95" t="n">
        <v>-8.699999999999999</v>
      </c>
      <c r="K536" s="96" t="inlineStr">
        <is>
          <t>2105 LAEKNA-B</t>
        </is>
      </c>
    </row>
    <row r="537">
      <c r="A537" s="16" t="inlineStr">
        <is>
          <t>Guosen (HK) Financial Products Company Limited</t>
        </is>
      </c>
      <c r="B537" s="89" t="n">
        <v>1</v>
      </c>
      <c r="C537" s="94" t="n">
        <v>100</v>
      </c>
      <c r="D537" s="95" t="n">
        <v>20.6</v>
      </c>
      <c r="E537" s="95" t="n">
        <v>30.7</v>
      </c>
      <c r="F537" s="95" t="n">
        <v>47.6</v>
      </c>
      <c r="G537" s="95" t="n">
        <v>62.9</v>
      </c>
      <c r="H537" s="95" t="n">
        <v>8.300000000000001</v>
      </c>
      <c r="I537" s="95" t="n">
        <v>22.4</v>
      </c>
      <c r="J537" s="95" t="n">
        <v>35</v>
      </c>
      <c r="K537" s="96" t="inlineStr">
        <is>
          <t>2637 HAIXI PHARMA</t>
        </is>
      </c>
    </row>
    <row r="538">
      <c r="A538" s="16" t="inlineStr">
        <is>
          <t>Zhuhai Gokin New Energy Investment Co., Ltd</t>
        </is>
      </c>
      <c r="B538" s="89" t="n">
        <v>1</v>
      </c>
      <c r="C538" s="94" t="n">
        <v>100</v>
      </c>
      <c r="D538" s="95" t="n">
        <v>20.1</v>
      </c>
      <c r="E538" s="95" t="n">
        <v>3.6</v>
      </c>
      <c r="F538" s="95" t="n">
        <v>8.1</v>
      </c>
      <c r="G538" s="95" t="n">
        <v>-2.5</v>
      </c>
      <c r="H538" s="95" t="n">
        <v>-13.7</v>
      </c>
      <c r="I538" s="95" t="n">
        <v>-10</v>
      </c>
      <c r="J538" s="95" t="n">
        <v>-18.8</v>
      </c>
      <c r="K538" s="96" t="inlineStr">
        <is>
          <t>2865 DRINDA</t>
        </is>
      </c>
    </row>
    <row r="539">
      <c r="A539" s="16" t="inlineStr">
        <is>
          <t>Modern Direct Investment New Energy Technology Co., Limited</t>
        </is>
      </c>
      <c r="B539" s="89" t="n">
        <v>1</v>
      </c>
      <c r="C539" s="94" t="n">
        <v>100</v>
      </c>
      <c r="D539" s="95" t="n">
        <v>20.1</v>
      </c>
      <c r="E539" s="95" t="n">
        <v>3.6</v>
      </c>
      <c r="F539" s="95" t="n">
        <v>8.1</v>
      </c>
      <c r="G539" s="95" t="n">
        <v>-2.5</v>
      </c>
      <c r="H539" s="95" t="n">
        <v>-13.7</v>
      </c>
      <c r="I539" s="95" t="n">
        <v>-10</v>
      </c>
      <c r="J539" s="95" t="n">
        <v>-18.8</v>
      </c>
      <c r="K539" s="96" t="inlineStr">
        <is>
          <t>2865 DRINDA</t>
        </is>
      </c>
    </row>
    <row r="540">
      <c r="A540" s="16" t="inlineStr">
        <is>
          <t>Yue Chuang New Energy HK Limited</t>
        </is>
      </c>
      <c r="B540" s="89" t="n">
        <v>1</v>
      </c>
      <c r="C540" s="94" t="n">
        <v>100</v>
      </c>
      <c r="D540" s="95" t="n">
        <v>20</v>
      </c>
      <c r="E540" s="95" t="n">
        <v>48.5</v>
      </c>
      <c r="F540" s="95" t="n">
        <v>69.8</v>
      </c>
      <c r="G540" s="95" t="n">
        <v>132.2</v>
      </c>
      <c r="H540" s="95" t="n">
        <v>23.8</v>
      </c>
      <c r="I540" s="95" t="n">
        <v>41.5</v>
      </c>
      <c r="J540" s="95" t="n">
        <v>93.5</v>
      </c>
      <c r="K540" s="96" t="inlineStr">
        <is>
          <t>2582 GUOFUHEE</t>
        </is>
      </c>
    </row>
    <row r="541">
      <c r="A541" s="16" t="inlineStr">
        <is>
          <t>Barjai Trading Company Limited</t>
        </is>
      </c>
      <c r="B541" s="89" t="n">
        <v>1</v>
      </c>
      <c r="C541" s="94" t="n">
        <v>100</v>
      </c>
      <c r="D541" s="95" t="n">
        <v>18.5</v>
      </c>
      <c r="E541" s="95" t="n">
        <v>40</v>
      </c>
      <c r="F541" s="95" t="n">
        <v>90.2</v>
      </c>
      <c r="G541" s="95" t="n">
        <v>125.3</v>
      </c>
      <c r="H541" s="95" t="n">
        <v>18.2</v>
      </c>
      <c r="I541" s="95" t="n">
        <v>60.6</v>
      </c>
      <c r="J541" s="95" t="n">
        <v>90.2</v>
      </c>
      <c r="K541" s="96" t="inlineStr">
        <is>
          <t>2556 MARKETINGFORCE</t>
        </is>
      </c>
    </row>
    <row r="542">
      <c r="A542" s="16" t="inlineStr">
        <is>
          <t>VH Nanchang Donghu Asset Capital LPF</t>
        </is>
      </c>
      <c r="B542" s="89" t="n">
        <v>1</v>
      </c>
      <c r="C542" s="94" t="n">
        <v>100</v>
      </c>
      <c r="D542" s="95" t="n">
        <v>18.5</v>
      </c>
      <c r="E542" s="95" t="n">
        <v>40</v>
      </c>
      <c r="F542" s="95" t="n">
        <v>90.2</v>
      </c>
      <c r="G542" s="95" t="n">
        <v>125.3</v>
      </c>
      <c r="H542" s="95" t="n">
        <v>18.2</v>
      </c>
      <c r="I542" s="95" t="n">
        <v>60.6</v>
      </c>
      <c r="J542" s="95" t="n">
        <v>90.2</v>
      </c>
      <c r="K542" s="96" t="inlineStr">
        <is>
          <t>2556 MARKETINGFORCE</t>
        </is>
      </c>
    </row>
    <row r="543">
      <c r="A543" s="16" t="inlineStr">
        <is>
          <t>Kuwait Investment</t>
        </is>
      </c>
      <c r="B543" s="89" t="n">
        <v>1</v>
      </c>
      <c r="C543" s="94" t="n">
        <v>100</v>
      </c>
      <c r="D543" s="95" t="n">
        <v>16.4</v>
      </c>
      <c r="E543" s="95" t="n">
        <v>17.5</v>
      </c>
      <c r="F543" s="95" t="n">
        <v>16.5</v>
      </c>
      <c r="G543" s="95" t="n">
        <v>57.4</v>
      </c>
      <c r="H543" s="95" t="n">
        <v>0.9</v>
      </c>
      <c r="I543" s="95" t="n">
        <v>0.1</v>
      </c>
      <c r="J543" s="95" t="n">
        <v>35.2</v>
      </c>
      <c r="K543" s="96" t="inlineStr">
        <is>
          <t>3750 CATL</t>
        </is>
      </c>
    </row>
    <row r="544">
      <c r="A544" s="16" t="inlineStr">
        <is>
          <t>Zenith Hop International Limited</t>
        </is>
      </c>
      <c r="B544" s="89" t="n">
        <v>1</v>
      </c>
      <c r="C544" s="94" t="n">
        <v>100</v>
      </c>
      <c r="D544" s="95" t="n">
        <v>16.4</v>
      </c>
      <c r="E544" s="95" t="n">
        <v>17.5</v>
      </c>
      <c r="F544" s="95" t="n">
        <v>16.5</v>
      </c>
      <c r="G544" s="95" t="n">
        <v>57.4</v>
      </c>
      <c r="H544" s="95" t="n">
        <v>0.9</v>
      </c>
      <c r="I544" s="95" t="n">
        <v>0.1</v>
      </c>
      <c r="J544" s="95" t="n">
        <v>35.2</v>
      </c>
      <c r="K544" s="96" t="inlineStr">
        <is>
          <t>3750 CATL</t>
        </is>
      </c>
    </row>
    <row r="545">
      <c r="A545" s="16" t="inlineStr">
        <is>
          <t>UG Investment</t>
        </is>
      </c>
      <c r="B545" s="89" t="n">
        <v>1</v>
      </c>
      <c r="C545" s="94" t="n">
        <v>100</v>
      </c>
      <c r="D545" s="95" t="n">
        <v>16.2</v>
      </c>
      <c r="E545" s="95" t="n">
        <v>11.2</v>
      </c>
      <c r="F545" s="95" t="n">
        <v>-0.1</v>
      </c>
      <c r="G545" s="95" t="n">
        <v>-25.1</v>
      </c>
      <c r="H545" s="95" t="n">
        <v>-4.3</v>
      </c>
      <c r="I545" s="95" t="n">
        <v>-14</v>
      </c>
      <c r="J545" s="95" t="n">
        <v>-35.5</v>
      </c>
      <c r="K545" s="96" t="inlineStr">
        <is>
          <t>0501 OMNIVISION</t>
        </is>
      </c>
    </row>
    <row r="546">
      <c r="A546" s="16" t="inlineStr">
        <is>
          <t>OPPO (Tiantian Trading)</t>
        </is>
      </c>
      <c r="B546" s="89" t="n">
        <v>1</v>
      </c>
      <c r="C546" s="94" t="n">
        <v>100</v>
      </c>
      <c r="D546" s="95" t="n">
        <v>16.2</v>
      </c>
      <c r="E546" s="95" t="n">
        <v>11.2</v>
      </c>
      <c r="F546" s="95" t="n">
        <v>-0.1</v>
      </c>
      <c r="G546" s="95" t="n">
        <v>-25.1</v>
      </c>
      <c r="H546" s="95" t="n">
        <v>-4.3</v>
      </c>
      <c r="I546" s="95" t="n">
        <v>-14</v>
      </c>
      <c r="J546" s="95" t="n">
        <v>-35.5</v>
      </c>
      <c r="K546" s="96" t="inlineStr">
        <is>
          <t>0501 OMNIVISION</t>
        </is>
      </c>
    </row>
    <row r="547">
      <c r="A547" s="16" t="inlineStr">
        <is>
          <t>Torus</t>
        </is>
      </c>
      <c r="B547" s="89" t="n">
        <v>1</v>
      </c>
      <c r="C547" s="94" t="n">
        <v>100</v>
      </c>
      <c r="D547" s="95" t="n">
        <v>16</v>
      </c>
      <c r="E547" s="95" t="n">
        <v>25.8</v>
      </c>
      <c r="F547" s="95" t="n">
        <v>30.9</v>
      </c>
      <c r="G547" s="95" t="n">
        <v>65.09999999999999</v>
      </c>
      <c r="H547" s="95" t="n">
        <v>8.4</v>
      </c>
      <c r="I547" s="95" t="n">
        <v>12.8</v>
      </c>
      <c r="J547" s="95" t="n">
        <v>42.3</v>
      </c>
      <c r="K547" s="96" t="inlineStr">
        <is>
          <t>1304 FORTIOR</t>
        </is>
      </c>
    </row>
    <row r="548">
      <c r="A548" s="16" t="inlineStr">
        <is>
          <t>Intac</t>
        </is>
      </c>
      <c r="B548" s="89" t="n">
        <v>1</v>
      </c>
      <c r="C548" s="94" t="n">
        <v>100</v>
      </c>
      <c r="D548" s="95" t="n">
        <v>16</v>
      </c>
      <c r="E548" s="95" t="n">
        <v>25.8</v>
      </c>
      <c r="F548" s="95" t="n">
        <v>30.9</v>
      </c>
      <c r="G548" s="95" t="n">
        <v>65.09999999999999</v>
      </c>
      <c r="H548" s="95" t="n">
        <v>8.4</v>
      </c>
      <c r="I548" s="95" t="n">
        <v>12.8</v>
      </c>
      <c r="J548" s="95" t="n">
        <v>42.3</v>
      </c>
      <c r="K548" s="96" t="inlineStr">
        <is>
          <t>1304 FORTIOR</t>
        </is>
      </c>
    </row>
    <row r="549">
      <c r="A549" s="16" t="inlineStr">
        <is>
          <t>Franklin Templeton Sealand Fund Management Co., Ltd</t>
        </is>
      </c>
      <c r="B549" s="89" t="n">
        <v>1</v>
      </c>
      <c r="C549" s="94" t="n">
        <v>100</v>
      </c>
      <c r="D549" s="95" t="n">
        <v>15.7</v>
      </c>
      <c r="E549" s="95" t="n">
        <v>1.3</v>
      </c>
      <c r="F549" s="95" t="n">
        <v>10.6</v>
      </c>
      <c r="G549" s="95" t="n"/>
      <c r="H549" s="95" t="n">
        <v>-12.4</v>
      </c>
      <c r="I549" s="95" t="n">
        <v>-4.4</v>
      </c>
      <c r="J549" s="95" t="n"/>
      <c r="K549" s="96" t="inlineStr">
        <is>
          <t>0668 ANKER</t>
        </is>
      </c>
    </row>
    <row r="550">
      <c r="A550" s="16" t="inlineStr">
        <is>
          <t>HACF, L.P</t>
        </is>
      </c>
      <c r="B550" s="89" t="n">
        <v>1</v>
      </c>
      <c r="C550" s="94" t="n">
        <v>100</v>
      </c>
      <c r="D550" s="95" t="n">
        <v>15.7</v>
      </c>
      <c r="E550" s="95" t="n">
        <v>1.3</v>
      </c>
      <c r="F550" s="95" t="n">
        <v>10.6</v>
      </c>
      <c r="G550" s="95" t="n"/>
      <c r="H550" s="95" t="n">
        <v>-12.4</v>
      </c>
      <c r="I550" s="95" t="n">
        <v>-4.4</v>
      </c>
      <c r="J550" s="95" t="n"/>
      <c r="K550" s="96" t="inlineStr">
        <is>
          <t>0668 ANKER</t>
        </is>
      </c>
    </row>
    <row r="551">
      <c r="A551" s="16" t="inlineStr">
        <is>
          <t>Principal Asset Management Company (Asia) Limited</t>
        </is>
      </c>
      <c r="B551" s="89" t="n">
        <v>1</v>
      </c>
      <c r="C551" s="94" t="n">
        <v>100</v>
      </c>
      <c r="D551" s="95" t="n">
        <v>15.7</v>
      </c>
      <c r="E551" s="95" t="n">
        <v>1.3</v>
      </c>
      <c r="F551" s="95" t="n">
        <v>10.6</v>
      </c>
      <c r="G551" s="95" t="n"/>
      <c r="H551" s="95" t="n">
        <v>-12.4</v>
      </c>
      <c r="I551" s="95" t="n">
        <v>-4.4</v>
      </c>
      <c r="J551" s="95" t="n"/>
      <c r="K551" s="96" t="inlineStr">
        <is>
          <t>0668 ANKER</t>
        </is>
      </c>
    </row>
    <row r="552">
      <c r="A552" s="16" t="inlineStr">
        <is>
          <t>All View Focus Fund LPF</t>
        </is>
      </c>
      <c r="B552" s="89" t="n">
        <v>1</v>
      </c>
      <c r="C552" s="94" t="n">
        <v>100</v>
      </c>
      <c r="D552" s="95" t="n">
        <v>15.2</v>
      </c>
      <c r="E552" s="95" t="n">
        <v>28.6</v>
      </c>
      <c r="F552" s="95" t="n">
        <v>89</v>
      </c>
      <c r="G552" s="95" t="n"/>
      <c r="H552" s="95" t="n">
        <v>11.7</v>
      </c>
      <c r="I552" s="95" t="n">
        <v>64</v>
      </c>
      <c r="J552" s="95" t="n"/>
      <c r="K552" s="96" t="inlineStr">
        <is>
          <t>3752 ROKAE ROBOTICS</t>
        </is>
      </c>
    </row>
    <row r="553">
      <c r="A553" s="16" t="inlineStr">
        <is>
          <t>Beijing Financial Street Capital Operation Group Co., Ltd</t>
        </is>
      </c>
      <c r="B553" s="89" t="n">
        <v>1</v>
      </c>
      <c r="C553" s="94" t="n">
        <v>100</v>
      </c>
      <c r="D553" s="95" t="n">
        <v>15.2</v>
      </c>
      <c r="E553" s="95" t="n">
        <v>28.6</v>
      </c>
      <c r="F553" s="95" t="n">
        <v>89</v>
      </c>
      <c r="G553" s="95" t="n"/>
      <c r="H553" s="95" t="n">
        <v>11.7</v>
      </c>
      <c r="I553" s="95" t="n">
        <v>64</v>
      </c>
      <c r="J553" s="95" t="n"/>
      <c r="K553" s="96" t="inlineStr">
        <is>
          <t>3752 ROKAE ROBOTICS</t>
        </is>
      </c>
    </row>
    <row r="554">
      <c r="A554" s="16" t="inlineStr">
        <is>
          <t>China Travel Service (Holdings) Hong Kong Limited</t>
        </is>
      </c>
      <c r="B554" s="89" t="n">
        <v>1</v>
      </c>
      <c r="C554" s="94" t="n">
        <v>100</v>
      </c>
      <c r="D554" s="95" t="n">
        <v>15</v>
      </c>
      <c r="E554" s="95" t="n">
        <v>6.6</v>
      </c>
      <c r="F554" s="95" t="n">
        <v>-15</v>
      </c>
      <c r="G554" s="95" t="n">
        <v>-18.1</v>
      </c>
      <c r="H554" s="95" t="n">
        <v>-7.3</v>
      </c>
      <c r="I554" s="95" t="n">
        <v>-26.1</v>
      </c>
      <c r="J554" s="95" t="n">
        <v>-28.8</v>
      </c>
      <c r="K554" s="96" t="inlineStr">
        <is>
          <t>2460 CR BEVERAGE</t>
        </is>
      </c>
    </row>
    <row r="555">
      <c r="A555" s="16" t="inlineStr">
        <is>
          <t>Wildlife Willow Limited</t>
        </is>
      </c>
      <c r="B555" s="89" t="n">
        <v>1</v>
      </c>
      <c r="C555" s="94" t="n">
        <v>100</v>
      </c>
      <c r="D555" s="95" t="n">
        <v>15</v>
      </c>
      <c r="E555" s="95" t="n">
        <v>6.6</v>
      </c>
      <c r="F555" s="95" t="n">
        <v>-15</v>
      </c>
      <c r="G555" s="95" t="n">
        <v>-18.1</v>
      </c>
      <c r="H555" s="95" t="n">
        <v>-7.3</v>
      </c>
      <c r="I555" s="95" t="n">
        <v>-26.1</v>
      </c>
      <c r="J555" s="95" t="n">
        <v>-28.8</v>
      </c>
      <c r="K555" s="96" t="inlineStr">
        <is>
          <t>2460 CR BEVERAGE</t>
        </is>
      </c>
    </row>
    <row r="556">
      <c r="A556" s="16" t="inlineStr">
        <is>
          <t>Asia Pacific Limited</t>
        </is>
      </c>
      <c r="B556" s="89" t="n">
        <v>1</v>
      </c>
      <c r="C556" s="94" t="n">
        <v>100</v>
      </c>
      <c r="D556" s="95" t="n">
        <v>14.9</v>
      </c>
      <c r="E556" s="95" t="n">
        <v>30</v>
      </c>
      <c r="F556" s="95" t="n">
        <v>0.9</v>
      </c>
      <c r="G556" s="95" t="n">
        <v>-17.4</v>
      </c>
      <c r="H556" s="95" t="n">
        <v>13.1</v>
      </c>
      <c r="I556" s="95" t="n">
        <v>-12.2</v>
      </c>
      <c r="J556" s="95" t="n">
        <v>-28.2</v>
      </c>
      <c r="K556" s="96" t="inlineStr">
        <is>
          <t>2543 DAHON TECH</t>
        </is>
      </c>
    </row>
    <row r="557">
      <c r="A557" s="16" t="inlineStr">
        <is>
          <t>Allianz Global Investors Asia Pacific Limited</t>
        </is>
      </c>
      <c r="B557" s="89" t="n">
        <v>1</v>
      </c>
      <c r="C557" s="94" t="n">
        <v>100</v>
      </c>
      <c r="D557" s="95" t="n">
        <v>14.9</v>
      </c>
      <c r="E557" s="95" t="n">
        <v>30</v>
      </c>
      <c r="F557" s="95" t="n">
        <v>0.9</v>
      </c>
      <c r="G557" s="95" t="n">
        <v>-17.4</v>
      </c>
      <c r="H557" s="95" t="n">
        <v>13.1</v>
      </c>
      <c r="I557" s="95" t="n">
        <v>-12.2</v>
      </c>
      <c r="J557" s="95" t="n">
        <v>-28.2</v>
      </c>
      <c r="K557" s="96" t="inlineStr">
        <is>
          <t>2543 DAHON TECH</t>
        </is>
      </c>
    </row>
    <row r="558">
      <c r="A558" s="16" t="inlineStr">
        <is>
          <t>GBAD Fund Management</t>
        </is>
      </c>
      <c r="B558" s="89" t="n">
        <v>1</v>
      </c>
      <c r="C558" s="94" t="n">
        <v>100</v>
      </c>
      <c r="D558" s="95" t="n">
        <v>14.9</v>
      </c>
      <c r="E558" s="95" t="n">
        <v>30</v>
      </c>
      <c r="F558" s="95" t="n">
        <v>0.9</v>
      </c>
      <c r="G558" s="95" t="n">
        <v>-17.4</v>
      </c>
      <c r="H558" s="95" t="n">
        <v>13.1</v>
      </c>
      <c r="I558" s="95" t="n">
        <v>-12.2</v>
      </c>
      <c r="J558" s="95" t="n">
        <v>-28.2</v>
      </c>
      <c r="K558" s="96" t="inlineStr">
        <is>
          <t>2543 DAHON TECH</t>
        </is>
      </c>
    </row>
    <row r="559">
      <c r="A559" s="16" t="inlineStr">
        <is>
          <t>Dahon Tech Enterprise LP</t>
        </is>
      </c>
      <c r="B559" s="89" t="n">
        <v>1</v>
      </c>
      <c r="C559" s="94" t="n">
        <v>100</v>
      </c>
      <c r="D559" s="95" t="n">
        <v>14.9</v>
      </c>
      <c r="E559" s="95" t="n">
        <v>30</v>
      </c>
      <c r="F559" s="95" t="n">
        <v>0.9</v>
      </c>
      <c r="G559" s="95" t="n">
        <v>-17.4</v>
      </c>
      <c r="H559" s="95" t="n">
        <v>13.1</v>
      </c>
      <c r="I559" s="95" t="n">
        <v>-12.2</v>
      </c>
      <c r="J559" s="95" t="n">
        <v>-28.2</v>
      </c>
      <c r="K559" s="96" t="inlineStr">
        <is>
          <t>2543 DAHON TECH</t>
        </is>
      </c>
    </row>
    <row r="560">
      <c r="A560" s="16" t="inlineStr">
        <is>
          <t>Industrial Bank WM</t>
        </is>
      </c>
      <c r="B560" s="89" t="n">
        <v>1</v>
      </c>
      <c r="C560" s="94" t="n">
        <v>100</v>
      </c>
      <c r="D560" s="95" t="n">
        <v>14.8</v>
      </c>
      <c r="E560" s="95" t="n">
        <v>17.5</v>
      </c>
      <c r="F560" s="95" t="n">
        <v>21.9</v>
      </c>
      <c r="G560" s="95" t="n">
        <v>69.40000000000001</v>
      </c>
      <c r="H560" s="95" t="n">
        <v>2.4</v>
      </c>
      <c r="I560" s="95" t="n">
        <v>6.2</v>
      </c>
      <c r="J560" s="95" t="n">
        <v>47.5</v>
      </c>
      <c r="K560" s="96" t="inlineStr">
        <is>
          <t>3200 HANS CNC</t>
        </is>
      </c>
    </row>
    <row r="561">
      <c r="A561" s="16" t="inlineStr">
        <is>
          <t>Emsdom Limited</t>
        </is>
      </c>
      <c r="B561" s="89" t="n">
        <v>1</v>
      </c>
      <c r="C561" s="94" t="n">
        <v>100</v>
      </c>
      <c r="D561" s="95" t="n">
        <v>14.3</v>
      </c>
      <c r="E561" s="95" t="n">
        <v>9.5</v>
      </c>
      <c r="F561" s="95" t="n">
        <v>-19.1</v>
      </c>
      <c r="G561" s="95" t="n">
        <v>-15.2</v>
      </c>
      <c r="H561" s="95" t="n">
        <v>-4.2</v>
      </c>
      <c r="I561" s="95" t="n">
        <v>-29.2</v>
      </c>
      <c r="J561" s="95" t="n">
        <v>-25.8</v>
      </c>
      <c r="K561" s="96" t="inlineStr">
        <is>
          <t>1334 RUICHANG INTL</t>
        </is>
      </c>
    </row>
    <row r="562">
      <c r="A562" s="16" t="inlineStr">
        <is>
          <t>Shanghai Huijin Asset Management Co., Ltd</t>
        </is>
      </c>
      <c r="B562" s="89" t="n">
        <v>1</v>
      </c>
      <c r="C562" s="94" t="n">
        <v>100</v>
      </c>
      <c r="D562" s="95" t="n">
        <v>13.8</v>
      </c>
      <c r="E562" s="95" t="n">
        <v>26.5</v>
      </c>
      <c r="F562" s="95" t="n">
        <v>93.8</v>
      </c>
      <c r="G562" s="95" t="n">
        <v>61.5</v>
      </c>
      <c r="H562" s="95" t="n">
        <v>11.1</v>
      </c>
      <c r="I562" s="95" t="n">
        <v>70.3</v>
      </c>
      <c r="J562" s="95" t="n">
        <v>41.9</v>
      </c>
      <c r="K562" s="96" t="inlineStr">
        <is>
          <t>6616 GLOBAL NEW MAT</t>
        </is>
      </c>
    </row>
    <row r="563">
      <c r="A563" s="16" t="inlineStr">
        <is>
          <t>YBN Investments</t>
        </is>
      </c>
      <c r="B563" s="89" t="n">
        <v>1</v>
      </c>
      <c r="C563" s="94" t="n">
        <v>100</v>
      </c>
      <c r="D563" s="95" t="n">
        <v>13.8</v>
      </c>
      <c r="E563" s="95" t="n">
        <v>26.5</v>
      </c>
      <c r="F563" s="95" t="n">
        <v>93.8</v>
      </c>
      <c r="G563" s="95" t="n">
        <v>61.5</v>
      </c>
      <c r="H563" s="95" t="n">
        <v>11.1</v>
      </c>
      <c r="I563" s="95" t="n">
        <v>70.3</v>
      </c>
      <c r="J563" s="95" t="n">
        <v>41.9</v>
      </c>
      <c r="K563" s="96" t="inlineStr">
        <is>
          <t>6616 GLOBAL NEW MAT</t>
        </is>
      </c>
    </row>
    <row r="564">
      <c r="A564" s="16" t="inlineStr">
        <is>
          <t>Aether Wave Fund L.P</t>
        </is>
      </c>
      <c r="B564" s="89" t="n">
        <v>1</v>
      </c>
      <c r="C564" s="94" t="n">
        <v>100</v>
      </c>
      <c r="D564" s="95" t="n">
        <v>13.5</v>
      </c>
      <c r="E564" s="95" t="n">
        <v>3.9</v>
      </c>
      <c r="F564" s="95" t="n">
        <v>7.5</v>
      </c>
      <c r="G564" s="95" t="n">
        <v>-14</v>
      </c>
      <c r="H564" s="95" t="n">
        <v>-8.4</v>
      </c>
      <c r="I564" s="95" t="n">
        <v>-5.2</v>
      </c>
      <c r="J564" s="95" t="n">
        <v>-24.2</v>
      </c>
      <c r="K564" s="96" t="inlineStr">
        <is>
          <t>3355 FS.COM</t>
        </is>
      </c>
    </row>
    <row r="565">
      <c r="A565" s="16" t="inlineStr">
        <is>
          <t>Great Holding Development Limited</t>
        </is>
      </c>
      <c r="B565" s="89" t="n">
        <v>1</v>
      </c>
      <c r="C565" s="94" t="n">
        <v>100</v>
      </c>
      <c r="D565" s="95" t="n">
        <v>13.5</v>
      </c>
      <c r="E565" s="95" t="n">
        <v>3.9</v>
      </c>
      <c r="F565" s="95" t="n">
        <v>7.5</v>
      </c>
      <c r="G565" s="95" t="n">
        <v>-14</v>
      </c>
      <c r="H565" s="95" t="n">
        <v>-8.4</v>
      </c>
      <c r="I565" s="95" t="n">
        <v>-5.2</v>
      </c>
      <c r="J565" s="95" t="n">
        <v>-24.2</v>
      </c>
      <c r="K565" s="96" t="inlineStr">
        <is>
          <t>3355 FS.COM</t>
        </is>
      </c>
    </row>
    <row r="566">
      <c r="A566" s="16" t="inlineStr">
        <is>
          <t>Wider Huge Group Limited</t>
        </is>
      </c>
      <c r="B566" s="89" t="n">
        <v>1</v>
      </c>
      <c r="C566" s="94" t="n">
        <v>100</v>
      </c>
      <c r="D566" s="95" t="n">
        <v>13.5</v>
      </c>
      <c r="E566" s="95" t="n">
        <v>3.9</v>
      </c>
      <c r="F566" s="95" t="n">
        <v>7.5</v>
      </c>
      <c r="G566" s="95" t="n">
        <v>-14</v>
      </c>
      <c r="H566" s="95" t="n">
        <v>-8.4</v>
      </c>
      <c r="I566" s="95" t="n">
        <v>-5.2</v>
      </c>
      <c r="J566" s="95" t="n">
        <v>-24.2</v>
      </c>
      <c r="K566" s="96" t="inlineStr">
        <is>
          <t>3355 FS.COM</t>
        </is>
      </c>
    </row>
    <row r="567">
      <c r="A567" s="16" t="inlineStr">
        <is>
          <t>Health Vision Hong Kong Limited</t>
        </is>
      </c>
      <c r="B567" s="89" t="n">
        <v>1</v>
      </c>
      <c r="C567" s="94" t="n">
        <v>100</v>
      </c>
      <c r="D567" s="95" t="n">
        <v>13.4</v>
      </c>
      <c r="E567" s="95" t="n">
        <v>-3.2</v>
      </c>
      <c r="F567" s="95" t="n">
        <v>9.1</v>
      </c>
      <c r="G567" s="95" t="n">
        <v>-54.5</v>
      </c>
      <c r="H567" s="95" t="n">
        <v>-14.6</v>
      </c>
      <c r="I567" s="95" t="n">
        <v>-3.8</v>
      </c>
      <c r="J567" s="95" t="n">
        <v>-59.9</v>
      </c>
      <c r="K567" s="96" t="inlineStr">
        <is>
          <t>2677 DISTINCT HEALTH</t>
        </is>
      </c>
    </row>
    <row r="568">
      <c r="A568" s="16" t="inlineStr">
        <is>
          <t>KingMed Diagnostics (Hong Kong) Limited (ਹᏨ᜕ (ಥ)ʮ̡</t>
        </is>
      </c>
      <c r="B568" s="89" t="n">
        <v>1</v>
      </c>
      <c r="C568" s="94" t="n">
        <v>100</v>
      </c>
      <c r="D568" s="95" t="n">
        <v>13.4</v>
      </c>
      <c r="E568" s="95" t="n">
        <v>-3.2</v>
      </c>
      <c r="F568" s="95" t="n">
        <v>9.1</v>
      </c>
      <c r="G568" s="95" t="n">
        <v>-54.5</v>
      </c>
      <c r="H568" s="95" t="n">
        <v>-14.6</v>
      </c>
      <c r="I568" s="95" t="n">
        <v>-3.8</v>
      </c>
      <c r="J568" s="95" t="n">
        <v>-59.9</v>
      </c>
      <c r="K568" s="96" t="inlineStr">
        <is>
          <t>2677 DISTINCT HEALTH</t>
        </is>
      </c>
    </row>
    <row r="569">
      <c r="A569" s="16" t="inlineStr">
        <is>
          <t>Mininglamp Technology</t>
        </is>
      </c>
      <c r="B569" s="89" t="n">
        <v>1</v>
      </c>
      <c r="C569" s="94" t="n">
        <v>100</v>
      </c>
      <c r="D569" s="95" t="n">
        <v>13.4</v>
      </c>
      <c r="E569" s="95" t="n">
        <v>-3.2</v>
      </c>
      <c r="F569" s="95" t="n">
        <v>9.1</v>
      </c>
      <c r="G569" s="95" t="n">
        <v>-54.5</v>
      </c>
      <c r="H569" s="95" t="n">
        <v>-14.6</v>
      </c>
      <c r="I569" s="95" t="n">
        <v>-3.8</v>
      </c>
      <c r="J569" s="95" t="n">
        <v>-59.9</v>
      </c>
      <c r="K569" s="96" t="inlineStr">
        <is>
          <t>2677 DISTINCT HEALTH</t>
        </is>
      </c>
    </row>
    <row r="570">
      <c r="A570" s="16" t="inlineStr">
        <is>
          <t>Awinic Technology Limited</t>
        </is>
      </c>
      <c r="B570" s="89" t="n">
        <v>1</v>
      </c>
      <c r="C570" s="94" t="n">
        <v>100</v>
      </c>
      <c r="D570" s="95" t="n">
        <v>13.3</v>
      </c>
      <c r="E570" s="95" t="n">
        <v>17.1</v>
      </c>
      <c r="F570" s="95" t="n">
        <v>52.2</v>
      </c>
      <c r="G570" s="95" t="n">
        <v>21.2</v>
      </c>
      <c r="H570" s="95" t="n">
        <v>3.4</v>
      </c>
      <c r="I570" s="95" t="n">
        <v>34.4</v>
      </c>
      <c r="J570" s="95" t="n">
        <v>7</v>
      </c>
      <c r="K570" s="96" t="inlineStr">
        <is>
          <t>3296 HUAQIN</t>
        </is>
      </c>
    </row>
    <row r="571">
      <c r="A571" s="16" t="inlineStr">
        <is>
          <t>Cloud Map Holdings Limited</t>
        </is>
      </c>
      <c r="B571" s="89" t="n">
        <v>1</v>
      </c>
      <c r="C571" s="94" t="n">
        <v>100</v>
      </c>
      <c r="D571" s="95" t="n">
        <v>13.3</v>
      </c>
      <c r="E571" s="95" t="n">
        <v>17.1</v>
      </c>
      <c r="F571" s="95" t="n">
        <v>52.2</v>
      </c>
      <c r="G571" s="95" t="n">
        <v>21.2</v>
      </c>
      <c r="H571" s="95" t="n">
        <v>3.4</v>
      </c>
      <c r="I571" s="95" t="n">
        <v>34.4</v>
      </c>
      <c r="J571" s="95" t="n">
        <v>7</v>
      </c>
      <c r="K571" s="96" t="inlineStr">
        <is>
          <t>3296 HUAQIN</t>
        </is>
      </c>
    </row>
    <row r="572">
      <c r="A572" s="16" t="inlineStr">
        <is>
          <t>Ingenic Semiconductor (HongKong) Group Limited</t>
        </is>
      </c>
      <c r="B572" s="89" t="n">
        <v>1</v>
      </c>
      <c r="C572" s="94" t="n">
        <v>100</v>
      </c>
      <c r="D572" s="95" t="n">
        <v>13.3</v>
      </c>
      <c r="E572" s="95" t="n">
        <v>17.1</v>
      </c>
      <c r="F572" s="95" t="n">
        <v>52.2</v>
      </c>
      <c r="G572" s="95" t="n">
        <v>21.2</v>
      </c>
      <c r="H572" s="95" t="n">
        <v>3.4</v>
      </c>
      <c r="I572" s="95" t="n">
        <v>34.4</v>
      </c>
      <c r="J572" s="95" t="n">
        <v>7</v>
      </c>
      <c r="K572" s="96" t="inlineStr">
        <is>
          <t>3296 HUAQIN</t>
        </is>
      </c>
    </row>
    <row r="573">
      <c r="A573" s="16" t="inlineStr">
        <is>
          <t>Ung Choi Kun</t>
        </is>
      </c>
      <c r="B573" s="89" t="n">
        <v>1</v>
      </c>
      <c r="C573" s="94" t="n">
        <v>100</v>
      </c>
      <c r="D573" s="95" t="n">
        <v>13</v>
      </c>
      <c r="E573" s="95" t="n">
        <v>13</v>
      </c>
      <c r="F573" s="95" t="n">
        <v>10.2</v>
      </c>
      <c r="G573" s="95" t="n">
        <v>-3.7</v>
      </c>
      <c r="H573" s="95" t="n">
        <v>0</v>
      </c>
      <c r="I573" s="95" t="n">
        <v>-2.5</v>
      </c>
      <c r="J573" s="95" t="n">
        <v>-14.8</v>
      </c>
      <c r="K573" s="96" t="inlineStr">
        <is>
          <t>1204 BOARDWARE INTEL</t>
        </is>
      </c>
    </row>
    <row r="574">
      <c r="A574" s="16" t="inlineStr">
        <is>
          <t>Corelink Group Limited</t>
        </is>
      </c>
      <c r="B574" s="89" t="n">
        <v>1</v>
      </c>
      <c r="C574" s="94" t="n">
        <v>100</v>
      </c>
      <c r="D574" s="95" t="n">
        <v>12</v>
      </c>
      <c r="E574" s="95" t="n">
        <v>1.6</v>
      </c>
      <c r="F574" s="95" t="n">
        <v>0.7</v>
      </c>
      <c r="G574" s="95" t="n">
        <v>20</v>
      </c>
      <c r="H574" s="95" t="n">
        <v>-9.300000000000001</v>
      </c>
      <c r="I574" s="95" t="n">
        <v>-10.1</v>
      </c>
      <c r="J574" s="95" t="n">
        <v>7.1</v>
      </c>
      <c r="K574" s="96" t="inlineStr">
        <is>
          <t>9860 ADICON HOLDINGS</t>
        </is>
      </c>
    </row>
    <row r="575">
      <c r="A575" s="16" t="inlineStr">
        <is>
          <t>MR Global (HK) Limited</t>
        </is>
      </c>
      <c r="B575" s="89" t="n">
        <v>1</v>
      </c>
      <c r="C575" s="94" t="n">
        <v>100</v>
      </c>
      <c r="D575" s="95" t="n">
        <v>12</v>
      </c>
      <c r="E575" s="95" t="n">
        <v>1.6</v>
      </c>
      <c r="F575" s="95" t="n">
        <v>0.7</v>
      </c>
      <c r="G575" s="95" t="n">
        <v>20</v>
      </c>
      <c r="H575" s="95" t="n">
        <v>-9.300000000000001</v>
      </c>
      <c r="I575" s="95" t="n">
        <v>-10.1</v>
      </c>
      <c r="J575" s="95" t="n">
        <v>7.1</v>
      </c>
      <c r="K575" s="96" t="inlineStr">
        <is>
          <t>9860 ADICON HOLDINGS</t>
        </is>
      </c>
    </row>
    <row r="576">
      <c r="A576" s="16" t="inlineStr">
        <is>
          <t>Snibe Diagnostic (Hong Kong) Company Limited</t>
        </is>
      </c>
      <c r="B576" s="89" t="n">
        <v>1</v>
      </c>
      <c r="C576" s="94" t="n">
        <v>100</v>
      </c>
      <c r="D576" s="95" t="n">
        <v>12</v>
      </c>
      <c r="E576" s="95" t="n">
        <v>1.6</v>
      </c>
      <c r="F576" s="95" t="n">
        <v>0.7</v>
      </c>
      <c r="G576" s="95" t="n">
        <v>20</v>
      </c>
      <c r="H576" s="95" t="n">
        <v>-9.300000000000001</v>
      </c>
      <c r="I576" s="95" t="n">
        <v>-10.1</v>
      </c>
      <c r="J576" s="95" t="n">
        <v>7.1</v>
      </c>
      <c r="K576" s="96" t="inlineStr">
        <is>
          <t>9860 ADICON HOLDINGS</t>
        </is>
      </c>
    </row>
    <row r="577">
      <c r="A577" s="16" t="inlineStr">
        <is>
          <t>Timestar Elite Limited</t>
        </is>
      </c>
      <c r="B577" s="89" t="n">
        <v>1</v>
      </c>
      <c r="C577" s="94" t="n">
        <v>100</v>
      </c>
      <c r="D577" s="95" t="n">
        <v>12</v>
      </c>
      <c r="E577" s="95" t="n">
        <v>1.6</v>
      </c>
      <c r="F577" s="95" t="n">
        <v>0.7</v>
      </c>
      <c r="G577" s="95" t="n">
        <v>20</v>
      </c>
      <c r="H577" s="95" t="n">
        <v>-9.300000000000001</v>
      </c>
      <c r="I577" s="95" t="n">
        <v>-10.1</v>
      </c>
      <c r="J577" s="95" t="n">
        <v>7.1</v>
      </c>
      <c r="K577" s="96" t="inlineStr">
        <is>
          <t>9860 ADICON HOLDINGS</t>
        </is>
      </c>
    </row>
    <row r="578">
      <c r="A578" s="16" t="inlineStr">
        <is>
          <t>Nice First</t>
        </is>
      </c>
      <c r="B578" s="89" t="n">
        <v>1</v>
      </c>
      <c r="C578" s="94" t="n">
        <v>100</v>
      </c>
      <c r="D578" s="95" t="n">
        <v>11.6</v>
      </c>
      <c r="E578" s="95" t="n">
        <v>27.2</v>
      </c>
      <c r="F578" s="95" t="n">
        <v>33.2</v>
      </c>
      <c r="G578" s="95" t="n">
        <v>43.8</v>
      </c>
      <c r="H578" s="95" t="n">
        <v>14</v>
      </c>
      <c r="I578" s="95" t="n">
        <v>19.4</v>
      </c>
      <c r="J578" s="95" t="n">
        <v>28.9</v>
      </c>
      <c r="K578" s="96" t="inlineStr">
        <is>
          <t>2768 GON TECHNOLOGY</t>
        </is>
      </c>
    </row>
    <row r="579">
      <c r="A579" s="16" t="inlineStr">
        <is>
          <t>SLD International</t>
        </is>
      </c>
      <c r="B579" s="89" t="n">
        <v>1</v>
      </c>
      <c r="C579" s="94" t="n">
        <v>100</v>
      </c>
      <c r="D579" s="95" t="n">
        <v>11.6</v>
      </c>
      <c r="E579" s="95" t="n">
        <v>27.2</v>
      </c>
      <c r="F579" s="95" t="n">
        <v>33.2</v>
      </c>
      <c r="G579" s="95" t="n">
        <v>43.8</v>
      </c>
      <c r="H579" s="95" t="n">
        <v>14</v>
      </c>
      <c r="I579" s="95" t="n">
        <v>19.4</v>
      </c>
      <c r="J579" s="95" t="n">
        <v>28.9</v>
      </c>
      <c r="K579" s="96" t="inlineStr">
        <is>
          <t>2768 GON TECHNOLOGY</t>
        </is>
      </c>
    </row>
    <row r="580">
      <c r="A580" s="16" t="inlineStr">
        <is>
          <t>Cheng A International</t>
        </is>
      </c>
      <c r="B580" s="89" t="n">
        <v>1</v>
      </c>
      <c r="C580" s="94" t="n">
        <v>100</v>
      </c>
      <c r="D580" s="95" t="n">
        <v>11.6</v>
      </c>
      <c r="E580" s="95" t="n">
        <v>27.2</v>
      </c>
      <c r="F580" s="95" t="n">
        <v>33.2</v>
      </c>
      <c r="G580" s="95" t="n">
        <v>43.8</v>
      </c>
      <c r="H580" s="95" t="n">
        <v>14</v>
      </c>
      <c r="I580" s="95" t="n">
        <v>19.4</v>
      </c>
      <c r="J580" s="95" t="n">
        <v>28.9</v>
      </c>
      <c r="K580" s="96" t="inlineStr">
        <is>
          <t>2768 GON TECHNOLOGY</t>
        </is>
      </c>
    </row>
    <row r="581">
      <c r="A581" s="16" t="inlineStr">
        <is>
          <t>Shenwan Hongyuan Securities</t>
        </is>
      </c>
      <c r="B581" s="89" t="n">
        <v>1</v>
      </c>
      <c r="C581" s="94" t="n">
        <v>100</v>
      </c>
      <c r="D581" s="95" t="n">
        <v>11.6</v>
      </c>
      <c r="E581" s="95" t="n">
        <v>27.2</v>
      </c>
      <c r="F581" s="95" t="n">
        <v>33.2</v>
      </c>
      <c r="G581" s="95" t="n">
        <v>43.8</v>
      </c>
      <c r="H581" s="95" t="n">
        <v>14</v>
      </c>
      <c r="I581" s="95" t="n">
        <v>19.4</v>
      </c>
      <c r="J581" s="95" t="n">
        <v>28.9</v>
      </c>
      <c r="K581" s="96" t="inlineStr">
        <is>
          <t>2768 GON TECHNOLOGY</t>
        </is>
      </c>
    </row>
    <row r="582">
      <c r="A582" s="16" t="inlineStr">
        <is>
          <t>New Harvest</t>
        </is>
      </c>
      <c r="B582" s="89" t="n">
        <v>1</v>
      </c>
      <c r="C582" s="94" t="n">
        <v>100</v>
      </c>
      <c r="D582" s="95" t="n">
        <v>11.6</v>
      </c>
      <c r="E582" s="95" t="n">
        <v>27.2</v>
      </c>
      <c r="F582" s="95" t="n">
        <v>33.2</v>
      </c>
      <c r="G582" s="95" t="n">
        <v>43.8</v>
      </c>
      <c r="H582" s="95" t="n">
        <v>14</v>
      </c>
      <c r="I582" s="95" t="n">
        <v>19.4</v>
      </c>
      <c r="J582" s="95" t="n">
        <v>28.9</v>
      </c>
      <c r="K582" s="96" t="inlineStr">
        <is>
          <t>2768 GON TECHNOLOGY</t>
        </is>
      </c>
    </row>
    <row r="583">
      <c r="A583" s="16" t="inlineStr">
        <is>
          <t>Luminous Horizon</t>
        </is>
      </c>
      <c r="B583" s="89" t="n">
        <v>1</v>
      </c>
      <c r="C583" s="94" t="n">
        <v>100</v>
      </c>
      <c r="D583" s="95" t="n">
        <v>11.6</v>
      </c>
      <c r="E583" s="95" t="n">
        <v>27.2</v>
      </c>
      <c r="F583" s="95" t="n">
        <v>33.2</v>
      </c>
      <c r="G583" s="95" t="n">
        <v>43.8</v>
      </c>
      <c r="H583" s="95" t="n">
        <v>14</v>
      </c>
      <c r="I583" s="95" t="n">
        <v>19.4</v>
      </c>
      <c r="J583" s="95" t="n">
        <v>28.9</v>
      </c>
      <c r="K583" s="96" t="inlineStr">
        <is>
          <t>2768 GON TECHNOLOGY</t>
        </is>
      </c>
    </row>
    <row r="584">
      <c r="A584" s="16" t="inlineStr">
        <is>
          <t>Guo Shaojun</t>
        </is>
      </c>
      <c r="B584" s="89" t="n">
        <v>1</v>
      </c>
      <c r="C584" s="94" t="n">
        <v>100</v>
      </c>
      <c r="D584" s="95" t="n">
        <v>11.1</v>
      </c>
      <c r="E584" s="95" t="n">
        <v>6.7</v>
      </c>
      <c r="F584" s="95" t="n">
        <v>-7.8</v>
      </c>
      <c r="G584" s="95" t="n">
        <v>-36.7</v>
      </c>
      <c r="H584" s="95" t="n">
        <v>-4</v>
      </c>
      <c r="I584" s="95" t="n">
        <v>-17</v>
      </c>
      <c r="J584" s="95" t="n">
        <v>-43</v>
      </c>
      <c r="K584" s="96" t="inlineStr">
        <is>
          <t>2516 FAR INTL</t>
        </is>
      </c>
    </row>
    <row r="585">
      <c r="A585" s="16" t="inlineStr">
        <is>
          <t>Liu Liyun</t>
        </is>
      </c>
      <c r="B585" s="89" t="n">
        <v>1</v>
      </c>
      <c r="C585" s="94" t="n">
        <v>100</v>
      </c>
      <c r="D585" s="95" t="n">
        <v>11.1</v>
      </c>
      <c r="E585" s="95" t="n">
        <v>6.7</v>
      </c>
      <c r="F585" s="95" t="n">
        <v>-7.8</v>
      </c>
      <c r="G585" s="95" t="n">
        <v>-36.7</v>
      </c>
      <c r="H585" s="95" t="n">
        <v>-4</v>
      </c>
      <c r="I585" s="95" t="n">
        <v>-17</v>
      </c>
      <c r="J585" s="95" t="n">
        <v>-43</v>
      </c>
      <c r="K585" s="96" t="inlineStr">
        <is>
          <t>2516 FAR INTL</t>
        </is>
      </c>
    </row>
    <row r="586">
      <c r="A586" s="16" t="inlineStr">
        <is>
          <t>Yang Yingwu</t>
        </is>
      </c>
      <c r="B586" s="89" t="n">
        <v>1</v>
      </c>
      <c r="C586" s="94" t="n">
        <v>100</v>
      </c>
      <c r="D586" s="95" t="n">
        <v>11.1</v>
      </c>
      <c r="E586" s="95" t="n">
        <v>6.7</v>
      </c>
      <c r="F586" s="95" t="n">
        <v>-7.8</v>
      </c>
      <c r="G586" s="95" t="n">
        <v>-36.7</v>
      </c>
      <c r="H586" s="95" t="n">
        <v>-4</v>
      </c>
      <c r="I586" s="95" t="n">
        <v>-17</v>
      </c>
      <c r="J586" s="95" t="n">
        <v>-43</v>
      </c>
      <c r="K586" s="96" t="inlineStr">
        <is>
          <t>2516 FAR INTL</t>
        </is>
      </c>
    </row>
    <row r="587">
      <c r="A587" s="16" t="inlineStr">
        <is>
          <t>Vital Message</t>
        </is>
      </c>
      <c r="B587" s="89" t="n">
        <v>1</v>
      </c>
      <c r="C587" s="94" t="n">
        <v>100</v>
      </c>
      <c r="D587" s="95" t="n">
        <v>10.4</v>
      </c>
      <c r="E587" s="95" t="n">
        <v>-24.3</v>
      </c>
      <c r="F587" s="95" t="n">
        <v>-45.1</v>
      </c>
      <c r="G587" s="95" t="n">
        <v>-54.9</v>
      </c>
      <c r="H587" s="95" t="n">
        <v>-31.4</v>
      </c>
      <c r="I587" s="95" t="n">
        <v>-50.2</v>
      </c>
      <c r="J587" s="95" t="n">
        <v>-59.2</v>
      </c>
      <c r="K587" s="96" t="inlineStr">
        <is>
          <t>2593 HERBS GROUP</t>
        </is>
      </c>
    </row>
    <row r="588">
      <c r="A588" s="16" t="inlineStr">
        <is>
          <t>Chu Kin Lan</t>
        </is>
      </c>
      <c r="B588" s="89" t="n">
        <v>1</v>
      </c>
      <c r="C588" s="94" t="n">
        <v>100</v>
      </c>
      <c r="D588" s="95" t="n">
        <v>10</v>
      </c>
      <c r="E588" s="95" t="n">
        <v>2</v>
      </c>
      <c r="F588" s="95" t="n">
        <v>8</v>
      </c>
      <c r="G588" s="95" t="n">
        <v>0</v>
      </c>
      <c r="H588" s="95" t="n">
        <v>-7.3</v>
      </c>
      <c r="I588" s="95" t="n">
        <v>-1.8</v>
      </c>
      <c r="J588" s="95" t="n">
        <v>-9.1</v>
      </c>
      <c r="K588" s="96" t="inlineStr">
        <is>
          <t>1489 GC CONSTRUCTION</t>
        </is>
      </c>
    </row>
    <row r="589">
      <c r="A589" s="16" t="inlineStr">
        <is>
          <t>Infinitus Wealth Limited</t>
        </is>
      </c>
      <c r="B589" s="89" t="n">
        <v>1</v>
      </c>
      <c r="C589" s="94" t="n">
        <v>100</v>
      </c>
      <c r="D589" s="95" t="n">
        <v>10</v>
      </c>
      <c r="E589" s="95" t="n">
        <v>2</v>
      </c>
      <c r="F589" s="95" t="n">
        <v>8</v>
      </c>
      <c r="G589" s="95" t="n">
        <v>0</v>
      </c>
      <c r="H589" s="95" t="n">
        <v>-7.3</v>
      </c>
      <c r="I589" s="95" t="n">
        <v>-1.8</v>
      </c>
      <c r="J589" s="95" t="n">
        <v>-9.1</v>
      </c>
      <c r="K589" s="96" t="inlineStr">
        <is>
          <t>1489 GC CONSTRUCTION</t>
        </is>
      </c>
    </row>
    <row r="590">
      <c r="A590" s="16" t="inlineStr">
        <is>
          <t>Grab Inc</t>
        </is>
      </c>
      <c r="B590" s="89" t="n">
        <v>1</v>
      </c>
      <c r="C590" s="94" t="n">
        <v>100</v>
      </c>
      <c r="D590" s="95" t="n">
        <v>10</v>
      </c>
      <c r="E590" s="95" t="n">
        <v>8.1</v>
      </c>
      <c r="F590" s="95" t="n">
        <v>-20.5</v>
      </c>
      <c r="G590" s="95" t="n">
        <v>-20.4</v>
      </c>
      <c r="H590" s="95" t="n">
        <v>-1.7</v>
      </c>
      <c r="I590" s="95" t="n">
        <v>-27.7</v>
      </c>
      <c r="J590" s="95" t="n">
        <v>-27.6</v>
      </c>
      <c r="K590" s="96" t="inlineStr">
        <is>
          <t>2525 HESAI-W</t>
        </is>
      </c>
    </row>
    <row r="591">
      <c r="A591" s="16" t="inlineStr">
        <is>
          <t>Commando Global Fund</t>
        </is>
      </c>
      <c r="B591" s="89" t="n">
        <v>1</v>
      </c>
      <c r="C591" s="94" t="n">
        <v>100</v>
      </c>
      <c r="D591" s="95" t="n">
        <v>10</v>
      </c>
      <c r="E591" s="95" t="n">
        <v>8.1</v>
      </c>
      <c r="F591" s="95" t="n">
        <v>-20.5</v>
      </c>
      <c r="G591" s="95" t="n">
        <v>-20.4</v>
      </c>
      <c r="H591" s="95" t="n">
        <v>-1.7</v>
      </c>
      <c r="I591" s="95" t="n">
        <v>-27.7</v>
      </c>
      <c r="J591" s="95" t="n">
        <v>-27.6</v>
      </c>
      <c r="K591" s="96" t="inlineStr">
        <is>
          <t>2525 HESAI-W</t>
        </is>
      </c>
    </row>
    <row r="592">
      <c r="A592" s="16" t="inlineStr">
        <is>
          <t>Regal Partners Holdings Pty Limited</t>
        </is>
      </c>
      <c r="B592" s="89" t="n">
        <v>1</v>
      </c>
      <c r="C592" s="94" t="n">
        <v>100</v>
      </c>
      <c r="D592" s="95" t="n">
        <v>10</v>
      </c>
      <c r="E592" s="95" t="n">
        <v>2.6</v>
      </c>
      <c r="F592" s="95" t="n">
        <v>-5.6</v>
      </c>
      <c r="G592" s="95" t="n"/>
      <c r="H592" s="95" t="n">
        <v>-6.7</v>
      </c>
      <c r="I592" s="95" t="n">
        <v>-14.2</v>
      </c>
      <c r="J592" s="95" t="n"/>
      <c r="K592" s="96" t="inlineStr">
        <is>
          <t>7687 EACON</t>
        </is>
      </c>
    </row>
    <row r="593">
      <c r="A593" s="16" t="inlineStr">
        <is>
          <t>ZIJINNING Limited Partnership</t>
        </is>
      </c>
      <c r="B593" s="89" t="n">
        <v>1</v>
      </c>
      <c r="C593" s="94" t="n">
        <v>100</v>
      </c>
      <c r="D593" s="95" t="n">
        <v>10</v>
      </c>
      <c r="E593" s="95" t="n">
        <v>2.6</v>
      </c>
      <c r="F593" s="95" t="n">
        <v>-5.6</v>
      </c>
      <c r="G593" s="95" t="n"/>
      <c r="H593" s="95" t="n">
        <v>-6.7</v>
      </c>
      <c r="I593" s="95" t="n">
        <v>-14.2</v>
      </c>
      <c r="J593" s="95" t="n"/>
      <c r="K593" s="96" t="inlineStr">
        <is>
          <t>7687 EACON</t>
        </is>
      </c>
    </row>
    <row r="594">
      <c r="A594" s="16" t="inlineStr">
        <is>
          <t>Ontario Teachers Pension Plan Board</t>
        </is>
      </c>
      <c r="B594" s="89" t="n">
        <v>1</v>
      </c>
      <c r="C594" s="94" t="n">
        <v>100</v>
      </c>
      <c r="D594" s="95" t="n">
        <v>9.9</v>
      </c>
      <c r="E594" s="95" t="n">
        <v>25.4</v>
      </c>
      <c r="F594" s="95" t="n">
        <v>25.1</v>
      </c>
      <c r="G594" s="95" t="n">
        <v>-17.4</v>
      </c>
      <c r="H594" s="95" t="n">
        <v>14.1</v>
      </c>
      <c r="I594" s="95" t="n">
        <v>13.9</v>
      </c>
      <c r="J594" s="95" t="n">
        <v>-24.9</v>
      </c>
      <c r="K594" s="96" t="inlineStr">
        <is>
          <t>9959 LINKLOGIS–W</t>
        </is>
      </c>
    </row>
    <row r="595">
      <c r="A595" s="16" t="inlineStr">
        <is>
          <t>Sequoia Funds</t>
        </is>
      </c>
      <c r="B595" s="89" t="n">
        <v>1</v>
      </c>
      <c r="C595" s="94" t="n">
        <v>100</v>
      </c>
      <c r="D595" s="95" t="n">
        <v>9.9</v>
      </c>
      <c r="E595" s="95" t="n">
        <v>25.4</v>
      </c>
      <c r="F595" s="95" t="n">
        <v>25.1</v>
      </c>
      <c r="G595" s="95" t="n">
        <v>-17.4</v>
      </c>
      <c r="H595" s="95" t="n">
        <v>14.1</v>
      </c>
      <c r="I595" s="95" t="n">
        <v>13.9</v>
      </c>
      <c r="J595" s="95" t="n">
        <v>-24.9</v>
      </c>
      <c r="K595" s="96" t="inlineStr">
        <is>
          <t>9959 LINKLOGIS–W</t>
        </is>
      </c>
    </row>
    <row r="596">
      <c r="A596" s="16" t="inlineStr">
        <is>
          <t>Begonia No. 1 LPF</t>
        </is>
      </c>
      <c r="B596" s="89" t="n">
        <v>1</v>
      </c>
      <c r="C596" s="94" t="n">
        <v>100</v>
      </c>
      <c r="D596" s="95" t="n">
        <v>9.800000000000001</v>
      </c>
      <c r="E596" s="95" t="n">
        <v>0.4</v>
      </c>
      <c r="F596" s="95" t="n">
        <v>9.800000000000001</v>
      </c>
      <c r="G596" s="95" t="n">
        <v>165.9</v>
      </c>
      <c r="H596" s="95" t="n">
        <v>-8.6</v>
      </c>
      <c r="I596" s="95" t="n">
        <v>0</v>
      </c>
      <c r="J596" s="95" t="n">
        <v>142.1</v>
      </c>
      <c r="K596" s="96" t="inlineStr">
        <is>
          <t>2228 QUANTUMPH-P</t>
        </is>
      </c>
    </row>
    <row r="597">
      <c r="A597" s="16" t="inlineStr">
        <is>
          <t>Biocytogen Pharmaceuticals (Beijing) Co., Ltd</t>
        </is>
      </c>
      <c r="B597" s="89" t="n">
        <v>1</v>
      </c>
      <c r="C597" s="94" t="n">
        <v>100</v>
      </c>
      <c r="D597" s="95" t="n">
        <v>9.800000000000001</v>
      </c>
      <c r="E597" s="95" t="n">
        <v>0.4</v>
      </c>
      <c r="F597" s="95" t="n">
        <v>9.800000000000001</v>
      </c>
      <c r="G597" s="95" t="n">
        <v>165.9</v>
      </c>
      <c r="H597" s="95" t="n">
        <v>-8.6</v>
      </c>
      <c r="I597" s="95" t="n">
        <v>0</v>
      </c>
      <c r="J597" s="95" t="n">
        <v>142.1</v>
      </c>
      <c r="K597" s="96" t="inlineStr">
        <is>
          <t>2228 QUANTUMPH-P</t>
        </is>
      </c>
    </row>
    <row r="598">
      <c r="A598" s="16" t="inlineStr">
        <is>
          <t>Bradley Lether Pentelute</t>
        </is>
      </c>
      <c r="B598" s="89" t="n">
        <v>1</v>
      </c>
      <c r="C598" s="94" t="n">
        <v>100</v>
      </c>
      <c r="D598" s="95" t="n">
        <v>9.800000000000001</v>
      </c>
      <c r="E598" s="95" t="n">
        <v>0.4</v>
      </c>
      <c r="F598" s="95" t="n">
        <v>9.800000000000001</v>
      </c>
      <c r="G598" s="95" t="n">
        <v>165.9</v>
      </c>
      <c r="H598" s="95" t="n">
        <v>-8.6</v>
      </c>
      <c r="I598" s="95" t="n">
        <v>0</v>
      </c>
      <c r="J598" s="95" t="n">
        <v>142.1</v>
      </c>
      <c r="K598" s="96" t="inlineStr">
        <is>
          <t>2228 QUANTUMPH-P</t>
        </is>
      </c>
    </row>
    <row r="599">
      <c r="A599" s="16" t="inlineStr">
        <is>
          <t>FaaS Capital Longevity Limited</t>
        </is>
      </c>
      <c r="B599" s="89" t="n">
        <v>1</v>
      </c>
      <c r="C599" s="94" t="n">
        <v>100</v>
      </c>
      <c r="D599" s="95" t="n">
        <v>9.800000000000001</v>
      </c>
      <c r="E599" s="95" t="n">
        <v>0.4</v>
      </c>
      <c r="F599" s="95" t="n">
        <v>9.800000000000001</v>
      </c>
      <c r="G599" s="95" t="n">
        <v>165.9</v>
      </c>
      <c r="H599" s="95" t="n">
        <v>-8.6</v>
      </c>
      <c r="I599" s="95" t="n">
        <v>0</v>
      </c>
      <c r="J599" s="95" t="n">
        <v>142.1</v>
      </c>
      <c r="K599" s="96" t="inlineStr">
        <is>
          <t>2228 QUANTUMPH-P</t>
        </is>
      </c>
    </row>
    <row r="600">
      <c r="A600" s="16" t="inlineStr">
        <is>
          <t>Ginkgo Capital Global Fund SPC-Ginkgo Capital Global Fund I SP</t>
        </is>
      </c>
      <c r="B600" s="89" t="n">
        <v>1</v>
      </c>
      <c r="C600" s="94" t="n">
        <v>100</v>
      </c>
      <c r="D600" s="95" t="n">
        <v>9.800000000000001</v>
      </c>
      <c r="E600" s="95" t="n">
        <v>0.4</v>
      </c>
      <c r="F600" s="95" t="n">
        <v>9.800000000000001</v>
      </c>
      <c r="G600" s="95" t="n">
        <v>165.9</v>
      </c>
      <c r="H600" s="95" t="n">
        <v>-8.6</v>
      </c>
      <c r="I600" s="95" t="n">
        <v>0</v>
      </c>
      <c r="J600" s="95" t="n">
        <v>142.1</v>
      </c>
      <c r="K600" s="96" t="inlineStr">
        <is>
          <t>2228 QUANTUMPH-P</t>
        </is>
      </c>
    </row>
    <row r="601">
      <c r="A601" s="16" t="inlineStr">
        <is>
          <t>IntelliMed One Investment Limited</t>
        </is>
      </c>
      <c r="B601" s="89" t="n">
        <v>1</v>
      </c>
      <c r="C601" s="94" t="n">
        <v>100</v>
      </c>
      <c r="D601" s="95" t="n">
        <v>9.800000000000001</v>
      </c>
      <c r="E601" s="95" t="n">
        <v>0.4</v>
      </c>
      <c r="F601" s="95" t="n">
        <v>9.800000000000001</v>
      </c>
      <c r="G601" s="95" t="n">
        <v>165.9</v>
      </c>
      <c r="H601" s="95" t="n">
        <v>-8.6</v>
      </c>
      <c r="I601" s="95" t="n">
        <v>0</v>
      </c>
      <c r="J601" s="95" t="n">
        <v>142.1</v>
      </c>
      <c r="K601" s="96" t="inlineStr">
        <is>
          <t>2228 QUANTUMPH-P</t>
        </is>
      </c>
    </row>
    <row r="602">
      <c r="A602" s="16" t="inlineStr">
        <is>
          <t>Mammoth Medical Solutions</t>
        </is>
      </c>
      <c r="B602" s="89" t="n">
        <v>1</v>
      </c>
      <c r="C602" s="94" t="n">
        <v>100</v>
      </c>
      <c r="D602" s="95" t="n">
        <v>9.800000000000001</v>
      </c>
      <c r="E602" s="95" t="n">
        <v>0.4</v>
      </c>
      <c r="F602" s="95" t="n">
        <v>9.800000000000001</v>
      </c>
      <c r="G602" s="95" t="n">
        <v>165.9</v>
      </c>
      <c r="H602" s="95" t="n">
        <v>-8.6</v>
      </c>
      <c r="I602" s="95" t="n">
        <v>0</v>
      </c>
      <c r="J602" s="95" t="n">
        <v>142.1</v>
      </c>
      <c r="K602" s="96" t="inlineStr">
        <is>
          <t>2228 QUANTUMPH-P</t>
        </is>
      </c>
    </row>
    <row r="603">
      <c r="A603" s="16" t="inlineStr">
        <is>
          <t>Successful Lotus Limited</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SynerSuccess Capital Ltd</t>
        </is>
      </c>
      <c r="B604" s="89" t="n">
        <v>1</v>
      </c>
      <c r="C604" s="94" t="n">
        <v>100</v>
      </c>
      <c r="D604" s="95" t="n">
        <v>9.300000000000001</v>
      </c>
      <c r="E604" s="95" t="n">
        <v>6.7</v>
      </c>
      <c r="F604" s="95" t="n">
        <v>3.6</v>
      </c>
      <c r="G604" s="95" t="n">
        <v>-18.3</v>
      </c>
      <c r="H604" s="95" t="n">
        <v>-2.4</v>
      </c>
      <c r="I604" s="95" t="n">
        <v>-5.2</v>
      </c>
      <c r="J604" s="95" t="n">
        <v>-25.2</v>
      </c>
      <c r="K604" s="96" t="inlineStr">
        <is>
          <t>2657 FOREST CABIN</t>
        </is>
      </c>
    </row>
    <row r="605">
      <c r="A605" s="16" t="inlineStr">
        <is>
          <t>SS Capital</t>
        </is>
      </c>
      <c r="B605" s="89" t="n">
        <v>1</v>
      </c>
      <c r="C605" s="94" t="n">
        <v>100</v>
      </c>
      <c r="D605" s="95" t="n">
        <v>9.300000000000001</v>
      </c>
      <c r="E605" s="95" t="n">
        <v>6.7</v>
      </c>
      <c r="F605" s="95" t="n">
        <v>3.6</v>
      </c>
      <c r="G605" s="95" t="n">
        <v>-18.3</v>
      </c>
      <c r="H605" s="95" t="n">
        <v>-2.4</v>
      </c>
      <c r="I605" s="95" t="n">
        <v>-5.2</v>
      </c>
      <c r="J605" s="95" t="n">
        <v>-25.2</v>
      </c>
      <c r="K605" s="96" t="inlineStr">
        <is>
          <t>2657 FOREST CABIN</t>
        </is>
      </c>
    </row>
    <row r="606">
      <c r="A606" s="16" t="inlineStr">
        <is>
          <t>Youngor Fashion –</t>
        </is>
      </c>
      <c r="B606" s="89" t="n">
        <v>1</v>
      </c>
      <c r="C606" s="94" t="n">
        <v>100</v>
      </c>
      <c r="D606" s="95" t="n">
        <v>9.300000000000001</v>
      </c>
      <c r="E606" s="95" t="n">
        <v>6.7</v>
      </c>
      <c r="F606" s="95" t="n">
        <v>3.6</v>
      </c>
      <c r="G606" s="95" t="n">
        <v>-18.3</v>
      </c>
      <c r="H606" s="95" t="n">
        <v>-2.4</v>
      </c>
      <c r="I606" s="95" t="n">
        <v>-5.2</v>
      </c>
      <c r="J606" s="95" t="n">
        <v>-25.2</v>
      </c>
      <c r="K606" s="96" t="inlineStr">
        <is>
          <t>2657 FOREST CABIN</t>
        </is>
      </c>
    </row>
    <row r="607">
      <c r="A607" s="16" t="inlineStr">
        <is>
          <t>Toutoushidao –</t>
        </is>
      </c>
      <c r="B607" s="89" t="n">
        <v>1</v>
      </c>
      <c r="C607" s="94" t="n">
        <v>100</v>
      </c>
      <c r="D607" s="95" t="n">
        <v>9.300000000000001</v>
      </c>
      <c r="E607" s="95" t="n">
        <v>6.7</v>
      </c>
      <c r="F607" s="95" t="n">
        <v>3.6</v>
      </c>
      <c r="G607" s="95" t="n">
        <v>-18.3</v>
      </c>
      <c r="H607" s="95" t="n">
        <v>-2.4</v>
      </c>
      <c r="I607" s="95" t="n">
        <v>-5.2</v>
      </c>
      <c r="J607" s="95" t="n">
        <v>-25.2</v>
      </c>
      <c r="K607" s="96" t="inlineStr">
        <is>
          <t>2657 FOREST CABIN</t>
        </is>
      </c>
    </row>
    <row r="608">
      <c r="A608" s="16" t="inlineStr">
        <is>
          <t>Olympic Country</t>
        </is>
      </c>
      <c r="B608" s="89" t="n">
        <v>1</v>
      </c>
      <c r="C608" s="94" t="n">
        <v>100</v>
      </c>
      <c r="D608" s="95" t="n">
        <v>9.1</v>
      </c>
      <c r="E608" s="95" t="n">
        <v>6.4</v>
      </c>
      <c r="F608" s="95" t="n">
        <v>16.1</v>
      </c>
      <c r="G608" s="95" t="n">
        <v>76.8</v>
      </c>
      <c r="H608" s="95" t="n">
        <v>-2.5</v>
      </c>
      <c r="I608" s="95" t="n">
        <v>6.3</v>
      </c>
      <c r="J608" s="95" t="n">
        <v>62</v>
      </c>
      <c r="K608" s="96" t="inlineStr">
        <is>
          <t>6613 LENS</t>
        </is>
      </c>
    </row>
    <row r="609">
      <c r="A609" s="16" t="inlineStr">
        <is>
          <t>CMB International Capital Limited</t>
        </is>
      </c>
      <c r="B609" s="89" t="n">
        <v>1</v>
      </c>
      <c r="C609" s="94" t="n">
        <v>100</v>
      </c>
      <c r="D609" s="95" t="n">
        <v>8.4</v>
      </c>
      <c r="E609" s="95" t="n">
        <v>21.7</v>
      </c>
      <c r="F609" s="95" t="n">
        <v>14.2</v>
      </c>
      <c r="G609" s="95" t="n">
        <v>156.6</v>
      </c>
      <c r="H609" s="95" t="n">
        <v>12.2</v>
      </c>
      <c r="I609" s="95" t="n">
        <v>5.4</v>
      </c>
      <c r="J609" s="95" t="n">
        <v>136.6</v>
      </c>
      <c r="K609" s="96" t="inlineStr">
        <is>
          <t>9903 ILUVATAR COREX</t>
        </is>
      </c>
    </row>
    <row r="610">
      <c r="A610" s="16" t="inlineStr">
        <is>
          <t>XN Mountain International Limited</t>
        </is>
      </c>
      <c r="B610" s="89" t="n">
        <v>1</v>
      </c>
      <c r="C610" s="94" t="n">
        <v>100</v>
      </c>
      <c r="D610" s="95" t="n">
        <v>8.4</v>
      </c>
      <c r="E610" s="95" t="n">
        <v>21.7</v>
      </c>
      <c r="F610" s="95" t="n">
        <v>14.2</v>
      </c>
      <c r="G610" s="95" t="n">
        <v>156.6</v>
      </c>
      <c r="H610" s="95" t="n">
        <v>12.2</v>
      </c>
      <c r="I610" s="95" t="n">
        <v>5.4</v>
      </c>
      <c r="J610" s="95" t="n">
        <v>136.6</v>
      </c>
      <c r="K610" s="96" t="inlineStr">
        <is>
          <t>9903 ILUVATAR COREX</t>
        </is>
      </c>
    </row>
    <row r="611">
      <c r="A611" s="16" t="inlineStr">
        <is>
          <t>Engine International Technology Co., Limited</t>
        </is>
      </c>
      <c r="B611" s="89" t="n">
        <v>1</v>
      </c>
      <c r="C611" s="94" t="n">
        <v>100</v>
      </c>
      <c r="D611" s="95" t="n">
        <v>8.4</v>
      </c>
      <c r="E611" s="95" t="n">
        <v>21.7</v>
      </c>
      <c r="F611" s="95" t="n">
        <v>14.2</v>
      </c>
      <c r="G611" s="95" t="n">
        <v>156.6</v>
      </c>
      <c r="H611" s="95" t="n">
        <v>12.2</v>
      </c>
      <c r="I611" s="95" t="n">
        <v>5.4</v>
      </c>
      <c r="J611" s="95" t="n">
        <v>136.6</v>
      </c>
      <c r="K611" s="96" t="inlineStr">
        <is>
          <t>9903 ILUVATAR COREX</t>
        </is>
      </c>
    </row>
    <row r="612">
      <c r="A612" s="16" t="inlineStr">
        <is>
          <t>DeepRoot Alpha Ltd</t>
        </is>
      </c>
      <c r="B612" s="89" t="n">
        <v>1</v>
      </c>
      <c r="C612" s="94" t="n">
        <v>100</v>
      </c>
      <c r="D612" s="95" t="n">
        <v>8.4</v>
      </c>
      <c r="E612" s="95" t="n">
        <v>21.7</v>
      </c>
      <c r="F612" s="95" t="n">
        <v>14.2</v>
      </c>
      <c r="G612" s="95" t="n">
        <v>156.6</v>
      </c>
      <c r="H612" s="95" t="n">
        <v>12.2</v>
      </c>
      <c r="I612" s="95" t="n">
        <v>5.4</v>
      </c>
      <c r="J612" s="95" t="n">
        <v>136.6</v>
      </c>
      <c r="K612" s="96" t="inlineStr">
        <is>
          <t>9903 ILUVATAR COREX</t>
        </is>
      </c>
    </row>
    <row r="613">
      <c r="A613" s="16" t="inlineStr">
        <is>
          <t>CFIG Holdings Limited</t>
        </is>
      </c>
      <c r="B613" s="89" t="n">
        <v>1</v>
      </c>
      <c r="C613" s="94" t="n">
        <v>100</v>
      </c>
      <c r="D613" s="95" t="n">
        <v>8.4</v>
      </c>
      <c r="E613" s="95" t="n">
        <v>21.7</v>
      </c>
      <c r="F613" s="95" t="n">
        <v>14.2</v>
      </c>
      <c r="G613" s="95" t="n">
        <v>156.6</v>
      </c>
      <c r="H613" s="95" t="n">
        <v>12.2</v>
      </c>
      <c r="I613" s="95" t="n">
        <v>5.4</v>
      </c>
      <c r="J613" s="95" t="n">
        <v>136.6</v>
      </c>
      <c r="K613" s="96" t="inlineStr">
        <is>
          <t>9903 ILUVATAR COREX</t>
        </is>
      </c>
    </row>
    <row r="614">
      <c r="A614" s="16" t="inlineStr">
        <is>
          <t>Richfirm (Hong Kong) Development Limited</t>
        </is>
      </c>
      <c r="B614" s="89" t="n">
        <v>1</v>
      </c>
      <c r="C614" s="94" t="n">
        <v>100</v>
      </c>
      <c r="D614" s="95" t="n">
        <v>8.199999999999999</v>
      </c>
      <c r="E614" s="95" t="n">
        <v>5.4</v>
      </c>
      <c r="F614" s="95" t="n">
        <v>16.2</v>
      </c>
      <c r="G614" s="95" t="n">
        <v>-9.1</v>
      </c>
      <c r="H614" s="95" t="n">
        <v>-2.6</v>
      </c>
      <c r="I614" s="95" t="n">
        <v>7.4</v>
      </c>
      <c r="J614" s="95" t="n">
        <v>-16</v>
      </c>
      <c r="K614" s="96" t="inlineStr">
        <is>
          <t>1021 HUAYAN ROBOTICS</t>
        </is>
      </c>
    </row>
    <row r="615">
      <c r="A615" s="16" t="inlineStr">
        <is>
          <t>Samson Group Limited</t>
        </is>
      </c>
      <c r="B615" s="89" t="n">
        <v>1</v>
      </c>
      <c r="C615" s="94" t="n">
        <v>100</v>
      </c>
      <c r="D615" s="95" t="n">
        <v>8.199999999999999</v>
      </c>
      <c r="E615" s="95" t="n">
        <v>5.4</v>
      </c>
      <c r="F615" s="95" t="n">
        <v>16.2</v>
      </c>
      <c r="G615" s="95" t="n">
        <v>-9.1</v>
      </c>
      <c r="H615" s="95" t="n">
        <v>-2.6</v>
      </c>
      <c r="I615" s="95" t="n">
        <v>7.4</v>
      </c>
      <c r="J615" s="95" t="n">
        <v>-16</v>
      </c>
      <c r="K615" s="96" t="inlineStr">
        <is>
          <t>1021 HUAYAN ROBOTICS</t>
        </is>
      </c>
    </row>
    <row r="616">
      <c r="A616" s="16" t="inlineStr">
        <is>
          <t>Shrewd Pioneer Limited</t>
        </is>
      </c>
      <c r="B616" s="89" t="n">
        <v>1</v>
      </c>
      <c r="C616" s="94" t="n">
        <v>100</v>
      </c>
      <c r="D616" s="95" t="n">
        <v>8.199999999999999</v>
      </c>
      <c r="E616" s="95" t="n">
        <v>5.4</v>
      </c>
      <c r="F616" s="95" t="n">
        <v>16.2</v>
      </c>
      <c r="G616" s="95" t="n">
        <v>-9.1</v>
      </c>
      <c r="H616" s="95" t="n">
        <v>-2.6</v>
      </c>
      <c r="I616" s="95" t="n">
        <v>7.4</v>
      </c>
      <c r="J616" s="95" t="n">
        <v>-16</v>
      </c>
      <c r="K616" s="96" t="inlineStr">
        <is>
          <t>1021 HUAYAN ROBOTICS</t>
        </is>
      </c>
    </row>
    <row r="617">
      <c r="A617" s="16" t="inlineStr">
        <is>
          <t>He Sheng Overseas Holdings Limited</t>
        </is>
      </c>
      <c r="B617" s="89" t="n">
        <v>1</v>
      </c>
      <c r="C617" s="94" t="n">
        <v>100</v>
      </c>
      <c r="D617" s="95" t="n">
        <v>8.1</v>
      </c>
      <c r="E617" s="95" t="n">
        <v>11.9</v>
      </c>
      <c r="F617" s="95" t="n">
        <v>8.9</v>
      </c>
      <c r="G617" s="95" t="n">
        <v>14.1</v>
      </c>
      <c r="H617" s="95" t="n">
        <v>3.5</v>
      </c>
      <c r="I617" s="95" t="n">
        <v>0.8</v>
      </c>
      <c r="J617" s="95" t="n">
        <v>5.5</v>
      </c>
      <c r="K617" s="96" t="inlineStr">
        <is>
          <t>0606 SCE CM</t>
        </is>
      </c>
    </row>
    <row r="618">
      <c r="A618" s="16" t="inlineStr">
        <is>
          <t>Lam Yuen Ying</t>
        </is>
      </c>
      <c r="B618" s="89" t="n">
        <v>1</v>
      </c>
      <c r="C618" s="94" t="n">
        <v>100</v>
      </c>
      <c r="D618" s="95" t="n">
        <v>8.1</v>
      </c>
      <c r="E618" s="95" t="n">
        <v>11.9</v>
      </c>
      <c r="F618" s="95" t="n">
        <v>8.9</v>
      </c>
      <c r="G618" s="95" t="n">
        <v>14.1</v>
      </c>
      <c r="H618" s="95" t="n">
        <v>3.5</v>
      </c>
      <c r="I618" s="95" t="n">
        <v>0.8</v>
      </c>
      <c r="J618" s="95" t="n">
        <v>5.5</v>
      </c>
      <c r="K618" s="96" t="inlineStr">
        <is>
          <t>0606 SCE CM</t>
        </is>
      </c>
    </row>
    <row r="619">
      <c r="A619" s="16" t="inlineStr">
        <is>
          <t>TX Capital Value Fund</t>
        </is>
      </c>
      <c r="B619" s="89" t="n">
        <v>1</v>
      </c>
      <c r="C619" s="94" t="n">
        <v>100</v>
      </c>
      <c r="D619" s="95" t="n">
        <v>8.1</v>
      </c>
      <c r="E619" s="95" t="n">
        <v>11.9</v>
      </c>
      <c r="F619" s="95" t="n">
        <v>8.9</v>
      </c>
      <c r="G619" s="95" t="n">
        <v>14.1</v>
      </c>
      <c r="H619" s="95" t="n">
        <v>3.5</v>
      </c>
      <c r="I619" s="95" t="n">
        <v>0.8</v>
      </c>
      <c r="J619" s="95" t="n">
        <v>5.5</v>
      </c>
      <c r="K619" s="96" t="inlineStr">
        <is>
          <t>0606 SCE CM</t>
        </is>
      </c>
    </row>
    <row r="620">
      <c r="A620" s="16" t="inlineStr">
        <is>
          <t>Splendor Achieve Limited</t>
        </is>
      </c>
      <c r="B620" s="89" t="n">
        <v>1</v>
      </c>
      <c r="C620" s="94" t="n">
        <v>100</v>
      </c>
      <c r="D620" s="95" t="n">
        <v>7.8</v>
      </c>
      <c r="E620" s="95" t="n">
        <v>29</v>
      </c>
      <c r="F620" s="95" t="n">
        <v>36.7</v>
      </c>
      <c r="G620" s="95" t="n">
        <v>39</v>
      </c>
      <c r="H620" s="95" t="n">
        <v>19.6</v>
      </c>
      <c r="I620" s="95" t="n">
        <v>26.7</v>
      </c>
      <c r="J620" s="95" t="n">
        <v>28.9</v>
      </c>
      <c r="K620" s="96" t="inlineStr">
        <is>
          <t>0300 MIDEA GROUP</t>
        </is>
      </c>
    </row>
    <row r="621">
      <c r="A621" s="16" t="inlineStr">
        <is>
          <t>Vanguard Focus Limited</t>
        </is>
      </c>
      <c r="B621" s="89" t="n">
        <v>1</v>
      </c>
      <c r="C621" s="94" t="n">
        <v>100</v>
      </c>
      <c r="D621" s="95" t="n">
        <v>7.8</v>
      </c>
      <c r="E621" s="95" t="n">
        <v>29</v>
      </c>
      <c r="F621" s="95" t="n">
        <v>36.7</v>
      </c>
      <c r="G621" s="95" t="n">
        <v>39</v>
      </c>
      <c r="H621" s="95" t="n">
        <v>19.6</v>
      </c>
      <c r="I621" s="95" t="n">
        <v>26.7</v>
      </c>
      <c r="J621" s="95" t="n">
        <v>28.9</v>
      </c>
      <c r="K621" s="96" t="inlineStr">
        <is>
          <t>0300 MIDEA GROUP</t>
        </is>
      </c>
    </row>
    <row r="622">
      <c r="A622" s="16" t="inlineStr">
        <is>
          <t>YHLO (Hong Kong) Limited</t>
        </is>
      </c>
      <c r="B622" s="89" t="n">
        <v>1</v>
      </c>
      <c r="C622" s="94" t="n">
        <v>100</v>
      </c>
      <c r="D622" s="95" t="n">
        <v>7.7</v>
      </c>
      <c r="E622" s="95" t="n">
        <v>15.3</v>
      </c>
      <c r="F622" s="95" t="n">
        <v>94.40000000000001</v>
      </c>
      <c r="G622" s="95" t="n">
        <v>129.4</v>
      </c>
      <c r="H622" s="95" t="n">
        <v>7.1</v>
      </c>
      <c r="I622" s="95" t="n">
        <v>80.5</v>
      </c>
      <c r="J622" s="95" t="n">
        <v>112.9</v>
      </c>
      <c r="K622" s="96" t="inlineStr">
        <is>
          <t>2325 YUNKANG GROUP</t>
        </is>
      </c>
    </row>
    <row r="623">
      <c r="A623" s="16" t="inlineStr">
        <is>
          <t>Cangzhou Chuangrong Equity Investment Fund Co., Ltd</t>
        </is>
      </c>
      <c r="B623" s="89" t="n">
        <v>1</v>
      </c>
      <c r="C623" s="94" t="n">
        <v>100</v>
      </c>
      <c r="D623" s="95" t="n">
        <v>7.7</v>
      </c>
      <c r="E623" s="95" t="n">
        <v>1.9</v>
      </c>
      <c r="F623" s="95" t="n">
        <v>5.2</v>
      </c>
      <c r="G623" s="95" t="n">
        <v>-50.6</v>
      </c>
      <c r="H623" s="95" t="n">
        <v>-5.3</v>
      </c>
      <c r="I623" s="95" t="n">
        <v>-2.3</v>
      </c>
      <c r="J623" s="95" t="n">
        <v>-54.1</v>
      </c>
      <c r="K623" s="96" t="inlineStr">
        <is>
          <t>2511 HIGHTIDE-B</t>
        </is>
      </c>
    </row>
    <row r="624">
      <c r="A624" s="16" t="inlineStr">
        <is>
          <t>No5XJR Limited</t>
        </is>
      </c>
      <c r="B624" s="89" t="n">
        <v>1</v>
      </c>
      <c r="C624" s="94" t="n">
        <v>100</v>
      </c>
      <c r="D624" s="95" t="n">
        <v>7.6</v>
      </c>
      <c r="E624" s="95" t="n">
        <v>-47.4</v>
      </c>
      <c r="F624" s="95" t="n">
        <v>-60</v>
      </c>
      <c r="G624" s="95" t="n">
        <v>-49.6</v>
      </c>
      <c r="H624" s="95" t="n">
        <v>-51.1</v>
      </c>
      <c r="I624" s="95" t="n">
        <v>-62.8</v>
      </c>
      <c r="J624" s="95" t="n">
        <v>-53.2</v>
      </c>
      <c r="K624" s="96" t="inlineStr">
        <is>
          <t>2898 SUNHO BIO-B</t>
        </is>
      </c>
    </row>
    <row r="625">
      <c r="A625" s="16" t="inlineStr">
        <is>
          <t>Tiny Jade</t>
        </is>
      </c>
      <c r="B625" s="89" t="n">
        <v>1</v>
      </c>
      <c r="C625" s="94" t="n">
        <v>100</v>
      </c>
      <c r="D625" s="95" t="n">
        <v>7.6</v>
      </c>
      <c r="E625" s="95" t="n">
        <v>4.2</v>
      </c>
      <c r="F625" s="95" t="n">
        <v>-29.6</v>
      </c>
      <c r="G625" s="95" t="n">
        <v>-42.2</v>
      </c>
      <c r="H625" s="95" t="n">
        <v>-3.1</v>
      </c>
      <c r="I625" s="95" t="n">
        <v>-34.6</v>
      </c>
      <c r="J625" s="95" t="n">
        <v>-46.3</v>
      </c>
      <c r="K625" s="96" t="inlineStr">
        <is>
          <t>2671 USAS BUILDING</t>
        </is>
      </c>
    </row>
    <row r="626">
      <c r="A626" s="16" t="inlineStr">
        <is>
          <t>Logic Selective</t>
        </is>
      </c>
      <c r="B626" s="89" t="n">
        <v>1</v>
      </c>
      <c r="C626" s="94" t="n">
        <v>100</v>
      </c>
      <c r="D626" s="95" t="n">
        <v>7.6</v>
      </c>
      <c r="E626" s="95" t="n">
        <v>4.2</v>
      </c>
      <c r="F626" s="95" t="n">
        <v>-29.6</v>
      </c>
      <c r="G626" s="95" t="n">
        <v>-42.2</v>
      </c>
      <c r="H626" s="95" t="n">
        <v>-3.1</v>
      </c>
      <c r="I626" s="95" t="n">
        <v>-34.6</v>
      </c>
      <c r="J626" s="95" t="n">
        <v>-46.3</v>
      </c>
      <c r="K626" s="96" t="inlineStr">
        <is>
          <t>2671 USAS BUILDING</t>
        </is>
      </c>
    </row>
    <row r="627">
      <c r="A627" s="16" t="inlineStr">
        <is>
          <t>Swift Grace</t>
        </is>
      </c>
      <c r="B627" s="89" t="n">
        <v>1</v>
      </c>
      <c r="C627" s="94" t="n">
        <v>100</v>
      </c>
      <c r="D627" s="95" t="n">
        <v>7.5</v>
      </c>
      <c r="E627" s="95" t="n">
        <v>-3.3</v>
      </c>
      <c r="F627" s="95" t="n">
        <v>13.5</v>
      </c>
      <c r="G627" s="95" t="n">
        <v>48.7</v>
      </c>
      <c r="H627" s="95" t="n">
        <v>-10.1</v>
      </c>
      <c r="I627" s="95" t="n">
        <v>5.6</v>
      </c>
      <c r="J627" s="95" t="n">
        <v>38.3</v>
      </c>
      <c r="K627" s="96" t="inlineStr">
        <is>
          <t>2585 MOKINGRAN</t>
        </is>
      </c>
    </row>
    <row r="628">
      <c r="A628" s="16" t="inlineStr">
        <is>
          <t>C-MER Eye Care Holdings Limited</t>
        </is>
      </c>
      <c r="B628" s="89" t="n">
        <v>1</v>
      </c>
      <c r="C628" s="94" t="n">
        <v>100</v>
      </c>
      <c r="D628" s="95" t="n">
        <v>7.3</v>
      </c>
      <c r="E628" s="95" t="n">
        <v>106.5</v>
      </c>
      <c r="F628" s="95" t="n">
        <v>64.2</v>
      </c>
      <c r="G628" s="95" t="n">
        <v>59</v>
      </c>
      <c r="H628" s="95" t="n">
        <v>92.5</v>
      </c>
      <c r="I628" s="95" t="n">
        <v>53</v>
      </c>
      <c r="J628" s="95" t="n">
        <v>48.2</v>
      </c>
      <c r="K628" s="96" t="inlineStr">
        <is>
          <t>0020 SENSETIME-W</t>
        </is>
      </c>
    </row>
    <row r="629">
      <c r="A629" s="16" t="inlineStr">
        <is>
          <t>Guosheng Overseas Holdings (Hong Kong) Limited</t>
        </is>
      </c>
      <c r="B629" s="89" t="n">
        <v>1</v>
      </c>
      <c r="C629" s="94" t="n">
        <v>100</v>
      </c>
      <c r="D629" s="95" t="n">
        <v>7.3</v>
      </c>
      <c r="E629" s="95" t="n">
        <v>106.5</v>
      </c>
      <c r="F629" s="95" t="n">
        <v>64.2</v>
      </c>
      <c r="G629" s="95" t="n">
        <v>59</v>
      </c>
      <c r="H629" s="95" t="n">
        <v>92.5</v>
      </c>
      <c r="I629" s="95" t="n">
        <v>53</v>
      </c>
      <c r="J629" s="95" t="n">
        <v>48.2</v>
      </c>
      <c r="K629" s="96" t="inlineStr">
        <is>
          <t>0020 SENSETIME-W</t>
        </is>
      </c>
    </row>
    <row r="630">
      <c r="A630" s="16" t="inlineStr">
        <is>
          <t>HKSTP Venture Fund</t>
        </is>
      </c>
      <c r="B630" s="89" t="n">
        <v>1</v>
      </c>
      <c r="C630" s="94" t="n">
        <v>100</v>
      </c>
      <c r="D630" s="95" t="n">
        <v>7.3</v>
      </c>
      <c r="E630" s="95" t="n">
        <v>106.5</v>
      </c>
      <c r="F630" s="95" t="n">
        <v>64.2</v>
      </c>
      <c r="G630" s="95" t="n">
        <v>59</v>
      </c>
      <c r="H630" s="95" t="n">
        <v>92.5</v>
      </c>
      <c r="I630" s="95" t="n">
        <v>53</v>
      </c>
      <c r="J630" s="95" t="n">
        <v>48.2</v>
      </c>
      <c r="K630" s="96" t="inlineStr">
        <is>
          <t>0020 SENSETIME-W</t>
        </is>
      </c>
    </row>
    <row r="631">
      <c r="A631" s="16" t="inlineStr">
        <is>
          <t>SAIC Motor HK Investment Limited</t>
        </is>
      </c>
      <c r="B631" s="89" t="n">
        <v>1</v>
      </c>
      <c r="C631" s="94" t="n">
        <v>100</v>
      </c>
      <c r="D631" s="95" t="n">
        <v>7.3</v>
      </c>
      <c r="E631" s="95" t="n">
        <v>106.5</v>
      </c>
      <c r="F631" s="95" t="n">
        <v>64.2</v>
      </c>
      <c r="G631" s="95" t="n">
        <v>59</v>
      </c>
      <c r="H631" s="95" t="n">
        <v>92.5</v>
      </c>
      <c r="I631" s="95" t="n">
        <v>53</v>
      </c>
      <c r="J631" s="95" t="n">
        <v>48.2</v>
      </c>
      <c r="K631" s="96" t="inlineStr">
        <is>
          <t>0020 SENSETIME-W</t>
        </is>
      </c>
    </row>
    <row r="632">
      <c r="A632" s="16" t="inlineStr">
        <is>
          <t>Shanghai Xuhui Capital Investment Co., Ltd</t>
        </is>
      </c>
      <c r="B632" s="89" t="n">
        <v>1</v>
      </c>
      <c r="C632" s="94" t="n">
        <v>100</v>
      </c>
      <c r="D632" s="95" t="n">
        <v>7.3</v>
      </c>
      <c r="E632" s="95" t="n">
        <v>106.5</v>
      </c>
      <c r="F632" s="95" t="n">
        <v>64.2</v>
      </c>
      <c r="G632" s="95" t="n">
        <v>59</v>
      </c>
      <c r="H632" s="95" t="n">
        <v>92.5</v>
      </c>
      <c r="I632" s="95" t="n">
        <v>53</v>
      </c>
      <c r="J632" s="95" t="n">
        <v>48.2</v>
      </c>
      <c r="K632" s="96" t="inlineStr">
        <is>
          <t>0020 SENSETIME-W</t>
        </is>
      </c>
    </row>
    <row r="633">
      <c r="A633" s="16" t="inlineStr">
        <is>
          <t>Taizhou Culture &amp; Tourism Development Group Ltd</t>
        </is>
      </c>
      <c r="B633" s="89" t="n">
        <v>1</v>
      </c>
      <c r="C633" s="94" t="n">
        <v>100</v>
      </c>
      <c r="D633" s="95" t="n">
        <v>7.3</v>
      </c>
      <c r="E633" s="95" t="n">
        <v>106.5</v>
      </c>
      <c r="F633" s="95" t="n">
        <v>64.2</v>
      </c>
      <c r="G633" s="95" t="n">
        <v>59</v>
      </c>
      <c r="H633" s="95" t="n">
        <v>92.5</v>
      </c>
      <c r="I633" s="95" t="n">
        <v>53</v>
      </c>
      <c r="J633" s="95" t="n">
        <v>48.2</v>
      </c>
      <c r="K633" s="96" t="inlineStr">
        <is>
          <t>0020 SENSETIME-W</t>
        </is>
      </c>
    </row>
    <row r="634">
      <c r="A634" s="16" t="inlineStr">
        <is>
          <t>HONG KONG BAIJIADA NEW MATERIAL LIMITED</t>
        </is>
      </c>
      <c r="B634" s="89" t="n">
        <v>1</v>
      </c>
      <c r="C634" s="94" t="n">
        <v>100</v>
      </c>
      <c r="D634" s="95" t="n">
        <v>7.1</v>
      </c>
      <c r="E634" s="95" t="n">
        <v>1.1</v>
      </c>
      <c r="F634" s="95" t="n">
        <v>0.7</v>
      </c>
      <c r="G634" s="95" t="n">
        <v>5.5</v>
      </c>
      <c r="H634" s="95" t="n">
        <v>-5.7</v>
      </c>
      <c r="I634" s="95" t="n">
        <v>-6</v>
      </c>
      <c r="J634" s="95" t="n">
        <v>-1.5</v>
      </c>
      <c r="K634" s="96" t="inlineStr">
        <is>
          <t>2411 PAGODA GP</t>
        </is>
      </c>
    </row>
    <row r="635">
      <c r="A635" s="16" t="inlineStr">
        <is>
          <t>Nantong Douson Drilling and Production Equipment Co., Ltd</t>
        </is>
      </c>
      <c r="B635" s="89" t="n">
        <v>1</v>
      </c>
      <c r="C635" s="94" t="n">
        <v>100</v>
      </c>
      <c r="D635" s="95" t="n">
        <v>7.1</v>
      </c>
      <c r="E635" s="95" t="n">
        <v>1.1</v>
      </c>
      <c r="F635" s="95" t="n">
        <v>0.7</v>
      </c>
      <c r="G635" s="95" t="n">
        <v>5.5</v>
      </c>
      <c r="H635" s="95" t="n">
        <v>-5.7</v>
      </c>
      <c r="I635" s="95" t="n">
        <v>-6</v>
      </c>
      <c r="J635" s="95" t="n">
        <v>-1.5</v>
      </c>
      <c r="K635" s="96" t="inlineStr">
        <is>
          <t>2411 PAGODA GP</t>
        </is>
      </c>
    </row>
    <row r="636">
      <c r="A636" s="16" t="inlineStr">
        <is>
          <t>Yip Wing Kui</t>
        </is>
      </c>
      <c r="B636" s="89" t="n">
        <v>1</v>
      </c>
      <c r="C636" s="94" t="n">
        <v>100</v>
      </c>
      <c r="D636" s="95" t="n">
        <v>7.1</v>
      </c>
      <c r="E636" s="95" t="n">
        <v>1.1</v>
      </c>
      <c r="F636" s="95" t="n">
        <v>0.7</v>
      </c>
      <c r="G636" s="95" t="n">
        <v>5.5</v>
      </c>
      <c r="H636" s="95" t="n">
        <v>-5.7</v>
      </c>
      <c r="I636" s="95" t="n">
        <v>-6</v>
      </c>
      <c r="J636" s="95" t="n">
        <v>-1.5</v>
      </c>
      <c r="K636" s="96" t="inlineStr">
        <is>
          <t>2411 PAGODA GP</t>
        </is>
      </c>
    </row>
    <row r="637">
      <c r="A637" s="16" t="inlineStr">
        <is>
          <t>H&amp;T Intelligent Control International Co., Limited</t>
        </is>
      </c>
      <c r="B637" s="89" t="n">
        <v>1</v>
      </c>
      <c r="C637" s="94" t="n">
        <v>100</v>
      </c>
      <c r="D637" s="95" t="n">
        <v>6.4</v>
      </c>
      <c r="E637" s="95" t="n">
        <v>2.3</v>
      </c>
      <c r="F637" s="95" t="n">
        <v>42.3</v>
      </c>
      <c r="G637" s="95" t="n">
        <v>23.2</v>
      </c>
      <c r="H637" s="95" t="n">
        <v>-3.8</v>
      </c>
      <c r="I637" s="95" t="n">
        <v>33.7</v>
      </c>
      <c r="J637" s="95" t="n">
        <v>15.8</v>
      </c>
      <c r="K637" s="96" t="inlineStr">
        <is>
          <t>2631 SICC</t>
        </is>
      </c>
    </row>
    <row r="638">
      <c r="A638" s="16" t="inlineStr">
        <is>
          <t>Mr. Lan Kun ( ᚆտ)</t>
        </is>
      </c>
      <c r="B638" s="89" t="n">
        <v>1</v>
      </c>
      <c r="C638" s="94" t="n">
        <v>100</v>
      </c>
      <c r="D638" s="95" t="n">
        <v>6.4</v>
      </c>
      <c r="E638" s="95" t="n">
        <v>2.3</v>
      </c>
      <c r="F638" s="95" t="n">
        <v>42.3</v>
      </c>
      <c r="G638" s="95" t="n">
        <v>23.2</v>
      </c>
      <c r="H638" s="95" t="n">
        <v>-3.8</v>
      </c>
      <c r="I638" s="95" t="n">
        <v>33.7</v>
      </c>
      <c r="J638" s="95" t="n">
        <v>15.8</v>
      </c>
      <c r="K638" s="96" t="inlineStr">
        <is>
          <t>2631 SICC</t>
        </is>
      </c>
    </row>
    <row r="639">
      <c r="A639" s="16" t="inlineStr">
        <is>
          <t>Mr. Tiago Braz</t>
        </is>
      </c>
      <c r="B639" s="89" t="n">
        <v>1</v>
      </c>
      <c r="C639" s="94" t="n">
        <v>100</v>
      </c>
      <c r="D639" s="95" t="n">
        <v>6.3</v>
      </c>
      <c r="E639" s="95" t="n">
        <v>-5.7</v>
      </c>
      <c r="F639" s="95" t="n">
        <v>-4.1</v>
      </c>
      <c r="G639" s="95" t="n">
        <v>-8.699999999999999</v>
      </c>
      <c r="H639" s="95" t="n">
        <v>-11.2</v>
      </c>
      <c r="I639" s="95" t="n">
        <v>-9.800000000000001</v>
      </c>
      <c r="J639" s="95" t="n">
        <v>-14.1</v>
      </c>
      <c r="K639" s="96" t="inlineStr">
        <is>
          <t>2613 CONTIOCEAN</t>
        </is>
      </c>
    </row>
    <row r="640">
      <c r="A640" s="16" t="inlineStr">
        <is>
          <t>Yorkool International Limited</t>
        </is>
      </c>
      <c r="B640" s="89" t="n">
        <v>1</v>
      </c>
      <c r="C640" s="94" t="n">
        <v>100</v>
      </c>
      <c r="D640" s="95" t="n">
        <v>6</v>
      </c>
      <c r="E640" s="95" t="n">
        <v>34</v>
      </c>
      <c r="F640" s="95" t="n">
        <v>24.2</v>
      </c>
      <c r="G640" s="95" t="n">
        <v>9.9</v>
      </c>
      <c r="H640" s="95" t="n">
        <v>26.4</v>
      </c>
      <c r="I640" s="95" t="n">
        <v>17.1</v>
      </c>
      <c r="J640" s="95" t="n">
        <v>3.7</v>
      </c>
      <c r="K640" s="96" t="inlineStr">
        <is>
          <t>2252 MEDBOT-B</t>
        </is>
      </c>
    </row>
    <row r="641">
      <c r="A641" s="16" t="inlineStr">
        <is>
          <t>CS Logistics Holdings Ltd</t>
        </is>
      </c>
      <c r="B641" s="89" t="n">
        <v>1</v>
      </c>
      <c r="C641" s="94" t="n">
        <v>100</v>
      </c>
      <c r="D641" s="95" t="n">
        <v>5.5</v>
      </c>
      <c r="E641" s="95" t="n">
        <v>-7.6</v>
      </c>
      <c r="F641" s="95" t="n">
        <v>-20.1</v>
      </c>
      <c r="G641" s="95" t="n">
        <v>-56.1</v>
      </c>
      <c r="H641" s="95" t="n">
        <v>-12.4</v>
      </c>
      <c r="I641" s="95" t="n">
        <v>-24.3</v>
      </c>
      <c r="J641" s="95" t="n">
        <v>-58.4</v>
      </c>
      <c r="K641" s="96" t="inlineStr">
        <is>
          <t>2209 YESASIA HLDGS</t>
        </is>
      </c>
    </row>
    <row r="642">
      <c r="A642" s="16" t="inlineStr">
        <is>
          <t>De Well Group Singapore Pte. Ltd</t>
        </is>
      </c>
      <c r="B642" s="89" t="n">
        <v>1</v>
      </c>
      <c r="C642" s="94" t="n">
        <v>100</v>
      </c>
      <c r="D642" s="95" t="n">
        <v>5.5</v>
      </c>
      <c r="E642" s="95" t="n">
        <v>-16.4</v>
      </c>
      <c r="F642" s="95" t="n">
        <v>-20.9</v>
      </c>
      <c r="G642" s="95" t="n">
        <v>-33.8</v>
      </c>
      <c r="H642" s="95" t="n">
        <v>-20.8</v>
      </c>
      <c r="I642" s="95" t="n">
        <v>-25</v>
      </c>
      <c r="J642" s="95" t="n">
        <v>-37.3</v>
      </c>
      <c r="K642" s="96" t="inlineStr">
        <is>
          <t>2420 ZIBUYU</t>
        </is>
      </c>
    </row>
    <row r="643">
      <c r="A643" s="16" t="inlineStr">
        <is>
          <t>Castrol Holdings International Limited</t>
        </is>
      </c>
      <c r="B643" s="89" t="n">
        <v>1</v>
      </c>
      <c r="C643" s="94" t="n">
        <v>100</v>
      </c>
      <c r="D643" s="95" t="n">
        <v>5.4</v>
      </c>
      <c r="E643" s="95" t="n">
        <v>2.5</v>
      </c>
      <c r="F643" s="95" t="n">
        <v>25.7</v>
      </c>
      <c r="G643" s="95" t="n">
        <v>7</v>
      </c>
      <c r="H643" s="95" t="n">
        <v>-2.7</v>
      </c>
      <c r="I643" s="95" t="n">
        <v>19.3</v>
      </c>
      <c r="J643" s="95" t="n">
        <v>1.5</v>
      </c>
      <c r="K643" s="96" t="inlineStr">
        <is>
          <t>9690 TUHU-W</t>
        </is>
      </c>
    </row>
    <row r="644">
      <c r="A644" s="16" t="inlineStr">
        <is>
          <t>Image Frame Investment (HK) Limited</t>
        </is>
      </c>
      <c r="B644" s="89" t="n">
        <v>1</v>
      </c>
      <c r="C644" s="94" t="n">
        <v>100</v>
      </c>
      <c r="D644" s="95" t="n">
        <v>5.4</v>
      </c>
      <c r="E644" s="95" t="n">
        <v>2.5</v>
      </c>
      <c r="F644" s="95" t="n">
        <v>25.7</v>
      </c>
      <c r="G644" s="95" t="n">
        <v>7</v>
      </c>
      <c r="H644" s="95" t="n">
        <v>-2.7</v>
      </c>
      <c r="I644" s="95" t="n">
        <v>19.3</v>
      </c>
      <c r="J644" s="95" t="n">
        <v>1.5</v>
      </c>
      <c r="K644" s="96" t="inlineStr">
        <is>
          <t>9690 TUHU-W</t>
        </is>
      </c>
    </row>
    <row r="645">
      <c r="A645" s="16" t="inlineStr">
        <is>
          <t>Shanghai Zizhu High-tech Zone (Group) Co., Ltd</t>
        </is>
      </c>
      <c r="B645" s="89" t="n">
        <v>1</v>
      </c>
      <c r="C645" s="94" t="n">
        <v>100</v>
      </c>
      <c r="D645" s="95" t="n">
        <v>5.4</v>
      </c>
      <c r="E645" s="95" t="n">
        <v>2.5</v>
      </c>
      <c r="F645" s="95" t="n">
        <v>25.7</v>
      </c>
      <c r="G645" s="95" t="n">
        <v>7</v>
      </c>
      <c r="H645" s="95" t="n">
        <v>-2.7</v>
      </c>
      <c r="I645" s="95" t="n">
        <v>19.3</v>
      </c>
      <c r="J645" s="95" t="n">
        <v>1.5</v>
      </c>
      <c r="K645" s="96" t="inlineStr">
        <is>
          <t>9690 TUHU-W</t>
        </is>
      </c>
    </row>
    <row r="646">
      <c r="A646" s="16" t="inlineStr">
        <is>
          <t>Accelerator VI Ltd</t>
        </is>
      </c>
      <c r="B646" s="89" t="n">
        <v>1</v>
      </c>
      <c r="C646" s="94" t="n">
        <v>100</v>
      </c>
      <c r="D646" s="95" t="n">
        <v>5.4</v>
      </c>
      <c r="E646" s="95" t="n">
        <v>12.6</v>
      </c>
      <c r="F646" s="95" t="n">
        <v>9.9</v>
      </c>
      <c r="G646" s="95" t="n">
        <v>92.5</v>
      </c>
      <c r="H646" s="95" t="n">
        <v>6.9</v>
      </c>
      <c r="I646" s="95" t="n">
        <v>4.3</v>
      </c>
      <c r="J646" s="95" t="n">
        <v>82.7</v>
      </c>
      <c r="K646" s="96" t="inlineStr">
        <is>
          <t>2590 GEEKPLUS-W</t>
        </is>
      </c>
    </row>
    <row r="647">
      <c r="A647" s="16" t="inlineStr">
        <is>
          <t>Primus Cabibbo Limited</t>
        </is>
      </c>
      <c r="B647" s="89" t="n">
        <v>1</v>
      </c>
      <c r="C647" s="94" t="n">
        <v>100</v>
      </c>
      <c r="D647" s="95" t="n">
        <v>5.4</v>
      </c>
      <c r="E647" s="95" t="n">
        <v>12.6</v>
      </c>
      <c r="F647" s="95" t="n">
        <v>9.9</v>
      </c>
      <c r="G647" s="95" t="n">
        <v>92.5</v>
      </c>
      <c r="H647" s="95" t="n">
        <v>6.9</v>
      </c>
      <c r="I647" s="95" t="n">
        <v>4.3</v>
      </c>
      <c r="J647" s="95" t="n">
        <v>82.7</v>
      </c>
      <c r="K647" s="96" t="inlineStr">
        <is>
          <t>2590 GEEKPLUS-W</t>
        </is>
      </c>
    </row>
    <row r="648">
      <c r="A648" s="16" t="inlineStr">
        <is>
          <t>NCC China A-Share Master Fund</t>
        </is>
      </c>
      <c r="B648" s="89" t="n">
        <v>1</v>
      </c>
      <c r="C648" s="94" t="n">
        <v>100</v>
      </c>
      <c r="D648" s="95" t="n">
        <v>5.1</v>
      </c>
      <c r="E648" s="95" t="n">
        <v>1.1</v>
      </c>
      <c r="F648" s="95" t="n">
        <v>-17.3</v>
      </c>
      <c r="G648" s="95" t="n">
        <v>-38.1</v>
      </c>
      <c r="H648" s="95" t="n">
        <v>-3.7</v>
      </c>
      <c r="I648" s="95" t="n">
        <v>-21.3</v>
      </c>
      <c r="J648" s="95" t="n">
        <v>-41.1</v>
      </c>
      <c r="K648" s="96" t="inlineStr">
        <is>
          <t>2279 YONGHE MEDICAL</t>
        </is>
      </c>
    </row>
    <row r="649">
      <c r="A649" s="16" t="inlineStr">
        <is>
          <t>Xunyi Limited</t>
        </is>
      </c>
      <c r="B649" s="89" t="n">
        <v>1</v>
      </c>
      <c r="C649" s="94" t="n">
        <v>100</v>
      </c>
      <c r="D649" s="95" t="n">
        <v>5.1</v>
      </c>
      <c r="E649" s="95" t="n">
        <v>2.2</v>
      </c>
      <c r="F649" s="95" t="n">
        <v>5.4</v>
      </c>
      <c r="G649" s="95" t="n">
        <v>60.8</v>
      </c>
      <c r="H649" s="95" t="n">
        <v>-2.8</v>
      </c>
      <c r="I649" s="95" t="n">
        <v>0.3</v>
      </c>
      <c r="J649" s="95" t="n">
        <v>53</v>
      </c>
      <c r="K649" s="96" t="inlineStr">
        <is>
          <t>2506 XUNFEIHEALTH</t>
        </is>
      </c>
    </row>
    <row r="650">
      <c r="A650" s="16" t="inlineStr">
        <is>
          <t>ClinChoice Medical Development Limited</t>
        </is>
      </c>
      <c r="B650" s="89" t="n">
        <v>1</v>
      </c>
      <c r="C650" s="94" t="n">
        <v>100</v>
      </c>
      <c r="D650" s="95" t="n">
        <v>5</v>
      </c>
      <c r="E650" s="95" t="n">
        <v>34.4</v>
      </c>
      <c r="F650" s="95" t="n">
        <v>38.2</v>
      </c>
      <c r="G650" s="95" t="n">
        <v>53</v>
      </c>
      <c r="H650" s="95" t="n">
        <v>28.1</v>
      </c>
      <c r="I650" s="95" t="n">
        <v>31.6</v>
      </c>
      <c r="J650" s="95" t="n">
        <v>45.8</v>
      </c>
      <c r="K650" s="96" t="inlineStr">
        <is>
          <t>1541 IMMUNEONCO-B</t>
        </is>
      </c>
    </row>
    <row r="651">
      <c r="A651" s="16" t="inlineStr">
        <is>
          <t>Hong Tai International III LPF</t>
        </is>
      </c>
      <c r="B651" s="89" t="n">
        <v>1</v>
      </c>
      <c r="C651" s="94" t="n">
        <v>100</v>
      </c>
      <c r="D651" s="95" t="n">
        <v>5</v>
      </c>
      <c r="E651" s="95" t="n">
        <v>-19.4</v>
      </c>
      <c r="F651" s="95" t="n">
        <v>-17.1</v>
      </c>
      <c r="G651" s="95" t="n">
        <v>-2.7</v>
      </c>
      <c r="H651" s="95" t="n">
        <v>-23.3</v>
      </c>
      <c r="I651" s="95" t="n">
        <v>-21.1</v>
      </c>
      <c r="J651" s="95" t="n">
        <v>-7.3</v>
      </c>
      <c r="K651" s="96" t="inlineStr">
        <is>
          <t>1471 ZHONGMIAO</t>
        </is>
      </c>
    </row>
    <row r="652">
      <c r="A652" s="16" t="inlineStr">
        <is>
          <t>Golden Feather Corporation</t>
        </is>
      </c>
      <c r="B652" s="89" t="n">
        <v>1</v>
      </c>
      <c r="C652" s="94" t="n">
        <v>100</v>
      </c>
      <c r="D652" s="95" t="n">
        <v>4.9</v>
      </c>
      <c r="E652" s="95" t="n">
        <v>0</v>
      </c>
      <c r="F652" s="95" t="n">
        <v>-8.5</v>
      </c>
      <c r="G652" s="95" t="n">
        <v>3</v>
      </c>
      <c r="H652" s="95" t="n">
        <v>-4.7</v>
      </c>
      <c r="I652" s="95" t="n">
        <v>-12.8</v>
      </c>
      <c r="J652" s="95" t="n">
        <v>-1.8</v>
      </c>
      <c r="K652" s="96" t="inlineStr">
        <is>
          <t>9878 HUITONGDA NET</t>
        </is>
      </c>
    </row>
    <row r="653">
      <c r="A653" s="16" t="inlineStr">
        <is>
          <t>Skyworth Overseas Investment Holdings Limited</t>
        </is>
      </c>
      <c r="B653" s="89" t="n">
        <v>1</v>
      </c>
      <c r="C653" s="94" t="n">
        <v>100</v>
      </c>
      <c r="D653" s="95" t="n">
        <v>4.9</v>
      </c>
      <c r="E653" s="95" t="n">
        <v>0</v>
      </c>
      <c r="F653" s="95" t="n">
        <v>-8.5</v>
      </c>
      <c r="G653" s="95" t="n">
        <v>3</v>
      </c>
      <c r="H653" s="95" t="n">
        <v>-4.7</v>
      </c>
      <c r="I653" s="95" t="n">
        <v>-12.8</v>
      </c>
      <c r="J653" s="95" t="n">
        <v>-1.8</v>
      </c>
      <c r="K653" s="96" t="inlineStr">
        <is>
          <t>9878 HUITONGDA NET</t>
        </is>
      </c>
    </row>
    <row r="654">
      <c r="A654" s="16" t="inlineStr">
        <is>
          <t>Windfall T&amp;L SPC</t>
        </is>
      </c>
      <c r="B654" s="89" t="n">
        <v>1</v>
      </c>
      <c r="C654" s="94" t="n">
        <v>100</v>
      </c>
      <c r="D654" s="95" t="n">
        <v>4.9</v>
      </c>
      <c r="E654" s="95" t="n">
        <v>0</v>
      </c>
      <c r="F654" s="95" t="n">
        <v>-8.5</v>
      </c>
      <c r="G654" s="95" t="n">
        <v>3</v>
      </c>
      <c r="H654" s="95" t="n">
        <v>-4.7</v>
      </c>
      <c r="I654" s="95" t="n">
        <v>-12.8</v>
      </c>
      <c r="J654" s="95" t="n">
        <v>-1.8</v>
      </c>
      <c r="K654" s="96" t="inlineStr">
        <is>
          <t>9878 HUITONGDA NET</t>
        </is>
      </c>
    </row>
    <row r="655">
      <c r="A655" s="16" t="inlineStr">
        <is>
          <t>Manulife Investment Management (Hong Kong) Limited</t>
        </is>
      </c>
      <c r="B655" s="89" t="n">
        <v>1</v>
      </c>
      <c r="C655" s="94" t="n">
        <v>100</v>
      </c>
      <c r="D655" s="95" t="n">
        <v>4.7</v>
      </c>
      <c r="E655" s="95" t="n">
        <v>-2.3</v>
      </c>
      <c r="F655" s="95" t="n">
        <v>6.7</v>
      </c>
      <c r="G655" s="95" t="n"/>
      <c r="H655" s="95" t="n">
        <v>-6.7</v>
      </c>
      <c r="I655" s="95" t="n">
        <v>1.9</v>
      </c>
      <c r="J655" s="95" t="n"/>
      <c r="K655" s="96" t="inlineStr">
        <is>
          <t>6951 CCTC</t>
        </is>
      </c>
    </row>
    <row r="656">
      <c r="A656" s="16" t="inlineStr">
        <is>
          <t>Yuanbao Family Office Limited</t>
        </is>
      </c>
      <c r="B656" s="89" t="n">
        <v>1</v>
      </c>
      <c r="C656" s="94" t="n">
        <v>100</v>
      </c>
      <c r="D656" s="95" t="n">
        <v>4.3</v>
      </c>
      <c r="E656" s="95" t="n">
        <v>-19.5</v>
      </c>
      <c r="F656" s="95" t="n">
        <v>-44.7</v>
      </c>
      <c r="G656" s="95" t="n"/>
      <c r="H656" s="95" t="n">
        <v>-22.9</v>
      </c>
      <c r="I656" s="95" t="n">
        <v>-47</v>
      </c>
      <c r="J656" s="95" t="n"/>
      <c r="K656" s="96" t="inlineStr">
        <is>
          <t>6106 SEER TECH</t>
        </is>
      </c>
    </row>
    <row r="657">
      <c r="A657" s="16" t="inlineStr">
        <is>
          <t>Fook Man Development Company Limited</t>
        </is>
      </c>
      <c r="B657" s="89" t="n">
        <v>1</v>
      </c>
      <c r="C657" s="94" t="n">
        <v>100</v>
      </c>
      <c r="D657" s="95" t="n">
        <v>4.2</v>
      </c>
      <c r="E657" s="95" t="n">
        <v>-4.9</v>
      </c>
      <c r="F657" s="95" t="n">
        <v>-8.6</v>
      </c>
      <c r="G657" s="95" t="n">
        <v>-4.7</v>
      </c>
      <c r="H657" s="95" t="n">
        <v>-8.699999999999999</v>
      </c>
      <c r="I657" s="95" t="n">
        <v>-12.2</v>
      </c>
      <c r="J657" s="95" t="n">
        <v>-8.5</v>
      </c>
      <c r="K657" s="96" t="inlineStr">
        <is>
          <t>9889 DRCB</t>
        </is>
      </c>
    </row>
    <row r="658">
      <c r="A658" s="16" t="inlineStr">
        <is>
          <t>Guohua Life Insurance Co., Ltd</t>
        </is>
      </c>
      <c r="B658" s="89" t="n">
        <v>1</v>
      </c>
      <c r="C658" s="94" t="n">
        <v>100</v>
      </c>
      <c r="D658" s="95" t="n">
        <v>4.2</v>
      </c>
      <c r="E658" s="95" t="n">
        <v>21.1</v>
      </c>
      <c r="F658" s="95" t="n">
        <v>14.5</v>
      </c>
      <c r="G658" s="95" t="n">
        <v>17.8</v>
      </c>
      <c r="H658" s="95" t="n">
        <v>16.3</v>
      </c>
      <c r="I658" s="95" t="n">
        <v>9.9</v>
      </c>
      <c r="J658" s="95" t="n">
        <v>13.1</v>
      </c>
      <c r="K658" s="96" t="inlineStr">
        <is>
          <t>2701 NSING TECH</t>
        </is>
      </c>
    </row>
    <row r="659">
      <c r="A659" s="16" t="inlineStr">
        <is>
          <t>Mr. An Jiangbo</t>
        </is>
      </c>
      <c r="B659" s="89" t="n">
        <v>1</v>
      </c>
      <c r="C659" s="94" t="n">
        <v>100</v>
      </c>
      <c r="D659" s="95" t="n">
        <v>4.2</v>
      </c>
      <c r="E659" s="95" t="n">
        <v>21.1</v>
      </c>
      <c r="F659" s="95" t="n">
        <v>14.5</v>
      </c>
      <c r="G659" s="95" t="n">
        <v>17.8</v>
      </c>
      <c r="H659" s="95" t="n">
        <v>16.3</v>
      </c>
      <c r="I659" s="95" t="n">
        <v>9.9</v>
      </c>
      <c r="J659" s="95" t="n">
        <v>13.1</v>
      </c>
      <c r="K659" s="96" t="inlineStr">
        <is>
          <t>2701 NSING TECH</t>
        </is>
      </c>
    </row>
    <row r="660">
      <c r="A660" s="16" t="inlineStr">
        <is>
          <t>Ms. Christine Tai</t>
        </is>
      </c>
      <c r="B660" s="89" t="n">
        <v>1</v>
      </c>
      <c r="C660" s="94" t="n">
        <v>100</v>
      </c>
      <c r="D660" s="95" t="n">
        <v>4.2</v>
      </c>
      <c r="E660" s="95" t="n">
        <v>21.1</v>
      </c>
      <c r="F660" s="95" t="n">
        <v>14.5</v>
      </c>
      <c r="G660" s="95" t="n">
        <v>17.8</v>
      </c>
      <c r="H660" s="95" t="n">
        <v>16.3</v>
      </c>
      <c r="I660" s="95" t="n">
        <v>9.9</v>
      </c>
      <c r="J660" s="95" t="n">
        <v>13.1</v>
      </c>
      <c r="K660" s="96" t="inlineStr">
        <is>
          <t>2701 NSING TECH</t>
        </is>
      </c>
    </row>
    <row r="661">
      <c r="A661" s="16" t="inlineStr">
        <is>
          <t>Hangzhou Fuyang Industrial Fund Investment Management Co., Ltd</t>
        </is>
      </c>
      <c r="B661" s="89" t="n">
        <v>1</v>
      </c>
      <c r="C661" s="94" t="n">
        <v>100</v>
      </c>
      <c r="D661" s="95" t="n">
        <v>4</v>
      </c>
      <c r="E661" s="95" t="n">
        <v>-5.1</v>
      </c>
      <c r="F661" s="95" t="n">
        <v>-6.2</v>
      </c>
      <c r="G661" s="95" t="n">
        <v>45.7</v>
      </c>
      <c r="H661" s="95" t="n">
        <v>-8.699999999999999</v>
      </c>
      <c r="I661" s="95" t="n">
        <v>-9.800000000000001</v>
      </c>
      <c r="J661" s="95" t="n">
        <v>40.1</v>
      </c>
      <c r="K661" s="96" t="inlineStr">
        <is>
          <t>6929 ORBUSNEICH</t>
        </is>
      </c>
    </row>
    <row r="662">
      <c r="A662" s="16" t="inlineStr">
        <is>
          <t>Wii Pte Ltd (Wilmar)</t>
        </is>
      </c>
      <c r="B662" s="89" t="n">
        <v>1</v>
      </c>
      <c r="C662" s="94" t="n">
        <v>100</v>
      </c>
      <c r="D662" s="95" t="n">
        <v>3.9</v>
      </c>
      <c r="E662" s="95" t="n">
        <v>0.5</v>
      </c>
      <c r="F662" s="95" t="n">
        <v>19.7</v>
      </c>
      <c r="G662" s="95" t="n">
        <v>0.7</v>
      </c>
      <c r="H662" s="95" t="n">
        <v>-3.3</v>
      </c>
      <c r="I662" s="95" t="n">
        <v>15.2</v>
      </c>
      <c r="J662" s="95" t="n">
        <v>-3.1</v>
      </c>
      <c r="K662" s="96" t="inlineStr">
        <is>
          <t>2714 MUYUAN</t>
        </is>
      </c>
    </row>
    <row r="663">
      <c r="A663" s="16" t="inlineStr">
        <is>
          <t>HPRY Holdings (Wilmar)</t>
        </is>
      </c>
      <c r="B663" s="89" t="n">
        <v>1</v>
      </c>
      <c r="C663" s="94" t="n">
        <v>100</v>
      </c>
      <c r="D663" s="95" t="n">
        <v>3.9</v>
      </c>
      <c r="E663" s="95" t="n">
        <v>0.5</v>
      </c>
      <c r="F663" s="95" t="n">
        <v>19.7</v>
      </c>
      <c r="G663" s="95" t="n">
        <v>0.7</v>
      </c>
      <c r="H663" s="95" t="n">
        <v>-3.3</v>
      </c>
      <c r="I663" s="95" t="n">
        <v>15.2</v>
      </c>
      <c r="J663" s="95" t="n">
        <v>-3.1</v>
      </c>
      <c r="K663" s="96" t="inlineStr">
        <is>
          <t>2714 MUYUAN</t>
        </is>
      </c>
    </row>
    <row r="664">
      <c r="A664" s="16" t="inlineStr">
        <is>
          <t>Sinochem Hong Kong (Group)</t>
        </is>
      </c>
      <c r="B664" s="89" t="n">
        <v>1</v>
      </c>
      <c r="C664" s="94" t="n">
        <v>100</v>
      </c>
      <c r="D664" s="95" t="n">
        <v>3.9</v>
      </c>
      <c r="E664" s="95" t="n">
        <v>0.5</v>
      </c>
      <c r="F664" s="95" t="n">
        <v>19.7</v>
      </c>
      <c r="G664" s="95" t="n">
        <v>0.7</v>
      </c>
      <c r="H664" s="95" t="n">
        <v>-3.3</v>
      </c>
      <c r="I664" s="95" t="n">
        <v>15.2</v>
      </c>
      <c r="J664" s="95" t="n">
        <v>-3.1</v>
      </c>
      <c r="K664" s="96" t="inlineStr">
        <is>
          <t>2714 MUYUAN</t>
        </is>
      </c>
    </row>
    <row r="665">
      <c r="A665" s="16" t="inlineStr">
        <is>
          <t>Hong Kong Henan Agri International</t>
        </is>
      </c>
      <c r="B665" s="89" t="n">
        <v>1</v>
      </c>
      <c r="C665" s="94" t="n">
        <v>100</v>
      </c>
      <c r="D665" s="95" t="n">
        <v>3.9</v>
      </c>
      <c r="E665" s="95" t="n">
        <v>0.5</v>
      </c>
      <c r="F665" s="95" t="n">
        <v>19.7</v>
      </c>
      <c r="G665" s="95" t="n">
        <v>0.7</v>
      </c>
      <c r="H665" s="95" t="n">
        <v>-3.3</v>
      </c>
      <c r="I665" s="95" t="n">
        <v>15.2</v>
      </c>
      <c r="J665" s="95" t="n">
        <v>-3.1</v>
      </c>
      <c r="K665" s="96" t="inlineStr">
        <is>
          <t>2714 MUYUAN</t>
        </is>
      </c>
    </row>
    <row r="666">
      <c r="A666" s="16" t="inlineStr">
        <is>
          <t>Midea Development Holding (BVI)</t>
        </is>
      </c>
      <c r="B666" s="89" t="n">
        <v>1</v>
      </c>
      <c r="C666" s="94" t="n">
        <v>100</v>
      </c>
      <c r="D666" s="95" t="n">
        <v>3.9</v>
      </c>
      <c r="E666" s="95" t="n">
        <v>0.5</v>
      </c>
      <c r="F666" s="95" t="n">
        <v>19.7</v>
      </c>
      <c r="G666" s="95" t="n">
        <v>0.7</v>
      </c>
      <c r="H666" s="95" t="n">
        <v>-3.3</v>
      </c>
      <c r="I666" s="95" t="n">
        <v>15.2</v>
      </c>
      <c r="J666" s="95" t="n">
        <v>-3.1</v>
      </c>
      <c r="K666" s="96" t="inlineStr">
        <is>
          <t>2714 MUYUAN</t>
        </is>
      </c>
    </row>
    <row r="667">
      <c r="A667" s="16" t="inlineStr">
        <is>
          <t>Cheng Hung Ping</t>
        </is>
      </c>
      <c r="B667" s="89" t="n">
        <v>1</v>
      </c>
      <c r="C667" s="94" t="n">
        <v>100</v>
      </c>
      <c r="D667" s="95" t="n">
        <v>3.8</v>
      </c>
      <c r="E667" s="95" t="n">
        <v>25</v>
      </c>
      <c r="F667" s="95" t="n">
        <v>60</v>
      </c>
      <c r="G667" s="95" t="n">
        <v>22.5</v>
      </c>
      <c r="H667" s="95" t="n">
        <v>20.5</v>
      </c>
      <c r="I667" s="95" t="n">
        <v>54.2</v>
      </c>
      <c r="J667" s="95" t="n">
        <v>18.1</v>
      </c>
      <c r="K667" s="96" t="inlineStr">
        <is>
          <t>1440 DEYUN HOLDING</t>
        </is>
      </c>
    </row>
    <row r="668">
      <c r="A668" s="16" t="inlineStr">
        <is>
          <t>Tam Yuk Ching Jenny</t>
        </is>
      </c>
      <c r="B668" s="89" t="n">
        <v>1</v>
      </c>
      <c r="C668" s="94" t="n">
        <v>100</v>
      </c>
      <c r="D668" s="95" t="n">
        <v>3.8</v>
      </c>
      <c r="E668" s="95" t="n">
        <v>25</v>
      </c>
      <c r="F668" s="95" t="n">
        <v>60</v>
      </c>
      <c r="G668" s="95" t="n">
        <v>22.5</v>
      </c>
      <c r="H668" s="95" t="n">
        <v>20.5</v>
      </c>
      <c r="I668" s="95" t="n">
        <v>54.2</v>
      </c>
      <c r="J668" s="95" t="n">
        <v>18.1</v>
      </c>
      <c r="K668" s="96" t="inlineStr">
        <is>
          <t>1440 DEYUN HOLDING</t>
        </is>
      </c>
    </row>
    <row r="669">
      <c r="A669" s="16" t="inlineStr">
        <is>
          <t>Tsai Chuen Sui Robert</t>
        </is>
      </c>
      <c r="B669" s="89" t="n">
        <v>1</v>
      </c>
      <c r="C669" s="94" t="n">
        <v>100</v>
      </c>
      <c r="D669" s="95" t="n">
        <v>3.8</v>
      </c>
      <c r="E669" s="95" t="n">
        <v>25</v>
      </c>
      <c r="F669" s="95" t="n">
        <v>60</v>
      </c>
      <c r="G669" s="95" t="n">
        <v>22.5</v>
      </c>
      <c r="H669" s="95" t="n">
        <v>20.5</v>
      </c>
      <c r="I669" s="95" t="n">
        <v>54.2</v>
      </c>
      <c r="J669" s="95" t="n">
        <v>18.1</v>
      </c>
      <c r="K669" s="96" t="inlineStr">
        <is>
          <t>1440 DEYUN HOLDING</t>
        </is>
      </c>
    </row>
    <row r="670">
      <c r="A670" s="16" t="inlineStr">
        <is>
          <t>Xingyu Automotive Lighting (Hong Kong) Company Limited</t>
        </is>
      </c>
      <c r="B670" s="89" t="n">
        <v>1</v>
      </c>
      <c r="C670" s="94" t="n">
        <v>100</v>
      </c>
      <c r="D670" s="95" t="n">
        <v>3.8</v>
      </c>
      <c r="E670" s="95" t="n">
        <v>3.7</v>
      </c>
      <c r="F670" s="95" t="n">
        <v>6.4</v>
      </c>
      <c r="G670" s="95" t="n">
        <v>-0.2</v>
      </c>
      <c r="H670" s="95" t="n">
        <v>-0.1</v>
      </c>
      <c r="I670" s="95" t="n">
        <v>2.5</v>
      </c>
      <c r="J670" s="95" t="n">
        <v>-3.8</v>
      </c>
      <c r="K670" s="96" t="inlineStr">
        <is>
          <t>9973 CHERY AUTO</t>
        </is>
      </c>
    </row>
    <row r="671">
      <c r="A671" s="16" t="inlineStr">
        <is>
          <t>Pilgrim Ever Project Company Limited</t>
        </is>
      </c>
      <c r="B671" s="89" t="n">
        <v>1</v>
      </c>
      <c r="C671" s="94" t="n">
        <v>100</v>
      </c>
      <c r="D671" s="95" t="n">
        <v>3.6</v>
      </c>
      <c r="E671" s="95" t="n">
        <v>3.1</v>
      </c>
      <c r="F671" s="95" t="n">
        <v>-8</v>
      </c>
      <c r="G671" s="95" t="n">
        <v>16.6</v>
      </c>
      <c r="H671" s="95" t="n">
        <v>-0.5</v>
      </c>
      <c r="I671" s="95" t="n">
        <v>-11.2</v>
      </c>
      <c r="J671" s="95" t="n">
        <v>12.5</v>
      </c>
      <c r="K671" s="96" t="inlineStr">
        <is>
          <t>6668 E-STAR CM</t>
        </is>
      </c>
    </row>
    <row r="672">
      <c r="A672" s="16" t="inlineStr">
        <is>
          <t>Shenzhen Qichang Investment Holding Limited</t>
        </is>
      </c>
      <c r="B672" s="89" t="n">
        <v>1</v>
      </c>
      <c r="C672" s="94" t="n">
        <v>100</v>
      </c>
      <c r="D672" s="95" t="n">
        <v>3.6</v>
      </c>
      <c r="E672" s="95" t="n">
        <v>3.1</v>
      </c>
      <c r="F672" s="95" t="n">
        <v>-8</v>
      </c>
      <c r="G672" s="95" t="n">
        <v>16.6</v>
      </c>
      <c r="H672" s="95" t="n">
        <v>-0.5</v>
      </c>
      <c r="I672" s="95" t="n">
        <v>-11.2</v>
      </c>
      <c r="J672" s="95" t="n">
        <v>12.5</v>
      </c>
      <c r="K672" s="96" t="inlineStr">
        <is>
          <t>6668 E-STAR CM</t>
        </is>
      </c>
    </row>
    <row r="673">
      <c r="A673" s="16" t="inlineStr">
        <is>
          <t>Virtues Origin SPC</t>
        </is>
      </c>
      <c r="B673" s="89" t="n">
        <v>1</v>
      </c>
      <c r="C673" s="94" t="n">
        <v>100</v>
      </c>
      <c r="D673" s="95" t="n">
        <v>3.6</v>
      </c>
      <c r="E673" s="95" t="n">
        <v>3.1</v>
      </c>
      <c r="F673" s="95" t="n">
        <v>-8</v>
      </c>
      <c r="G673" s="95" t="n">
        <v>16.6</v>
      </c>
      <c r="H673" s="95" t="n">
        <v>-0.5</v>
      </c>
      <c r="I673" s="95" t="n">
        <v>-11.2</v>
      </c>
      <c r="J673" s="95" t="n">
        <v>12.5</v>
      </c>
      <c r="K673" s="96" t="inlineStr">
        <is>
          <t>6668 E-STAR CM</t>
        </is>
      </c>
    </row>
    <row r="674">
      <c r="A674" s="16" t="inlineStr">
        <is>
          <t>Guokong Xinzhi Co., Limited</t>
        </is>
      </c>
      <c r="B674" s="89" t="n">
        <v>1</v>
      </c>
      <c r="C674" s="94" t="n">
        <v>100</v>
      </c>
      <c r="D674" s="95" t="n">
        <v>3.5</v>
      </c>
      <c r="E674" s="95" t="n">
        <v>-1.6</v>
      </c>
      <c r="F674" s="95" t="n">
        <v>-3.7</v>
      </c>
      <c r="G674" s="95" t="n">
        <v>-29.1</v>
      </c>
      <c r="H674" s="95" t="n">
        <v>-5</v>
      </c>
      <c r="I674" s="95" t="n">
        <v>-7</v>
      </c>
      <c r="J674" s="95" t="n">
        <v>-31.5</v>
      </c>
      <c r="K674" s="96" t="inlineStr">
        <is>
          <t>9611 LONGCHEER</t>
        </is>
      </c>
    </row>
    <row r="675">
      <c r="A675" s="16" t="inlineStr">
        <is>
          <t>Endless Growth NH Limited</t>
        </is>
      </c>
      <c r="B675" s="89" t="n">
        <v>1</v>
      </c>
      <c r="C675" s="94" t="n">
        <v>100</v>
      </c>
      <c r="D675" s="95" t="n">
        <v>3.5</v>
      </c>
      <c r="E675" s="95" t="n">
        <v>-1.6</v>
      </c>
      <c r="F675" s="95" t="n">
        <v>-3.7</v>
      </c>
      <c r="G675" s="95" t="n">
        <v>-29.1</v>
      </c>
      <c r="H675" s="95" t="n">
        <v>-5</v>
      </c>
      <c r="I675" s="95" t="n">
        <v>-7</v>
      </c>
      <c r="J675" s="95" t="n">
        <v>-31.5</v>
      </c>
      <c r="K675" s="96" t="inlineStr">
        <is>
          <t>9611 LONGCHEER</t>
        </is>
      </c>
    </row>
    <row r="676">
      <c r="A676" s="16" t="inlineStr">
        <is>
          <t>Qualcomm Ventures LLC</t>
        </is>
      </c>
      <c r="B676" s="89" t="n">
        <v>1</v>
      </c>
      <c r="C676" s="94" t="n">
        <v>100</v>
      </c>
      <c r="D676" s="95" t="n">
        <v>3.5</v>
      </c>
      <c r="E676" s="95" t="n">
        <v>-1.6</v>
      </c>
      <c r="F676" s="95" t="n">
        <v>-3.7</v>
      </c>
      <c r="G676" s="95" t="n">
        <v>-29.1</v>
      </c>
      <c r="H676" s="95" t="n">
        <v>-5</v>
      </c>
      <c r="I676" s="95" t="n">
        <v>-7</v>
      </c>
      <c r="J676" s="95" t="n">
        <v>-31.5</v>
      </c>
      <c r="K676" s="96" t="inlineStr">
        <is>
          <t>9611 LONGCHEER</t>
        </is>
      </c>
    </row>
    <row r="677">
      <c r="A677" s="16" t="inlineStr">
        <is>
          <t>Hong Kong Yuto Printing Company Limited</t>
        </is>
      </c>
      <c r="B677" s="89" t="n">
        <v>1</v>
      </c>
      <c r="C677" s="94" t="n">
        <v>100</v>
      </c>
      <c r="D677" s="95" t="n">
        <v>3.5</v>
      </c>
      <c r="E677" s="95" t="n">
        <v>-1.6</v>
      </c>
      <c r="F677" s="95" t="n">
        <v>-3.7</v>
      </c>
      <c r="G677" s="95" t="n">
        <v>-29.1</v>
      </c>
      <c r="H677" s="95" t="n">
        <v>-5</v>
      </c>
      <c r="I677" s="95" t="n">
        <v>-7</v>
      </c>
      <c r="J677" s="95" t="n">
        <v>-31.5</v>
      </c>
      <c r="K677" s="96" t="inlineStr">
        <is>
          <t>9611 LONGCHEER</t>
        </is>
      </c>
    </row>
    <row r="678">
      <c r="A678" s="16" t="inlineStr">
        <is>
          <t>Liugong Machinery Hongkong Co., Limited</t>
        </is>
      </c>
      <c r="B678" s="89" t="n">
        <v>1</v>
      </c>
      <c r="C678" s="94" t="n">
        <v>100</v>
      </c>
      <c r="D678" s="95" t="n">
        <v>3.4</v>
      </c>
      <c r="E678" s="95" t="n">
        <v>3.8</v>
      </c>
      <c r="F678" s="95" t="n">
        <v>2.7</v>
      </c>
      <c r="G678" s="95" t="n">
        <v>0.1</v>
      </c>
      <c r="H678" s="95" t="n">
        <v>0.4</v>
      </c>
      <c r="I678" s="95" t="n">
        <v>-0.7</v>
      </c>
      <c r="J678" s="95" t="n">
        <v>-3.1</v>
      </c>
      <c r="K678" s="96" t="inlineStr">
        <is>
          <t>2499 FOLANGSI</t>
        </is>
      </c>
    </row>
    <row r="679">
      <c r="A679" s="16" t="inlineStr">
        <is>
          <t>Huang Guangwei</t>
        </is>
      </c>
      <c r="B679" s="89" t="n">
        <v>1</v>
      </c>
      <c r="C679" s="94" t="n">
        <v>100</v>
      </c>
      <c r="D679" s="95" t="n">
        <v>3.4</v>
      </c>
      <c r="E679" s="95" t="n">
        <v>14.9</v>
      </c>
      <c r="F679" s="95" t="n">
        <v>73.90000000000001</v>
      </c>
      <c r="G679" s="95" t="n">
        <v>89.8</v>
      </c>
      <c r="H679" s="95" t="n">
        <v>11.1</v>
      </c>
      <c r="I679" s="95" t="n">
        <v>68.2</v>
      </c>
      <c r="J679" s="95" t="n">
        <v>83.5</v>
      </c>
      <c r="K679" s="96" t="inlineStr">
        <is>
          <t>6681 BRAINAURORA-B</t>
        </is>
      </c>
    </row>
    <row r="680">
      <c r="A680" s="16" t="inlineStr">
        <is>
          <t>Internet Fund IIIA Pte Ltd</t>
        </is>
      </c>
      <c r="B680" s="89" t="n">
        <v>1</v>
      </c>
      <c r="C680" s="94" t="n">
        <v>100</v>
      </c>
      <c r="D680" s="95" t="n">
        <v>3.3</v>
      </c>
      <c r="E680" s="95" t="n">
        <v>16.3</v>
      </c>
      <c r="F680" s="95" t="n">
        <v>4.2</v>
      </c>
      <c r="G680" s="95" t="n">
        <v>-24.2</v>
      </c>
      <c r="H680" s="95" t="n">
        <v>12.6</v>
      </c>
      <c r="I680" s="95" t="n">
        <v>0.8</v>
      </c>
      <c r="J680" s="95" t="n">
        <v>-26.6</v>
      </c>
      <c r="K680" s="96" t="inlineStr">
        <is>
          <t>2618 JD LOGISTICS</t>
        </is>
      </c>
    </row>
    <row r="681">
      <c r="A681" s="16" t="inlineStr">
        <is>
          <t>SoftBank Group</t>
        </is>
      </c>
      <c r="B681" s="89" t="n">
        <v>1</v>
      </c>
      <c r="C681" s="94" t="n">
        <v>100</v>
      </c>
      <c r="D681" s="95" t="n">
        <v>3.3</v>
      </c>
      <c r="E681" s="95" t="n">
        <v>16.3</v>
      </c>
      <c r="F681" s="95" t="n">
        <v>4.2</v>
      </c>
      <c r="G681" s="95" t="n">
        <v>-24.2</v>
      </c>
      <c r="H681" s="95" t="n">
        <v>12.6</v>
      </c>
      <c r="I681" s="95" t="n">
        <v>0.8</v>
      </c>
      <c r="J681" s="95" t="n">
        <v>-26.6</v>
      </c>
      <c r="K681" s="96" t="inlineStr">
        <is>
          <t>2618 JD LOGISTICS</t>
        </is>
      </c>
    </row>
    <row r="682">
      <c r="A682" s="16" t="inlineStr">
        <is>
          <t>The Blackstone Group Inc</t>
        </is>
      </c>
      <c r="B682" s="89" t="n">
        <v>1</v>
      </c>
      <c r="C682" s="94" t="n">
        <v>100</v>
      </c>
      <c r="D682" s="95" t="n">
        <v>3.3</v>
      </c>
      <c r="E682" s="95" t="n">
        <v>16.3</v>
      </c>
      <c r="F682" s="95" t="n">
        <v>4.2</v>
      </c>
      <c r="G682" s="95" t="n">
        <v>-24.2</v>
      </c>
      <c r="H682" s="95" t="n">
        <v>12.6</v>
      </c>
      <c r="I682" s="95" t="n">
        <v>0.8</v>
      </c>
      <c r="J682" s="95" t="n">
        <v>-26.6</v>
      </c>
      <c r="K682" s="96" t="inlineStr">
        <is>
          <t>2618 JD LOGISTICS</t>
        </is>
      </c>
    </row>
    <row r="683">
      <c r="A683" s="16" t="inlineStr">
        <is>
          <t>Youyu Global Limited</t>
        </is>
      </c>
      <c r="B683" s="89" t="n">
        <v>1</v>
      </c>
      <c r="C683" s="94" t="n">
        <v>100</v>
      </c>
      <c r="D683" s="95" t="n">
        <v>3.1</v>
      </c>
      <c r="E683" s="95" t="n">
        <v>-6.5</v>
      </c>
      <c r="F683" s="95" t="n">
        <v>79.8</v>
      </c>
      <c r="G683" s="95" t="n">
        <v>22</v>
      </c>
      <c r="H683" s="95" t="n">
        <v>-9.4</v>
      </c>
      <c r="I683" s="95" t="n">
        <v>74.3</v>
      </c>
      <c r="J683" s="95" t="n">
        <v>18.3</v>
      </c>
      <c r="K683" s="96" t="inlineStr">
        <is>
          <t>2137 BRII - B</t>
        </is>
      </c>
    </row>
    <row r="684">
      <c r="A684" s="16" t="inlineStr">
        <is>
          <t>Beijing Xingxing Equity Investment Partnership (Limited Partnership)</t>
        </is>
      </c>
      <c r="B684" s="89" t="n">
        <v>1</v>
      </c>
      <c r="C684" s="94" t="n">
        <v>100</v>
      </c>
      <c r="D684" s="95" t="n">
        <v>3.1</v>
      </c>
      <c r="E684" s="95" t="n">
        <v>0.7</v>
      </c>
      <c r="F684" s="95" t="n">
        <v>5.5</v>
      </c>
      <c r="G684" s="95" t="n">
        <v>3.1</v>
      </c>
      <c r="H684" s="95" t="n">
        <v>-2.3</v>
      </c>
      <c r="I684" s="95" t="n">
        <v>2.3</v>
      </c>
      <c r="J684" s="95" t="n">
        <v>0</v>
      </c>
      <c r="K684" s="96" t="inlineStr">
        <is>
          <t>2315 BIOCYTOGEN-B</t>
        </is>
      </c>
    </row>
    <row r="685">
      <c r="A685" s="16" t="inlineStr">
        <is>
          <t>VEKEN (HONGKONG) ECONOMIC AND TRADE CO., LIMITED</t>
        </is>
      </c>
      <c r="B685" s="89" t="n">
        <v>1</v>
      </c>
      <c r="C685" s="94" t="n">
        <v>100</v>
      </c>
      <c r="D685" s="95" t="n">
        <v>3.1</v>
      </c>
      <c r="E685" s="95" t="n">
        <v>0.7</v>
      </c>
      <c r="F685" s="95" t="n">
        <v>5.5</v>
      </c>
      <c r="G685" s="95" t="n">
        <v>3.1</v>
      </c>
      <c r="H685" s="95" t="n">
        <v>-2.3</v>
      </c>
      <c r="I685" s="95" t="n">
        <v>2.3</v>
      </c>
      <c r="J685" s="95" t="n">
        <v>0</v>
      </c>
      <c r="K685" s="96" t="inlineStr">
        <is>
          <t>2315 BIOCYTOGEN-B</t>
        </is>
      </c>
    </row>
    <row r="686">
      <c r="A686" s="16" t="inlineStr">
        <is>
          <t>Kelun International Development Co., Limited</t>
        </is>
      </c>
      <c r="B686" s="89" t="n">
        <v>1</v>
      </c>
      <c r="C686" s="94" t="n">
        <v>100</v>
      </c>
      <c r="D686" s="95" t="n">
        <v>3.1</v>
      </c>
      <c r="E686" s="95" t="n">
        <v>8.9</v>
      </c>
      <c r="F686" s="95" t="n">
        <v>19.6</v>
      </c>
      <c r="G686" s="95" t="n">
        <v>33.7</v>
      </c>
      <c r="H686" s="95" t="n">
        <v>5.6</v>
      </c>
      <c r="I686" s="95" t="n">
        <v>16</v>
      </c>
      <c r="J686" s="95" t="n">
        <v>29.6</v>
      </c>
      <c r="K686" s="96" t="inlineStr">
        <is>
          <t>6990 SKB BIO-B</t>
        </is>
      </c>
    </row>
    <row r="687">
      <c r="A687" s="16" t="inlineStr">
        <is>
          <t>Jiangxi Copper (via GTJA OTC swaps)</t>
        </is>
      </c>
      <c r="B687" s="89" t="n">
        <v>1</v>
      </c>
      <c r="C687" s="94" t="n">
        <v>100</v>
      </c>
      <c r="D687" s="95" t="n">
        <v>2.9</v>
      </c>
      <c r="E687" s="95" t="n">
        <v>3</v>
      </c>
      <c r="F687" s="95" t="n">
        <v>1.1</v>
      </c>
      <c r="G687" s="95" t="n">
        <v>-28.1</v>
      </c>
      <c r="H687" s="95" t="n">
        <v>0.1</v>
      </c>
      <c r="I687" s="95" t="n">
        <v>-1.8</v>
      </c>
      <c r="J687" s="95" t="n">
        <v>-30.1</v>
      </c>
      <c r="K687" s="96" t="inlineStr">
        <is>
          <t>9981 WOER</t>
        </is>
      </c>
    </row>
    <row r="688">
      <c r="A688" s="16" t="inlineStr">
        <is>
          <t>Shen Zhen New World Investment (H.K.)</t>
        </is>
      </c>
      <c r="B688" s="89" t="n">
        <v>1</v>
      </c>
      <c r="C688" s="94" t="n">
        <v>100</v>
      </c>
      <c r="D688" s="95" t="n">
        <v>2.9</v>
      </c>
      <c r="E688" s="95" t="n">
        <v>3</v>
      </c>
      <c r="F688" s="95" t="n">
        <v>1.1</v>
      </c>
      <c r="G688" s="95" t="n">
        <v>-28.1</v>
      </c>
      <c r="H688" s="95" t="n">
        <v>0.1</v>
      </c>
      <c r="I688" s="95" t="n">
        <v>-1.8</v>
      </c>
      <c r="J688" s="95" t="n">
        <v>-30.1</v>
      </c>
      <c r="K688" s="96" t="inlineStr">
        <is>
          <t>9981 WOER</t>
        </is>
      </c>
    </row>
    <row r="689">
      <c r="A689" s="16" t="inlineStr">
        <is>
          <t>Best Cheer Development</t>
        </is>
      </c>
      <c r="B689" s="89" t="n">
        <v>1</v>
      </c>
      <c r="C689" s="94" t="n">
        <v>100</v>
      </c>
      <c r="D689" s="95" t="n">
        <v>2.9</v>
      </c>
      <c r="E689" s="95" t="n">
        <v>3</v>
      </c>
      <c r="F689" s="95" t="n">
        <v>1.1</v>
      </c>
      <c r="G689" s="95" t="n">
        <v>-28.1</v>
      </c>
      <c r="H689" s="95" t="n">
        <v>0.1</v>
      </c>
      <c r="I689" s="95" t="n">
        <v>-1.8</v>
      </c>
      <c r="J689" s="95" t="n">
        <v>-30.1</v>
      </c>
      <c r="K689" s="96" t="inlineStr">
        <is>
          <t>9981 WOER</t>
        </is>
      </c>
    </row>
    <row r="690">
      <c r="A690" s="16" t="inlineStr">
        <is>
          <t>SCV Alpha LP</t>
        </is>
      </c>
      <c r="B690" s="89" t="n">
        <v>1</v>
      </c>
      <c r="C690" s="94" t="n">
        <v>100</v>
      </c>
      <c r="D690" s="95" t="n">
        <v>2.9</v>
      </c>
      <c r="E690" s="95" t="n">
        <v>3</v>
      </c>
      <c r="F690" s="95" t="n">
        <v>1.1</v>
      </c>
      <c r="G690" s="95" t="n">
        <v>-28.1</v>
      </c>
      <c r="H690" s="95" t="n">
        <v>0.1</v>
      </c>
      <c r="I690" s="95" t="n">
        <v>-1.8</v>
      </c>
      <c r="J690" s="95" t="n">
        <v>-30.1</v>
      </c>
      <c r="K690" s="96" t="inlineStr">
        <is>
          <t>9981 WOER</t>
        </is>
      </c>
    </row>
    <row r="691">
      <c r="A691" s="16" t="inlineStr">
        <is>
          <t>Pu Xin (via GTJA OTC swaps)</t>
        </is>
      </c>
      <c r="B691" s="89" t="n">
        <v>1</v>
      </c>
      <c r="C691" s="94" t="n">
        <v>100</v>
      </c>
      <c r="D691" s="95" t="n">
        <v>2.9</v>
      </c>
      <c r="E691" s="95" t="n">
        <v>3</v>
      </c>
      <c r="F691" s="95" t="n">
        <v>1.1</v>
      </c>
      <c r="G691" s="95" t="n">
        <v>-28.1</v>
      </c>
      <c r="H691" s="95" t="n">
        <v>0.1</v>
      </c>
      <c r="I691" s="95" t="n">
        <v>-1.8</v>
      </c>
      <c r="J691" s="95" t="n">
        <v>-30.1</v>
      </c>
      <c r="K691" s="96" t="inlineStr">
        <is>
          <t>9981 WOER</t>
        </is>
      </c>
    </row>
    <row r="692">
      <c r="A692" s="16" t="inlineStr">
        <is>
          <t>Capchem (Hongkong)</t>
        </is>
      </c>
      <c r="B692" s="89" t="n">
        <v>1</v>
      </c>
      <c r="C692" s="94" t="n">
        <v>100</v>
      </c>
      <c r="D692" s="95" t="n">
        <v>2.9</v>
      </c>
      <c r="E692" s="95" t="n">
        <v>3</v>
      </c>
      <c r="F692" s="95" t="n">
        <v>1.1</v>
      </c>
      <c r="G692" s="95" t="n">
        <v>-28.1</v>
      </c>
      <c r="H692" s="95" t="n">
        <v>0.1</v>
      </c>
      <c r="I692" s="95" t="n">
        <v>-1.8</v>
      </c>
      <c r="J692" s="95" t="n">
        <v>-30.1</v>
      </c>
      <c r="K692" s="96" t="inlineStr">
        <is>
          <t>9981 WOER</t>
        </is>
      </c>
    </row>
    <row r="693">
      <c r="A693" s="16" t="inlineStr">
        <is>
          <t>Enhanced Investment Products (EIP)</t>
        </is>
      </c>
      <c r="B693" s="89" t="n">
        <v>1</v>
      </c>
      <c r="C693" s="94" t="n">
        <v>100</v>
      </c>
      <c r="D693" s="95" t="n">
        <v>2.9</v>
      </c>
      <c r="E693" s="95" t="n">
        <v>3</v>
      </c>
      <c r="F693" s="95" t="n">
        <v>1.1</v>
      </c>
      <c r="G693" s="95" t="n">
        <v>-28.1</v>
      </c>
      <c r="H693" s="95" t="n">
        <v>0.1</v>
      </c>
      <c r="I693" s="95" t="n">
        <v>-1.8</v>
      </c>
      <c r="J693" s="95" t="n">
        <v>-30.1</v>
      </c>
      <c r="K693" s="96" t="inlineStr">
        <is>
          <t>9981 WOER</t>
        </is>
      </c>
    </row>
    <row r="694">
      <c r="A694" s="16" t="inlineStr">
        <is>
          <t>PARTICIPATIONS 1</t>
        </is>
      </c>
      <c r="B694" s="89" t="n">
        <v>1</v>
      </c>
      <c r="C694" s="94" t="n">
        <v>100</v>
      </c>
      <c r="D694" s="95" t="n">
        <v>2.8</v>
      </c>
      <c r="E694" s="95" t="n">
        <v>19.6</v>
      </c>
      <c r="F694" s="95" t="n">
        <v>-4.8</v>
      </c>
      <c r="G694" s="95" t="n">
        <v>10</v>
      </c>
      <c r="H694" s="95" t="n">
        <v>16.3</v>
      </c>
      <c r="I694" s="95" t="n">
        <v>-7.3</v>
      </c>
      <c r="J694" s="95" t="n">
        <v>7.1</v>
      </c>
      <c r="K694" s="96" t="inlineStr">
        <is>
          <t>9660 HORIZONROBOT-W</t>
        </is>
      </c>
    </row>
    <row r="695">
      <c r="A695" s="16" t="inlineStr">
        <is>
          <t>Temasek</t>
        </is>
      </c>
      <c r="B695" s="89" t="n">
        <v>1</v>
      </c>
      <c r="C695" s="94" t="n">
        <v>100</v>
      </c>
      <c r="D695" s="95" t="n">
        <v>2.8</v>
      </c>
      <c r="E695" s="95" t="n">
        <v>6.7</v>
      </c>
      <c r="F695" s="95" t="n">
        <v>0.2</v>
      </c>
      <c r="G695" s="95" t="n">
        <v>18.8</v>
      </c>
      <c r="H695" s="95" t="n">
        <v>3.7</v>
      </c>
      <c r="I695" s="95" t="n">
        <v>-2.6</v>
      </c>
      <c r="J695" s="95" t="n">
        <v>15.5</v>
      </c>
      <c r="K695" s="96" t="inlineStr">
        <is>
          <t>6031 SANY HEAVY IND</t>
        </is>
      </c>
    </row>
    <row r="696">
      <c r="A696" s="16" t="inlineStr">
        <is>
          <t>Weichai Power</t>
        </is>
      </c>
      <c r="B696" s="89" t="n">
        <v>1</v>
      </c>
      <c r="C696" s="94" t="n">
        <v>100</v>
      </c>
      <c r="D696" s="95" t="n">
        <v>2.8</v>
      </c>
      <c r="E696" s="95" t="n">
        <v>6.7</v>
      </c>
      <c r="F696" s="95" t="n">
        <v>0.2</v>
      </c>
      <c r="G696" s="95" t="n">
        <v>18.8</v>
      </c>
      <c r="H696" s="95" t="n">
        <v>3.7</v>
      </c>
      <c r="I696" s="95" t="n">
        <v>-2.6</v>
      </c>
      <c r="J696" s="95" t="n">
        <v>15.5</v>
      </c>
      <c r="K696" s="96" t="inlineStr">
        <is>
          <t>6031 SANY HEAVY IND</t>
        </is>
      </c>
    </row>
    <row r="697">
      <c r="A697" s="16" t="inlineStr">
        <is>
          <t>Heyuan Trading (Hong Kong) Limited</t>
        </is>
      </c>
      <c r="B697" s="89" t="n">
        <v>1</v>
      </c>
      <c r="C697" s="94" t="n">
        <v>100</v>
      </c>
      <c r="D697" s="95" t="n">
        <v>2.5</v>
      </c>
      <c r="E697" s="95" t="n">
        <v>-10.2</v>
      </c>
      <c r="F697" s="95" t="n">
        <v>-27.1</v>
      </c>
      <c r="G697" s="95" t="n">
        <v>-43.2</v>
      </c>
      <c r="H697" s="95" t="n">
        <v>-12.4</v>
      </c>
      <c r="I697" s="95" t="n">
        <v>-28.9</v>
      </c>
      <c r="J697" s="95" t="n">
        <v>-44.6</v>
      </c>
      <c r="K697" s="96" t="inlineStr">
        <is>
          <t>2271 ZHONGAN SERVICE</t>
        </is>
      </c>
    </row>
    <row r="698">
      <c r="A698" s="16" t="inlineStr">
        <is>
          <t>Wu Mingwu</t>
        </is>
      </c>
      <c r="B698" s="89" t="n">
        <v>1</v>
      </c>
      <c r="C698" s="94" t="n">
        <v>100</v>
      </c>
      <c r="D698" s="95" t="n">
        <v>2.5</v>
      </c>
      <c r="E698" s="95" t="n">
        <v>-10.2</v>
      </c>
      <c r="F698" s="95" t="n">
        <v>-27.1</v>
      </c>
      <c r="G698" s="95" t="n">
        <v>-43.2</v>
      </c>
      <c r="H698" s="95" t="n">
        <v>-12.4</v>
      </c>
      <c r="I698" s="95" t="n">
        <v>-28.9</v>
      </c>
      <c r="J698" s="95" t="n">
        <v>-44.6</v>
      </c>
      <c r="K698" s="96" t="inlineStr">
        <is>
          <t>2271 ZHONGAN SERVICE</t>
        </is>
      </c>
    </row>
    <row r="699">
      <c r="A699" s="16" t="inlineStr">
        <is>
          <t>BeingBoom Capital Limited</t>
        </is>
      </c>
      <c r="B699" s="89" t="n">
        <v>1</v>
      </c>
      <c r="C699" s="94" t="n">
        <v>100</v>
      </c>
      <c r="D699" s="95" t="n">
        <v>2.4</v>
      </c>
      <c r="E699" s="95" t="n">
        <v>11.4</v>
      </c>
      <c r="F699" s="95" t="n">
        <v>-7.5</v>
      </c>
      <c r="G699" s="95" t="n">
        <v>-13.1</v>
      </c>
      <c r="H699" s="95" t="n">
        <v>8.800000000000001</v>
      </c>
      <c r="I699" s="95" t="n">
        <v>-9.699999999999999</v>
      </c>
      <c r="J699" s="95" t="n">
        <v>-15.1</v>
      </c>
      <c r="K699" s="96" t="inlineStr">
        <is>
          <t>2692 ZHAOWEI</t>
        </is>
      </c>
    </row>
    <row r="700">
      <c r="A700" s="16" t="inlineStr">
        <is>
          <t>Hengbang and China Galaxy International Investment Company Limited</t>
        </is>
      </c>
      <c r="B700" s="89" t="n">
        <v>1</v>
      </c>
      <c r="C700" s="94" t="n">
        <v>100</v>
      </c>
      <c r="D700" s="95" t="n">
        <v>2.4</v>
      </c>
      <c r="E700" s="95" t="n">
        <v>11.4</v>
      </c>
      <c r="F700" s="95" t="n">
        <v>-7.5</v>
      </c>
      <c r="G700" s="95" t="n">
        <v>-13.1</v>
      </c>
      <c r="H700" s="95" t="n">
        <v>8.800000000000001</v>
      </c>
      <c r="I700" s="95" t="n">
        <v>-9.699999999999999</v>
      </c>
      <c r="J700" s="95" t="n">
        <v>-15.1</v>
      </c>
      <c r="K700" s="96" t="inlineStr">
        <is>
          <t>2692 ZHAOWEI</t>
        </is>
      </c>
    </row>
    <row r="701">
      <c r="A701" s="16" t="inlineStr">
        <is>
          <t>Mr. He Maoling</t>
        </is>
      </c>
      <c r="B701" s="89" t="n">
        <v>1</v>
      </c>
      <c r="C701" s="94" t="n">
        <v>100</v>
      </c>
      <c r="D701" s="95" t="n">
        <v>2.4</v>
      </c>
      <c r="E701" s="95" t="n">
        <v>11.4</v>
      </c>
      <c r="F701" s="95" t="n">
        <v>-7.5</v>
      </c>
      <c r="G701" s="95" t="n">
        <v>-13.1</v>
      </c>
      <c r="H701" s="95" t="n">
        <v>8.800000000000001</v>
      </c>
      <c r="I701" s="95" t="n">
        <v>-9.699999999999999</v>
      </c>
      <c r="J701" s="95" t="n">
        <v>-15.1</v>
      </c>
      <c r="K701" s="96" t="inlineStr">
        <is>
          <t>2692 ZHAOWEI</t>
        </is>
      </c>
    </row>
    <row r="702">
      <c r="A702" s="16" t="inlineStr">
        <is>
          <t>TOPSTAR WORLDWIDE GROUP LIMITED</t>
        </is>
      </c>
      <c r="B702" s="89" t="n">
        <v>1</v>
      </c>
      <c r="C702" s="94" t="n">
        <v>100</v>
      </c>
      <c r="D702" s="95" t="n">
        <v>2.4</v>
      </c>
      <c r="E702" s="95" t="n">
        <v>11.4</v>
      </c>
      <c r="F702" s="95" t="n">
        <v>-7.5</v>
      </c>
      <c r="G702" s="95" t="n">
        <v>-13.1</v>
      </c>
      <c r="H702" s="95" t="n">
        <v>8.800000000000001</v>
      </c>
      <c r="I702" s="95" t="n">
        <v>-9.699999999999999</v>
      </c>
      <c r="J702" s="95" t="n">
        <v>-15.1</v>
      </c>
      <c r="K702" s="96" t="inlineStr">
        <is>
          <t>2692 ZHAOWEI</t>
        </is>
      </c>
    </row>
    <row r="703">
      <c r="A703" s="16" t="inlineStr">
        <is>
          <t>W Investment Company Limited</t>
        </is>
      </c>
      <c r="B703" s="89" t="n">
        <v>1</v>
      </c>
      <c r="C703" s="94" t="n">
        <v>100</v>
      </c>
      <c r="D703" s="95" t="n">
        <v>2.4</v>
      </c>
      <c r="E703" s="95" t="n">
        <v>11.4</v>
      </c>
      <c r="F703" s="95" t="n">
        <v>-7.5</v>
      </c>
      <c r="G703" s="95" t="n">
        <v>-13.1</v>
      </c>
      <c r="H703" s="95" t="n">
        <v>8.800000000000001</v>
      </c>
      <c r="I703" s="95" t="n">
        <v>-9.699999999999999</v>
      </c>
      <c r="J703" s="95" t="n">
        <v>-15.1</v>
      </c>
      <c r="K703" s="96" t="inlineStr">
        <is>
          <t>2692 ZHAOWEI</t>
        </is>
      </c>
    </row>
    <row r="704">
      <c r="A704" s="16" t="inlineStr">
        <is>
          <t>Lai Shixian</t>
        </is>
      </c>
      <c r="B704" s="89" t="n">
        <v>1</v>
      </c>
      <c r="C704" s="94" t="n">
        <v>100</v>
      </c>
      <c r="D704" s="95" t="n">
        <v>2</v>
      </c>
      <c r="E704" s="95" t="n">
        <v>-15.8</v>
      </c>
      <c r="F704" s="95" t="n">
        <v>-64.3</v>
      </c>
      <c r="G704" s="95" t="n">
        <v>-70.90000000000001</v>
      </c>
      <c r="H704" s="95" t="n">
        <v>-17.5</v>
      </c>
      <c r="I704" s="95" t="n">
        <v>-65</v>
      </c>
      <c r="J704" s="95" t="n">
        <v>-71.5</v>
      </c>
      <c r="K704" s="96" t="inlineStr">
        <is>
          <t>6696 MANY IDEA CLOUD</t>
        </is>
      </c>
    </row>
    <row r="705">
      <c r="A705" s="16" t="inlineStr">
        <is>
          <t>SCHP Master Fund</t>
        </is>
      </c>
      <c r="B705" s="89" t="n">
        <v>1</v>
      </c>
      <c r="C705" s="94" t="n">
        <v>100</v>
      </c>
      <c r="D705" s="95" t="n">
        <v>1.8</v>
      </c>
      <c r="E705" s="95" t="n">
        <v>10.1</v>
      </c>
      <c r="F705" s="95" t="n">
        <v>0.2</v>
      </c>
      <c r="G705" s="95" t="n">
        <v>-8.699999999999999</v>
      </c>
      <c r="H705" s="95" t="n">
        <v>8.1</v>
      </c>
      <c r="I705" s="95" t="n">
        <v>-1.6</v>
      </c>
      <c r="J705" s="95" t="n">
        <v>-10.3</v>
      </c>
      <c r="K705" s="96" t="inlineStr">
        <is>
          <t>2179 RECBIO-B</t>
        </is>
      </c>
    </row>
    <row r="706">
      <c r="A706" s="16" t="inlineStr">
        <is>
          <t>Dongfang Gold Industry (Hong Kong) Limited</t>
        </is>
      </c>
      <c r="B706" s="89" t="n">
        <v>1</v>
      </c>
      <c r="C706" s="94" t="n">
        <v>100</v>
      </c>
      <c r="D706" s="95" t="n">
        <v>1.8</v>
      </c>
      <c r="E706" s="95" t="n">
        <v>0</v>
      </c>
      <c r="F706" s="95" t="n">
        <v>1.8</v>
      </c>
      <c r="G706" s="95" t="n">
        <v>12.7</v>
      </c>
      <c r="H706" s="95" t="n">
        <v>-1.8</v>
      </c>
      <c r="I706" s="95" t="n">
        <v>0</v>
      </c>
      <c r="J706" s="95" t="n">
        <v>10.7</v>
      </c>
      <c r="K706" s="96" t="inlineStr">
        <is>
          <t>2489 PERSISTENCE RES</t>
        </is>
      </c>
    </row>
    <row r="707">
      <c r="A707" s="16" t="inlineStr">
        <is>
          <t>LifeTech Scientific Corporation</t>
        </is>
      </c>
      <c r="B707" s="89" t="n">
        <v>1</v>
      </c>
      <c r="C707" s="94" t="n">
        <v>100</v>
      </c>
      <c r="D707" s="95" t="n">
        <v>1.6</v>
      </c>
      <c r="E707" s="95" t="n">
        <v>0.5</v>
      </c>
      <c r="F707" s="95" t="n">
        <v>11.5</v>
      </c>
      <c r="G707" s="95" t="n">
        <v>28.4</v>
      </c>
      <c r="H707" s="95" t="n">
        <v>-1.1</v>
      </c>
      <c r="I707" s="95" t="n">
        <v>9.699999999999999</v>
      </c>
      <c r="J707" s="95" t="n">
        <v>26.4</v>
      </c>
      <c r="K707" s="96" t="inlineStr">
        <is>
          <t>9877 JENSCARE-B</t>
        </is>
      </c>
    </row>
    <row r="708">
      <c r="A708" s="16" t="inlineStr">
        <is>
          <t>Guiyang Agricultural Investment Development Co., Ltd</t>
        </is>
      </c>
      <c r="B708" s="89" t="n">
        <v>1</v>
      </c>
      <c r="C708" s="94" t="n">
        <v>100</v>
      </c>
      <c r="D708" s="95" t="n">
        <v>1.5</v>
      </c>
      <c r="E708" s="95" t="n">
        <v>2.2</v>
      </c>
      <c r="F708" s="95" t="n">
        <v>59.7</v>
      </c>
      <c r="G708" s="95" t="n">
        <v>18.9</v>
      </c>
      <c r="H708" s="95" t="n">
        <v>0.7</v>
      </c>
      <c r="I708" s="95" t="n">
        <v>57.3</v>
      </c>
      <c r="J708" s="95" t="n">
        <v>17.2</v>
      </c>
      <c r="K708" s="96" t="inlineStr">
        <is>
          <t>2419 DEKON AGR</t>
        </is>
      </c>
    </row>
    <row r="709">
      <c r="A709" s="16" t="inlineStr">
        <is>
          <t>Quxian Huixing Industrial Investment Co., Ltd</t>
        </is>
      </c>
      <c r="B709" s="89" t="n">
        <v>1</v>
      </c>
      <c r="C709" s="94" t="n">
        <v>100</v>
      </c>
      <c r="D709" s="95" t="n">
        <v>1.5</v>
      </c>
      <c r="E709" s="95" t="n">
        <v>2.2</v>
      </c>
      <c r="F709" s="95" t="n">
        <v>59.7</v>
      </c>
      <c r="G709" s="95" t="n">
        <v>18.9</v>
      </c>
      <c r="H709" s="95" t="n">
        <v>0.7</v>
      </c>
      <c r="I709" s="95" t="n">
        <v>57.3</v>
      </c>
      <c r="J709" s="95" t="n">
        <v>17.2</v>
      </c>
      <c r="K709" s="96" t="inlineStr">
        <is>
          <t>2419 DEKON AGR</t>
        </is>
      </c>
    </row>
    <row r="710">
      <c r="A710" s="16" t="inlineStr">
        <is>
          <t>Xiushan County Xinzhiyuan Market Management Co., Ltd</t>
        </is>
      </c>
      <c r="B710" s="89" t="n">
        <v>1</v>
      </c>
      <c r="C710" s="94" t="n">
        <v>100</v>
      </c>
      <c r="D710" s="95" t="n">
        <v>1.5</v>
      </c>
      <c r="E710" s="95" t="n">
        <v>2.2</v>
      </c>
      <c r="F710" s="95" t="n">
        <v>59.7</v>
      </c>
      <c r="G710" s="95" t="n">
        <v>18.9</v>
      </c>
      <c r="H710" s="95" t="n">
        <v>0.7</v>
      </c>
      <c r="I710" s="95" t="n">
        <v>57.3</v>
      </c>
      <c r="J710" s="95" t="n">
        <v>17.2</v>
      </c>
      <c r="K710" s="96" t="inlineStr">
        <is>
          <t>2419 DEKON AGR</t>
        </is>
      </c>
    </row>
    <row r="711">
      <c r="A711" s="16" t="inlineStr">
        <is>
          <t>True Light Investments H Pte. Ltd</t>
        </is>
      </c>
      <c r="B711" s="89" t="n">
        <v>1</v>
      </c>
      <c r="C711" s="94" t="n">
        <v>100</v>
      </c>
      <c r="D711" s="95" t="n">
        <v>1.5</v>
      </c>
      <c r="E711" s="95" t="n">
        <v>0.8</v>
      </c>
      <c r="F711" s="95" t="n">
        <v>-13.9</v>
      </c>
      <c r="G711" s="95" t="n">
        <v>-12.5</v>
      </c>
      <c r="H711" s="95" t="n">
        <v>-0.7</v>
      </c>
      <c r="I711" s="95" t="n">
        <v>-15.2</v>
      </c>
      <c r="J711" s="95" t="n">
        <v>-13.8</v>
      </c>
      <c r="K711" s="96" t="inlineStr">
        <is>
          <t>9980 EASTROC</t>
        </is>
      </c>
    </row>
    <row r="712">
      <c r="A712" s="16" t="inlineStr">
        <is>
          <t>Investments 1 Limited</t>
        </is>
      </c>
      <c r="B712" s="89" t="n">
        <v>1</v>
      </c>
      <c r="C712" s="94" t="n">
        <v>100</v>
      </c>
      <c r="D712" s="95" t="n">
        <v>1.5</v>
      </c>
      <c r="E712" s="95" t="n">
        <v>0.8</v>
      </c>
      <c r="F712" s="95" t="n">
        <v>-13.9</v>
      </c>
      <c r="G712" s="95" t="n">
        <v>-12.5</v>
      </c>
      <c r="H712" s="95" t="n">
        <v>-0.7</v>
      </c>
      <c r="I712" s="95" t="n">
        <v>-15.2</v>
      </c>
      <c r="J712" s="95" t="n">
        <v>-13.8</v>
      </c>
      <c r="K712" s="96" t="inlineStr">
        <is>
          <t>9980 EASTROC</t>
        </is>
      </c>
    </row>
    <row r="713">
      <c r="A713" s="16" t="inlineStr">
        <is>
          <t>Amazing Mountain Limited</t>
        </is>
      </c>
      <c r="B713" s="89" t="n">
        <v>1</v>
      </c>
      <c r="C713" s="94" t="n">
        <v>100</v>
      </c>
      <c r="D713" s="95" t="n">
        <v>1.5</v>
      </c>
      <c r="E713" s="95" t="n">
        <v>0.8</v>
      </c>
      <c r="F713" s="95" t="n">
        <v>-13.9</v>
      </c>
      <c r="G713" s="95" t="n">
        <v>-12.5</v>
      </c>
      <c r="H713" s="95" t="n">
        <v>-0.7</v>
      </c>
      <c r="I713" s="95" t="n">
        <v>-15.2</v>
      </c>
      <c r="J713" s="95" t="n">
        <v>-13.8</v>
      </c>
      <c r="K713" s="96" t="inlineStr">
        <is>
          <t>9980 EASTROC</t>
        </is>
      </c>
    </row>
    <row r="714">
      <c r="A714" s="16" t="inlineStr">
        <is>
          <t>Phase II L.P</t>
        </is>
      </c>
      <c r="B714" s="89" t="n">
        <v>1</v>
      </c>
      <c r="C714" s="94" t="n">
        <v>100</v>
      </c>
      <c r="D714" s="95" t="n">
        <v>1.5</v>
      </c>
      <c r="E714" s="95" t="n">
        <v>0.8</v>
      </c>
      <c r="F714" s="95" t="n">
        <v>-13.9</v>
      </c>
      <c r="G714" s="95" t="n">
        <v>-12.5</v>
      </c>
      <c r="H714" s="95" t="n">
        <v>-0.7</v>
      </c>
      <c r="I714" s="95" t="n">
        <v>-15.2</v>
      </c>
      <c r="J714" s="95" t="n">
        <v>-13.8</v>
      </c>
      <c r="K714" s="96" t="inlineStr">
        <is>
          <t>9980 EASTROC</t>
        </is>
      </c>
    </row>
    <row r="715">
      <c r="A715" s="16" t="inlineStr">
        <is>
          <t>China Winning Limited</t>
        </is>
      </c>
      <c r="B715" s="89" t="n">
        <v>1</v>
      </c>
      <c r="C715" s="94" t="n">
        <v>100</v>
      </c>
      <c r="D715" s="95" t="n">
        <v>1.5</v>
      </c>
      <c r="E715" s="95" t="n">
        <v>-10.1</v>
      </c>
      <c r="F715" s="95" t="n">
        <v>-20</v>
      </c>
      <c r="G715" s="95" t="n">
        <v>-29.1</v>
      </c>
      <c r="H715" s="95" t="n">
        <v>-11.4</v>
      </c>
      <c r="I715" s="95" t="n">
        <v>-21.2</v>
      </c>
      <c r="J715" s="95" t="n">
        <v>-30.2</v>
      </c>
      <c r="K715" s="96" t="inlineStr">
        <is>
          <t>3268 MEIG</t>
        </is>
      </c>
    </row>
    <row r="716">
      <c r="A716" s="16" t="inlineStr">
        <is>
          <t>Meiko Elec. Hong Kong Co., Limited</t>
        </is>
      </c>
      <c r="B716" s="89" t="n">
        <v>1</v>
      </c>
      <c r="C716" s="94" t="n">
        <v>100</v>
      </c>
      <c r="D716" s="95" t="n">
        <v>1.5</v>
      </c>
      <c r="E716" s="95" t="n">
        <v>-10.1</v>
      </c>
      <c r="F716" s="95" t="n">
        <v>-20</v>
      </c>
      <c r="G716" s="95" t="n">
        <v>-29.1</v>
      </c>
      <c r="H716" s="95" t="n">
        <v>-11.4</v>
      </c>
      <c r="I716" s="95" t="n">
        <v>-21.2</v>
      </c>
      <c r="J716" s="95" t="n">
        <v>-30.2</v>
      </c>
      <c r="K716" s="96" t="inlineStr">
        <is>
          <t>3268 MEIG</t>
        </is>
      </c>
    </row>
    <row r="717">
      <c r="A717" s="16" t="inlineStr">
        <is>
          <t>Mr. Chau Tsang Cheong</t>
        </is>
      </c>
      <c r="B717" s="89" t="n">
        <v>1</v>
      </c>
      <c r="C717" s="94" t="n">
        <v>100</v>
      </c>
      <c r="D717" s="95" t="n">
        <v>1.5</v>
      </c>
      <c r="E717" s="95" t="n">
        <v>-10.1</v>
      </c>
      <c r="F717" s="95" t="n">
        <v>-20</v>
      </c>
      <c r="G717" s="95" t="n">
        <v>-29.1</v>
      </c>
      <c r="H717" s="95" t="n">
        <v>-11.4</v>
      </c>
      <c r="I717" s="95" t="n">
        <v>-21.2</v>
      </c>
      <c r="J717" s="95" t="n">
        <v>-30.2</v>
      </c>
      <c r="K717" s="96" t="inlineStr">
        <is>
          <t>3268 MEIG</t>
        </is>
      </c>
    </row>
    <row r="718">
      <c r="A718" s="16" t="inlineStr">
        <is>
          <t>Open Wealth Management Limited</t>
        </is>
      </c>
      <c r="B718" s="89" t="n">
        <v>1</v>
      </c>
      <c r="C718" s="94" t="n">
        <v>100</v>
      </c>
      <c r="D718" s="95" t="n">
        <v>1.5</v>
      </c>
      <c r="E718" s="95" t="n">
        <v>-10.1</v>
      </c>
      <c r="F718" s="95" t="n">
        <v>-20</v>
      </c>
      <c r="G718" s="95" t="n">
        <v>-29.1</v>
      </c>
      <c r="H718" s="95" t="n">
        <v>-11.4</v>
      </c>
      <c r="I718" s="95" t="n">
        <v>-21.2</v>
      </c>
      <c r="J718" s="95" t="n">
        <v>-30.2</v>
      </c>
      <c r="K718" s="96" t="inlineStr">
        <is>
          <t>3268 MEIG</t>
        </is>
      </c>
    </row>
    <row r="719">
      <c r="A719" s="16" t="inlineStr">
        <is>
          <t>WinTwin Capital Limited</t>
        </is>
      </c>
      <c r="B719" s="89" t="n">
        <v>1</v>
      </c>
      <c r="C719" s="94" t="n">
        <v>100</v>
      </c>
      <c r="D719" s="95" t="n">
        <v>1.2</v>
      </c>
      <c r="E719" s="95" t="n">
        <v>17</v>
      </c>
      <c r="F719" s="95" t="n">
        <v>-25.3</v>
      </c>
      <c r="G719" s="95" t="n">
        <v>-1.3</v>
      </c>
      <c r="H719" s="95" t="n">
        <v>15.5</v>
      </c>
      <c r="I719" s="95" t="n">
        <v>-26.2</v>
      </c>
      <c r="J719" s="95" t="n">
        <v>-2.5</v>
      </c>
      <c r="K719" s="96" t="inlineStr">
        <is>
          <t>2170 BASECARE-B</t>
        </is>
      </c>
    </row>
    <row r="720">
      <c r="A720" s="16" t="inlineStr">
        <is>
          <t>RSC Ltd</t>
        </is>
      </c>
      <c r="B720" s="89" t="n">
        <v>1</v>
      </c>
      <c r="C720" s="94" t="n">
        <v>100</v>
      </c>
      <c r="D720" s="95" t="n">
        <v>1.1</v>
      </c>
      <c r="E720" s="95" t="n">
        <v>0.7</v>
      </c>
      <c r="F720" s="95" t="n">
        <v>0.3</v>
      </c>
      <c r="G720" s="95" t="n">
        <v>21.1</v>
      </c>
      <c r="H720" s="95" t="n">
        <v>-0.4</v>
      </c>
      <c r="I720" s="95" t="n">
        <v>-0.8</v>
      </c>
      <c r="J720" s="95" t="n">
        <v>19.8</v>
      </c>
      <c r="K720" s="96" t="inlineStr">
        <is>
          <t>1828 FWD</t>
        </is>
      </c>
    </row>
    <row r="721">
      <c r="A721" s="16" t="inlineStr">
        <is>
          <t>Crimson White Investment Pte. Ltd</t>
        </is>
      </c>
      <c r="B721" s="89" t="n">
        <v>1</v>
      </c>
      <c r="C721" s="94" t="n">
        <v>100</v>
      </c>
      <c r="D721" s="95" t="n">
        <v>1.1</v>
      </c>
      <c r="E721" s="95" t="n">
        <v>0.7</v>
      </c>
      <c r="F721" s="95" t="n">
        <v>0.3</v>
      </c>
      <c r="G721" s="95" t="n">
        <v>21.1</v>
      </c>
      <c r="H721" s="95" t="n">
        <v>-0.4</v>
      </c>
      <c r="I721" s="95" t="n">
        <v>-0.8</v>
      </c>
      <c r="J721" s="95" t="n">
        <v>19.8</v>
      </c>
      <c r="K721" s="96" t="inlineStr">
        <is>
          <t>1828 FWD</t>
        </is>
      </c>
    </row>
    <row r="722">
      <c r="A722" s="16" t="inlineStr">
        <is>
          <t>Apollo Principal Holdings C, L.P</t>
        </is>
      </c>
      <c r="B722" s="89" t="n">
        <v>1</v>
      </c>
      <c r="C722" s="94" t="n">
        <v>100</v>
      </c>
      <c r="D722" s="95" t="n">
        <v>1.1</v>
      </c>
      <c r="E722" s="95" t="n">
        <v>0.7</v>
      </c>
      <c r="F722" s="95" t="n">
        <v>0.3</v>
      </c>
      <c r="G722" s="95" t="n">
        <v>21.1</v>
      </c>
      <c r="H722" s="95" t="n">
        <v>-0.4</v>
      </c>
      <c r="I722" s="95" t="n">
        <v>-0.8</v>
      </c>
      <c r="J722" s="95" t="n">
        <v>19.8</v>
      </c>
      <c r="K722" s="96" t="inlineStr">
        <is>
          <t>1828 FWD</t>
        </is>
      </c>
    </row>
    <row r="723">
      <c r="A723" s="16" t="inlineStr">
        <is>
          <t>SCB X Public Company Limited</t>
        </is>
      </c>
      <c r="B723" s="89" t="n">
        <v>1</v>
      </c>
      <c r="C723" s="94" t="n">
        <v>100</v>
      </c>
      <c r="D723" s="95" t="n">
        <v>1.1</v>
      </c>
      <c r="E723" s="95" t="n">
        <v>0.7</v>
      </c>
      <c r="F723" s="95" t="n">
        <v>0.3</v>
      </c>
      <c r="G723" s="95" t="n">
        <v>21.1</v>
      </c>
      <c r="H723" s="95" t="n">
        <v>-0.4</v>
      </c>
      <c r="I723" s="95" t="n">
        <v>-0.8</v>
      </c>
      <c r="J723" s="95" t="n">
        <v>19.8</v>
      </c>
      <c r="K723" s="96" t="inlineStr">
        <is>
          <t>1828 FWD</t>
        </is>
      </c>
    </row>
    <row r="724">
      <c r="A724" s="16" t="inlineStr">
        <is>
          <t>DGA Capital (Master) Fund I LP</t>
        </is>
      </c>
      <c r="B724" s="89" t="n">
        <v>1</v>
      </c>
      <c r="C724" s="94" t="n">
        <v>100</v>
      </c>
      <c r="D724" s="95" t="n">
        <v>1.1</v>
      </c>
      <c r="E724" s="95" t="n">
        <v>0.7</v>
      </c>
      <c r="F724" s="95" t="n">
        <v>0.3</v>
      </c>
      <c r="G724" s="95" t="n">
        <v>21.1</v>
      </c>
      <c r="H724" s="95" t="n">
        <v>-0.4</v>
      </c>
      <c r="I724" s="95" t="n">
        <v>-0.8</v>
      </c>
      <c r="J724" s="95" t="n">
        <v>19.8</v>
      </c>
      <c r="K724" s="96" t="inlineStr">
        <is>
          <t>1828 FWD</t>
        </is>
      </c>
    </row>
    <row r="725">
      <c r="A725" s="16" t="inlineStr">
        <is>
          <t>Mr. Wang Wei</t>
        </is>
      </c>
      <c r="B725" s="89" t="n">
        <v>1</v>
      </c>
      <c r="C725" s="94" t="n">
        <v>100</v>
      </c>
      <c r="D725" s="95" t="n">
        <v>1</v>
      </c>
      <c r="E725" s="95" t="n">
        <v>1.5</v>
      </c>
      <c r="F725" s="95" t="n">
        <v>23.8</v>
      </c>
      <c r="G725" s="95" t="n">
        <v>313.5</v>
      </c>
      <c r="H725" s="95" t="n">
        <v>0.5</v>
      </c>
      <c r="I725" s="95" t="n">
        <v>22.5</v>
      </c>
      <c r="J725" s="95" t="n">
        <v>309.3</v>
      </c>
      <c r="K725" s="96" t="inlineStr">
        <is>
          <t>3317 XUNCE</t>
        </is>
      </c>
    </row>
    <row r="726">
      <c r="A726" s="16" t="inlineStr">
        <is>
          <t>Chongqing Dazuhuaiyuan Construction Investment Co., L</t>
        </is>
      </c>
      <c r="B726" s="89" t="n">
        <v>1</v>
      </c>
      <c r="C726" s="94" t="n">
        <v>100</v>
      </c>
      <c r="D726" s="95" t="n">
        <v>0.9</v>
      </c>
      <c r="E726" s="95" t="n">
        <v>-1.6</v>
      </c>
      <c r="F726" s="95" t="n">
        <v>0.5</v>
      </c>
      <c r="G726" s="95" t="n">
        <v>-1.4</v>
      </c>
      <c r="H726" s="95" t="n">
        <v>-2.6</v>
      </c>
      <c r="I726" s="95" t="n">
        <v>-0.4</v>
      </c>
      <c r="J726" s="95" t="n">
        <v>-2.3</v>
      </c>
      <c r="K726" s="96" t="inlineStr">
        <is>
          <t>2451 LUYUAN GP HLDG</t>
        </is>
      </c>
    </row>
    <row r="727">
      <c r="A727" s="16" t="inlineStr">
        <is>
          <t>Phylion Battery Co., Ltd</t>
        </is>
      </c>
      <c r="B727" s="89" t="n">
        <v>1</v>
      </c>
      <c r="C727" s="94" t="n">
        <v>100</v>
      </c>
      <c r="D727" s="95" t="n">
        <v>0.9</v>
      </c>
      <c r="E727" s="95" t="n">
        <v>-1.6</v>
      </c>
      <c r="F727" s="95" t="n">
        <v>0.5</v>
      </c>
      <c r="G727" s="95" t="n">
        <v>-1.4</v>
      </c>
      <c r="H727" s="95" t="n">
        <v>-2.6</v>
      </c>
      <c r="I727" s="95" t="n">
        <v>-0.4</v>
      </c>
      <c r="J727" s="95" t="n">
        <v>-2.3</v>
      </c>
      <c r="K727" s="96" t="inlineStr">
        <is>
          <t>2451 LUYUAN GP HLDG</t>
        </is>
      </c>
    </row>
    <row r="728">
      <c r="A728" s="16" t="inlineStr">
        <is>
          <t>E-Town International Holding (Hong Kong) Co., Limited</t>
        </is>
      </c>
      <c r="B728" s="89" t="n">
        <v>1</v>
      </c>
      <c r="C728" s="94" t="n">
        <v>100</v>
      </c>
      <c r="D728" s="95" t="n">
        <v>0.9</v>
      </c>
      <c r="E728" s="95" t="n">
        <v>-2.2</v>
      </c>
      <c r="F728" s="95" t="n">
        <v>0</v>
      </c>
      <c r="G728" s="95" t="n">
        <v>143.8</v>
      </c>
      <c r="H728" s="95" t="n">
        <v>-3.1</v>
      </c>
      <c r="I728" s="95" t="n">
        <v>-0.9</v>
      </c>
      <c r="J728" s="95" t="n">
        <v>141.5</v>
      </c>
      <c r="K728" s="96" t="inlineStr">
        <is>
          <t>9880 UBTECH ROBOTICS</t>
        </is>
      </c>
    </row>
    <row r="729">
      <c r="A729" s="16" t="inlineStr">
        <is>
          <t>Chen Xiong</t>
        </is>
      </c>
      <c r="B729" s="89" t="n">
        <v>1</v>
      </c>
      <c r="C729" s="94" t="n">
        <v>100</v>
      </c>
      <c r="D729" s="95" t="n">
        <v>0.8</v>
      </c>
      <c r="E729" s="95" t="n">
        <v>0.8</v>
      </c>
      <c r="F729" s="95" t="n">
        <v>0</v>
      </c>
      <c r="G729" s="95" t="n">
        <v>0</v>
      </c>
      <c r="H729" s="95" t="n">
        <v>0</v>
      </c>
      <c r="I729" s="95" t="n">
        <v>-0.8</v>
      </c>
      <c r="J729" s="95" t="n">
        <v>-0.8</v>
      </c>
      <c r="K729" s="96" t="inlineStr">
        <is>
          <t>2260 VANOV HOLDINGS</t>
        </is>
      </c>
    </row>
    <row r="730">
      <c r="A730" s="16" t="inlineStr">
        <is>
          <t>Gong Chaohui</t>
        </is>
      </c>
      <c r="B730" s="89" t="n">
        <v>1</v>
      </c>
      <c r="C730" s="94" t="n">
        <v>100</v>
      </c>
      <c r="D730" s="95" t="n">
        <v>0.8</v>
      </c>
      <c r="E730" s="95" t="n">
        <v>0.8</v>
      </c>
      <c r="F730" s="95" t="n">
        <v>0</v>
      </c>
      <c r="G730" s="95" t="n">
        <v>0</v>
      </c>
      <c r="H730" s="95" t="n">
        <v>0</v>
      </c>
      <c r="I730" s="95" t="n">
        <v>-0.8</v>
      </c>
      <c r="J730" s="95" t="n">
        <v>-0.8</v>
      </c>
      <c r="K730" s="96" t="inlineStr">
        <is>
          <t>2260 VANOV HOLDINGS</t>
        </is>
      </c>
    </row>
    <row r="731">
      <c r="A731" s="16" t="inlineStr">
        <is>
          <t>Duke King Holdings Limited</t>
        </is>
      </c>
      <c r="B731" s="89" t="n">
        <v>1</v>
      </c>
      <c r="C731" s="94" t="n">
        <v>100</v>
      </c>
      <c r="D731" s="95" t="n">
        <v>0.8</v>
      </c>
      <c r="E731" s="95" t="n">
        <v>-0.8</v>
      </c>
      <c r="F731" s="95" t="n">
        <v>-7.7</v>
      </c>
      <c r="G731" s="95" t="n">
        <v>-4.8</v>
      </c>
      <c r="H731" s="95" t="n">
        <v>-1.6</v>
      </c>
      <c r="I731" s="95" t="n">
        <v>-8.4</v>
      </c>
      <c r="J731" s="95" t="n">
        <v>-5.6</v>
      </c>
      <c r="K731" s="96" t="inlineStr">
        <is>
          <t>9636 JF WEALTH</t>
        </is>
      </c>
    </row>
    <row r="732">
      <c r="A732" s="16" t="inlineStr">
        <is>
          <t>Garland Glory Holdings Limited</t>
        </is>
      </c>
      <c r="B732" s="89" t="n">
        <v>1</v>
      </c>
      <c r="C732" s="94" t="n">
        <v>100</v>
      </c>
      <c r="D732" s="95" t="n">
        <v>0.8</v>
      </c>
      <c r="E732" s="95" t="n">
        <v>-0.8</v>
      </c>
      <c r="F732" s="95" t="n">
        <v>-7.7</v>
      </c>
      <c r="G732" s="95" t="n">
        <v>-4.8</v>
      </c>
      <c r="H732" s="95" t="n">
        <v>-1.6</v>
      </c>
      <c r="I732" s="95" t="n">
        <v>-8.4</v>
      </c>
      <c r="J732" s="95" t="n">
        <v>-5.6</v>
      </c>
      <c r="K732" s="96" t="inlineStr">
        <is>
          <t>9636 JF WEALTH</t>
        </is>
      </c>
    </row>
    <row r="733">
      <c r="A733" s="16" t="inlineStr">
        <is>
          <t>Orchid Asia V Co-Investment, Limited</t>
        </is>
      </c>
      <c r="B733" s="89" t="n">
        <v>1</v>
      </c>
      <c r="C733" s="94" t="n">
        <v>100</v>
      </c>
      <c r="D733" s="95" t="n">
        <v>0.8</v>
      </c>
      <c r="E733" s="95" t="n">
        <v>-0.8</v>
      </c>
      <c r="F733" s="95" t="n">
        <v>-7.7</v>
      </c>
      <c r="G733" s="95" t="n">
        <v>-4.8</v>
      </c>
      <c r="H733" s="95" t="n">
        <v>-1.6</v>
      </c>
      <c r="I733" s="95" t="n">
        <v>-8.4</v>
      </c>
      <c r="J733" s="95" t="n">
        <v>-5.6</v>
      </c>
      <c r="K733" s="96" t="inlineStr">
        <is>
          <t>9636 JF WEALTH</t>
        </is>
      </c>
    </row>
    <row r="734">
      <c r="A734" s="16" t="inlineStr">
        <is>
          <t>Welight Capital L.P</t>
        </is>
      </c>
      <c r="B734" s="89" t="n">
        <v>1</v>
      </c>
      <c r="C734" s="94" t="n">
        <v>100</v>
      </c>
      <c r="D734" s="95" t="n">
        <v>0.7</v>
      </c>
      <c r="E734" s="95" t="n">
        <v>1.6</v>
      </c>
      <c r="F734" s="95" t="n">
        <v>15.5</v>
      </c>
      <c r="G734" s="95" t="n">
        <v>0</v>
      </c>
      <c r="H734" s="95" t="n">
        <v>1</v>
      </c>
      <c r="I734" s="95" t="n">
        <v>14.8</v>
      </c>
      <c r="J734" s="95" t="n">
        <v>-0.7</v>
      </c>
      <c r="K734" s="96" t="inlineStr">
        <is>
          <t>3880 MEDTIDE</t>
        </is>
      </c>
    </row>
    <row r="735">
      <c r="A735" s="16" t="inlineStr">
        <is>
          <t>Shenzhen Victory Investment Fund Management Company Limited</t>
        </is>
      </c>
      <c r="B735" s="89" t="n">
        <v>1</v>
      </c>
      <c r="C735" s="94" t="n">
        <v>100</v>
      </c>
      <c r="D735" s="95" t="n">
        <v>0.6</v>
      </c>
      <c r="E735" s="95" t="n">
        <v>-3.4</v>
      </c>
      <c r="F735" s="95" t="n">
        <v>-1.6</v>
      </c>
      <c r="G735" s="95" t="n">
        <v>-6.5</v>
      </c>
      <c r="H735" s="95" t="n">
        <v>-4</v>
      </c>
      <c r="I735" s="95" t="n">
        <v>-2.2</v>
      </c>
      <c r="J735" s="95" t="n">
        <v>-7</v>
      </c>
      <c r="K735" s="96" t="inlineStr">
        <is>
          <t>3288 HAITIAN FLAV</t>
        </is>
      </c>
    </row>
    <row r="736">
      <c r="A736" s="16" t="inlineStr">
        <is>
          <t>Charm Harvest International Limited</t>
        </is>
      </c>
      <c r="B736" s="89" t="n">
        <v>1</v>
      </c>
      <c r="C736" s="94" t="n">
        <v>100</v>
      </c>
      <c r="D736" s="95" t="n">
        <v>0.6</v>
      </c>
      <c r="E736" s="95" t="n">
        <v>-2</v>
      </c>
      <c r="F736" s="95" t="n">
        <v>-17.6</v>
      </c>
      <c r="G736" s="95" t="n">
        <v>-24.2</v>
      </c>
      <c r="H736" s="95" t="n">
        <v>-2.6</v>
      </c>
      <c r="I736" s="95" t="n">
        <v>-18.1</v>
      </c>
      <c r="J736" s="95" t="n">
        <v>-24.6</v>
      </c>
      <c r="K736" s="96" t="inlineStr">
        <is>
          <t>2493 MABWELL-B</t>
        </is>
      </c>
    </row>
    <row r="737">
      <c r="A737" s="16" t="inlineStr">
        <is>
          <t>Junshi Hong Kong Limited</t>
        </is>
      </c>
      <c r="B737" s="89" t="n">
        <v>1</v>
      </c>
      <c r="C737" s="94" t="n">
        <v>100</v>
      </c>
      <c r="D737" s="95" t="n">
        <v>0.6</v>
      </c>
      <c r="E737" s="95" t="n">
        <v>-2</v>
      </c>
      <c r="F737" s="95" t="n">
        <v>-17.6</v>
      </c>
      <c r="G737" s="95" t="n">
        <v>-24.2</v>
      </c>
      <c r="H737" s="95" t="n">
        <v>-2.6</v>
      </c>
      <c r="I737" s="95" t="n">
        <v>-18.1</v>
      </c>
      <c r="J737" s="95" t="n">
        <v>-24.6</v>
      </c>
      <c r="K737" s="96" t="inlineStr">
        <is>
          <t>2493 MABWELL-B</t>
        </is>
      </c>
    </row>
    <row r="738">
      <c r="A738" s="16" t="inlineStr">
        <is>
          <t>Golden Star International Pty Limited</t>
        </is>
      </c>
      <c r="B738" s="89" t="n">
        <v>1</v>
      </c>
      <c r="C738" s="94" t="n">
        <v>100</v>
      </c>
      <c r="D738" s="95" t="n">
        <v>0.5</v>
      </c>
      <c r="E738" s="95" t="n">
        <v>5</v>
      </c>
      <c r="F738" s="95" t="n">
        <v>-25.8</v>
      </c>
      <c r="G738" s="95" t="n">
        <v>-45.3</v>
      </c>
      <c r="H738" s="95" t="n">
        <v>4.5</v>
      </c>
      <c r="I738" s="95" t="n">
        <v>-26.2</v>
      </c>
      <c r="J738" s="95" t="n">
        <v>-45.5</v>
      </c>
      <c r="K738" s="96" t="inlineStr">
        <is>
          <t>3658 NEW HOPE SERV</t>
        </is>
      </c>
    </row>
    <row r="739">
      <c r="A739" s="16" t="inlineStr">
        <is>
          <t>Neptune Investments Holdings Limited</t>
        </is>
      </c>
      <c r="B739" s="89" t="n">
        <v>1</v>
      </c>
      <c r="C739" s="94" t="n">
        <v>100</v>
      </c>
      <c r="D739" s="95" t="n">
        <v>0.5</v>
      </c>
      <c r="E739" s="95" t="n">
        <v>5</v>
      </c>
      <c r="F739" s="95" t="n">
        <v>-25.8</v>
      </c>
      <c r="G739" s="95" t="n">
        <v>-45.3</v>
      </c>
      <c r="H739" s="95" t="n">
        <v>4.5</v>
      </c>
      <c r="I739" s="95" t="n">
        <v>-26.2</v>
      </c>
      <c r="J739" s="95" t="n">
        <v>-45.5</v>
      </c>
      <c r="K739" s="96" t="inlineStr">
        <is>
          <t>3658 NEW HOPE SERV</t>
        </is>
      </c>
    </row>
    <row r="740">
      <c r="A740" s="16" t="inlineStr">
        <is>
          <t>Peak Reinsurance Company Limited</t>
        </is>
      </c>
      <c r="B740" s="89" t="n">
        <v>1</v>
      </c>
      <c r="C740" s="94" t="n">
        <v>100</v>
      </c>
      <c r="D740" s="95" t="n">
        <v>0.5</v>
      </c>
      <c r="E740" s="95" t="n">
        <v>5</v>
      </c>
      <c r="F740" s="95" t="n">
        <v>-25.8</v>
      </c>
      <c r="G740" s="95" t="n">
        <v>-45.3</v>
      </c>
      <c r="H740" s="95" t="n">
        <v>4.5</v>
      </c>
      <c r="I740" s="95" t="n">
        <v>-26.2</v>
      </c>
      <c r="J740" s="95" t="n">
        <v>-45.5</v>
      </c>
      <c r="K740" s="96" t="inlineStr">
        <is>
          <t>3658 NEW HOPE SERV</t>
        </is>
      </c>
    </row>
    <row r="741">
      <c r="A741" s="16" t="inlineStr">
        <is>
          <t>So-Young Hong Kong Limited</t>
        </is>
      </c>
      <c r="B741" s="89" t="n">
        <v>1</v>
      </c>
      <c r="C741" s="94" t="n">
        <v>100</v>
      </c>
      <c r="D741" s="95" t="n">
        <v>0.5</v>
      </c>
      <c r="E741" s="95" t="n">
        <v>38.7</v>
      </c>
      <c r="F741" s="95" t="n">
        <v>-1.6</v>
      </c>
      <c r="G741" s="95" t="n">
        <v>1.4</v>
      </c>
      <c r="H741" s="95" t="n">
        <v>38</v>
      </c>
      <c r="I741" s="95" t="n">
        <v>-2</v>
      </c>
      <c r="J741" s="95" t="n">
        <v>0.9</v>
      </c>
      <c r="K741" s="96" t="inlineStr">
        <is>
          <t>2487 CUTIA-B</t>
        </is>
      </c>
    </row>
    <row r="742">
      <c r="A742" s="16" t="inlineStr">
        <is>
          <t>HK InnoSC</t>
        </is>
      </c>
      <c r="B742" s="89" t="n">
        <v>1</v>
      </c>
      <c r="C742" s="94" t="n">
        <v>100</v>
      </c>
      <c r="D742" s="95" t="n">
        <v>0.5</v>
      </c>
      <c r="E742" s="95" t="n">
        <v>-0</v>
      </c>
      <c r="F742" s="95" t="n">
        <v>32.7</v>
      </c>
      <c r="G742" s="95" t="n">
        <v>44.2</v>
      </c>
      <c r="H742" s="95" t="n">
        <v>-0.5</v>
      </c>
      <c r="I742" s="95" t="n">
        <v>32.1</v>
      </c>
      <c r="J742" s="95" t="n">
        <v>43.5</v>
      </c>
      <c r="K742" s="96" t="inlineStr">
        <is>
          <t>2577 INNOSCIENCE</t>
        </is>
      </c>
    </row>
    <row r="743">
      <c r="A743" s="16" t="inlineStr">
        <is>
          <t>Inno CL</t>
        </is>
      </c>
      <c r="B743" s="89" t="n">
        <v>1</v>
      </c>
      <c r="C743" s="94" t="n">
        <v>100</v>
      </c>
      <c r="D743" s="95" t="n">
        <v>0.5</v>
      </c>
      <c r="E743" s="95" t="n">
        <v>-0</v>
      </c>
      <c r="F743" s="95" t="n">
        <v>32.7</v>
      </c>
      <c r="G743" s="95" t="n">
        <v>44.2</v>
      </c>
      <c r="H743" s="95" t="n">
        <v>-0.5</v>
      </c>
      <c r="I743" s="95" t="n">
        <v>32.1</v>
      </c>
      <c r="J743" s="95" t="n">
        <v>43.5</v>
      </c>
      <c r="K743" s="96" t="inlineStr">
        <is>
          <t>2577 INNOSCIENCE</t>
        </is>
      </c>
    </row>
    <row r="744">
      <c r="A744" s="16" t="inlineStr">
        <is>
          <t>Fuqing Shengde Calorie Investment Co., Ltd</t>
        </is>
      </c>
      <c r="B744" s="89" t="n">
        <v>1</v>
      </c>
      <c r="C744" s="94" t="n">
        <v>100</v>
      </c>
      <c r="D744" s="95" t="n">
        <v>0.3</v>
      </c>
      <c r="E744" s="95" t="n">
        <v>-0.2</v>
      </c>
      <c r="F744" s="95" t="n">
        <v>9.300000000000001</v>
      </c>
      <c r="G744" s="95" t="n">
        <v>0.6</v>
      </c>
      <c r="H744" s="95" t="n">
        <v>-0.5</v>
      </c>
      <c r="I744" s="95" t="n">
        <v>9</v>
      </c>
      <c r="J744" s="95" t="n">
        <v>0.3</v>
      </c>
      <c r="K744" s="96" t="inlineStr">
        <is>
          <t>3650 KEEP</t>
        </is>
      </c>
    </row>
    <row r="745">
      <c r="A745" s="16" t="inlineStr">
        <is>
          <t>Shenzhen Fenda Technology Co., Ltd</t>
        </is>
      </c>
      <c r="B745" s="89" t="n">
        <v>1</v>
      </c>
      <c r="C745" s="94" t="n">
        <v>100</v>
      </c>
      <c r="D745" s="95" t="n">
        <v>0.3</v>
      </c>
      <c r="E745" s="95" t="n">
        <v>-0.2</v>
      </c>
      <c r="F745" s="95" t="n">
        <v>9.300000000000001</v>
      </c>
      <c r="G745" s="95" t="n">
        <v>0.6</v>
      </c>
      <c r="H745" s="95" t="n">
        <v>-0.5</v>
      </c>
      <c r="I745" s="95" t="n">
        <v>9</v>
      </c>
      <c r="J745" s="95" t="n">
        <v>0.3</v>
      </c>
      <c r="K745" s="96" t="inlineStr">
        <is>
          <t>3650 KEEP</t>
        </is>
      </c>
    </row>
    <row r="746">
      <c r="A746" s="16" t="inlineStr">
        <is>
          <t>Leyard (HongKong) Co., Limited</t>
        </is>
      </c>
      <c r="B746" s="89" t="n">
        <v>1</v>
      </c>
      <c r="C746" s="94" t="n">
        <v>100</v>
      </c>
      <c r="D746" s="95" t="n">
        <v>0.3</v>
      </c>
      <c r="E746" s="95" t="n">
        <v>-19.4</v>
      </c>
      <c r="F746" s="95" t="n">
        <v>-7.8</v>
      </c>
      <c r="G746" s="95" t="n">
        <v>-12.5</v>
      </c>
      <c r="H746" s="95" t="n">
        <v>-19.6</v>
      </c>
      <c r="I746" s="95" t="n">
        <v>-8.1</v>
      </c>
      <c r="J746" s="95" t="n">
        <v>-12.8</v>
      </c>
      <c r="K746" s="96" t="inlineStr">
        <is>
          <t>2529 HOLLWIN URBAN</t>
        </is>
      </c>
    </row>
    <row r="747">
      <c r="A747" s="16" t="inlineStr">
        <is>
          <t>Sanan International Holding Co., Limited</t>
        </is>
      </c>
      <c r="B747" s="89" t="n">
        <v>1</v>
      </c>
      <c r="C747" s="94" t="n">
        <v>100</v>
      </c>
      <c r="D747" s="95" t="n">
        <v>0.3</v>
      </c>
      <c r="E747" s="95" t="n">
        <v>-19.4</v>
      </c>
      <c r="F747" s="95" t="n">
        <v>-7.8</v>
      </c>
      <c r="G747" s="95" t="n">
        <v>-12.5</v>
      </c>
      <c r="H747" s="95" t="n">
        <v>-19.6</v>
      </c>
      <c r="I747" s="95" t="n">
        <v>-8.1</v>
      </c>
      <c r="J747" s="95" t="n">
        <v>-12.8</v>
      </c>
      <c r="K747" s="96" t="inlineStr">
        <is>
          <t>2529 HOLLWIN URBAN</t>
        </is>
      </c>
    </row>
    <row r="748">
      <c r="A748" s="16" t="inlineStr">
        <is>
          <t>Xiangzheng Capital Limited</t>
        </is>
      </c>
      <c r="B748" s="89" t="n">
        <v>1</v>
      </c>
      <c r="C748" s="94" t="n">
        <v>100</v>
      </c>
      <c r="D748" s="95" t="n">
        <v>0.3</v>
      </c>
      <c r="E748" s="95" t="n">
        <v>-19.4</v>
      </c>
      <c r="F748" s="95" t="n">
        <v>-7.8</v>
      </c>
      <c r="G748" s="95" t="n">
        <v>-12.5</v>
      </c>
      <c r="H748" s="95" t="n">
        <v>-19.6</v>
      </c>
      <c r="I748" s="95" t="n">
        <v>-8.1</v>
      </c>
      <c r="J748" s="95" t="n">
        <v>-12.8</v>
      </c>
      <c r="K748" s="96" t="inlineStr">
        <is>
          <t>2529 HOLLWIN URBAN</t>
        </is>
      </c>
    </row>
    <row r="749">
      <c r="A749" s="16" t="inlineStr">
        <is>
          <t>FUHUIDA HK</t>
        </is>
      </c>
      <c r="B749" s="89" t="n">
        <v>1</v>
      </c>
      <c r="C749" s="94" t="n">
        <v>100</v>
      </c>
      <c r="D749" s="95" t="n">
        <v>0.3</v>
      </c>
      <c r="E749" s="95" t="n">
        <v>-18.8</v>
      </c>
      <c r="F749" s="95" t="n">
        <v>-30.5</v>
      </c>
      <c r="G749" s="95" t="n">
        <v>-42.1</v>
      </c>
      <c r="H749" s="95" t="n">
        <v>-19</v>
      </c>
      <c r="I749" s="95" t="n">
        <v>-30.7</v>
      </c>
      <c r="J749" s="95" t="n">
        <v>-42.3</v>
      </c>
      <c r="K749" s="96" t="inlineStr">
        <is>
          <t>1641 HX COLDCHAIN</t>
        </is>
      </c>
    </row>
    <row r="750">
      <c r="A750" s="16" t="inlineStr">
        <is>
          <t>Huang Fusheng (黃福生)</t>
        </is>
      </c>
      <c r="B750" s="89" t="n">
        <v>1</v>
      </c>
      <c r="C750" s="94" t="n">
        <v>100</v>
      </c>
      <c r="D750" s="95" t="n">
        <v>0.3</v>
      </c>
      <c r="E750" s="95" t="n">
        <v>-18.8</v>
      </c>
      <c r="F750" s="95" t="n">
        <v>-30.5</v>
      </c>
      <c r="G750" s="95" t="n">
        <v>-42.1</v>
      </c>
      <c r="H750" s="95" t="n">
        <v>-19</v>
      </c>
      <c r="I750" s="95" t="n">
        <v>-30.7</v>
      </c>
      <c r="J750" s="95" t="n">
        <v>-42.3</v>
      </c>
      <c r="K750" s="96" t="inlineStr">
        <is>
          <t>1641 HX COLDCHAIN</t>
        </is>
      </c>
    </row>
    <row r="751">
      <c r="A751" s="16" t="inlineStr">
        <is>
          <t>Cheng Yan (成燕)</t>
        </is>
      </c>
      <c r="B751" s="89" t="n">
        <v>1</v>
      </c>
      <c r="C751" s="94" t="n">
        <v>100</v>
      </c>
      <c r="D751" s="95" t="n">
        <v>0.3</v>
      </c>
      <c r="E751" s="95" t="n">
        <v>-18.8</v>
      </c>
      <c r="F751" s="95" t="n">
        <v>-30.5</v>
      </c>
      <c r="G751" s="95" t="n">
        <v>-42.1</v>
      </c>
      <c r="H751" s="95" t="n">
        <v>-19</v>
      </c>
      <c r="I751" s="95" t="n">
        <v>-30.7</v>
      </c>
      <c r="J751" s="95" t="n">
        <v>-42.3</v>
      </c>
      <c r="K751" s="96" t="inlineStr">
        <is>
          <t>1641 HX COLDCHAIN</t>
        </is>
      </c>
    </row>
    <row r="752">
      <c r="A752" s="16" t="inlineStr">
        <is>
          <t>Luo Tiexing (羅鐵興)</t>
        </is>
      </c>
      <c r="B752" s="89" t="n">
        <v>1</v>
      </c>
      <c r="C752" s="94" t="n">
        <v>100</v>
      </c>
      <c r="D752" s="95" t="n">
        <v>0.3</v>
      </c>
      <c r="E752" s="95" t="n">
        <v>-18.8</v>
      </c>
      <c r="F752" s="95" t="n">
        <v>-30.5</v>
      </c>
      <c r="G752" s="95" t="n">
        <v>-42.1</v>
      </c>
      <c r="H752" s="95" t="n">
        <v>-19</v>
      </c>
      <c r="I752" s="95" t="n">
        <v>-30.7</v>
      </c>
      <c r="J752" s="95" t="n">
        <v>-42.3</v>
      </c>
      <c r="K752" s="96" t="inlineStr">
        <is>
          <t>1641 HX COLDCHAIN</t>
        </is>
      </c>
    </row>
    <row r="753">
      <c r="A753" s="16" t="inlineStr">
        <is>
          <t>Li Changxiao (李昌孝)</t>
        </is>
      </c>
      <c r="B753" s="89" t="n">
        <v>1</v>
      </c>
      <c r="C753" s="94" t="n">
        <v>100</v>
      </c>
      <c r="D753" s="95" t="n">
        <v>0.3</v>
      </c>
      <c r="E753" s="95" t="n">
        <v>-18.8</v>
      </c>
      <c r="F753" s="95" t="n">
        <v>-30.5</v>
      </c>
      <c r="G753" s="95" t="n">
        <v>-42.1</v>
      </c>
      <c r="H753" s="95" t="n">
        <v>-19</v>
      </c>
      <c r="I753" s="95" t="n">
        <v>-30.7</v>
      </c>
      <c r="J753" s="95" t="n">
        <v>-42.3</v>
      </c>
      <c r="K753" s="96" t="inlineStr">
        <is>
          <t>1641 HX COLDCHAIN</t>
        </is>
      </c>
    </row>
    <row r="754">
      <c r="A754" s="16" t="inlineStr">
        <is>
          <t>Kong Yu (孔昱)</t>
        </is>
      </c>
      <c r="B754" s="89" t="n">
        <v>1</v>
      </c>
      <c r="C754" s="94" t="n">
        <v>100</v>
      </c>
      <c r="D754" s="95" t="n">
        <v>0.3</v>
      </c>
      <c r="E754" s="95" t="n">
        <v>-18.8</v>
      </c>
      <c r="F754" s="95" t="n">
        <v>-30.5</v>
      </c>
      <c r="G754" s="95" t="n">
        <v>-42.1</v>
      </c>
      <c r="H754" s="95" t="n">
        <v>-19</v>
      </c>
      <c r="I754" s="95" t="n">
        <v>-30.7</v>
      </c>
      <c r="J754" s="95" t="n">
        <v>-42.3</v>
      </c>
      <c r="K754" s="96" t="inlineStr">
        <is>
          <t>1641 HX COLDCHAIN</t>
        </is>
      </c>
    </row>
    <row r="755">
      <c r="A755" s="16" t="inlineStr">
        <is>
          <t>Zou Songqiu (鄒松球)</t>
        </is>
      </c>
      <c r="B755" s="89" t="n">
        <v>1</v>
      </c>
      <c r="C755" s="94" t="n">
        <v>100</v>
      </c>
      <c r="D755" s="95" t="n">
        <v>0.3</v>
      </c>
      <c r="E755" s="95" t="n">
        <v>-18.8</v>
      </c>
      <c r="F755" s="95" t="n">
        <v>-30.5</v>
      </c>
      <c r="G755" s="95" t="n">
        <v>-42.1</v>
      </c>
      <c r="H755" s="95" t="n">
        <v>-19</v>
      </c>
      <c r="I755" s="95" t="n">
        <v>-30.7</v>
      </c>
      <c r="J755" s="95" t="n">
        <v>-42.3</v>
      </c>
      <c r="K755" s="96" t="inlineStr">
        <is>
          <t>1641 HX COLDCHAIN</t>
        </is>
      </c>
    </row>
    <row r="756">
      <c r="A756" s="16" t="inlineStr">
        <is>
          <t>Li Zhenbin (李振斌)</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Li Zhenwu (李振武)</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Li Dengyun (李登雲)</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Zhang Ying (張穎)</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Pioneer Top Holdings Limited</t>
        </is>
      </c>
      <c r="B760" s="89" t="n">
        <v>1</v>
      </c>
      <c r="C760" s="94" t="n">
        <v>100</v>
      </c>
      <c r="D760" s="95" t="n">
        <v>0.2</v>
      </c>
      <c r="E760" s="95" t="n">
        <v>0</v>
      </c>
      <c r="F760" s="95" t="n">
        <v>31.1</v>
      </c>
      <c r="G760" s="95" t="n">
        <v>98.5</v>
      </c>
      <c r="H760" s="95" t="n">
        <v>-0.2</v>
      </c>
      <c r="I760" s="95" t="n">
        <v>30.8</v>
      </c>
      <c r="J760" s="95" t="n">
        <v>98</v>
      </c>
      <c r="K760" s="96" t="inlineStr">
        <is>
          <t>9879 MIGAO GROUP</t>
        </is>
      </c>
    </row>
    <row r="761">
      <c r="A761" s="16" t="inlineStr">
        <is>
          <t>Shenyang Xinchang Grain Trade Co., Ltd</t>
        </is>
      </c>
      <c r="B761" s="89" t="n">
        <v>1</v>
      </c>
      <c r="C761" s="94" t="n">
        <v>100</v>
      </c>
      <c r="D761" s="95" t="n">
        <v>0.2</v>
      </c>
      <c r="E761" s="95" t="n">
        <v>0</v>
      </c>
      <c r="F761" s="95" t="n">
        <v>31.1</v>
      </c>
      <c r="G761" s="95" t="n">
        <v>98.5</v>
      </c>
      <c r="H761" s="95" t="n">
        <v>-0.2</v>
      </c>
      <c r="I761" s="95" t="n">
        <v>30.8</v>
      </c>
      <c r="J761" s="95" t="n">
        <v>98</v>
      </c>
      <c r="K761" s="96" t="inlineStr">
        <is>
          <t>9879 MIGAO GROUP</t>
        </is>
      </c>
    </row>
    <row r="762">
      <c r="A762" s="16" t="inlineStr">
        <is>
          <t>Tongzhou International</t>
        </is>
      </c>
      <c r="B762" s="89" t="n">
        <v>1</v>
      </c>
      <c r="C762" s="94" t="n">
        <v>100</v>
      </c>
      <c r="D762" s="95" t="n">
        <v>0.2</v>
      </c>
      <c r="E762" s="95" t="n">
        <v>-0.4</v>
      </c>
      <c r="F762" s="95" t="n">
        <v>-0.4</v>
      </c>
      <c r="G762" s="95" t="n">
        <v>47.6</v>
      </c>
      <c r="H762" s="95" t="n">
        <v>-0.6</v>
      </c>
      <c r="I762" s="95" t="n">
        <v>-0.6</v>
      </c>
      <c r="J762" s="95" t="n">
        <v>47.3</v>
      </c>
      <c r="K762" s="96" t="inlineStr">
        <is>
          <t>2597 XUNZHONG</t>
        </is>
      </c>
    </row>
    <row r="763">
      <c r="A763" s="16" t="inlineStr">
        <is>
          <t>China New Rich Medicine Holding Co. Limited</t>
        </is>
      </c>
      <c r="B763" s="89" t="n">
        <v>1</v>
      </c>
      <c r="C763" s="94" t="n">
        <v>100</v>
      </c>
      <c r="D763" s="95" t="n">
        <v>0.1</v>
      </c>
      <c r="E763" s="95" t="n">
        <v>28.3</v>
      </c>
      <c r="F763" s="95" t="n">
        <v>15.1</v>
      </c>
      <c r="G763" s="95" t="n">
        <v>34.2</v>
      </c>
      <c r="H763" s="95" t="n">
        <v>28.1</v>
      </c>
      <c r="I763" s="95" t="n">
        <v>14.9</v>
      </c>
      <c r="J763" s="95" t="n">
        <v>34</v>
      </c>
      <c r="K763" s="96" t="inlineStr">
        <is>
          <t>2522 RIMAG GROUP</t>
        </is>
      </c>
    </row>
    <row r="764">
      <c r="A764" s="16" t="inlineStr">
        <is>
          <t>Excellent Investment Enterprise Management (Hong Kong) Co., Limited</t>
        </is>
      </c>
      <c r="B764" s="89" t="n">
        <v>1</v>
      </c>
      <c r="C764" s="94" t="n">
        <v>100</v>
      </c>
      <c r="D764" s="95" t="n">
        <v>0.1</v>
      </c>
      <c r="E764" s="95" t="n">
        <v>28.3</v>
      </c>
      <c r="F764" s="95" t="n">
        <v>15.1</v>
      </c>
      <c r="G764" s="95" t="n">
        <v>34.2</v>
      </c>
      <c r="H764" s="95" t="n">
        <v>28.1</v>
      </c>
      <c r="I764" s="95" t="n">
        <v>14.9</v>
      </c>
      <c r="J764" s="95" t="n">
        <v>34</v>
      </c>
      <c r="K764" s="96" t="inlineStr">
        <is>
          <t>2522 RIMAG GROUP</t>
        </is>
      </c>
    </row>
    <row r="765">
      <c r="A765" s="16" t="inlineStr">
        <is>
          <t>Crotona Assets Limited</t>
        </is>
      </c>
      <c r="B765" s="89" t="n">
        <v>1</v>
      </c>
      <c r="C765" s="94" t="n">
        <v>0</v>
      </c>
      <c r="D765" s="95" t="n">
        <v>0</v>
      </c>
      <c r="E765" s="95" t="n">
        <v>10</v>
      </c>
      <c r="F765" s="95" t="n">
        <v>-13.9</v>
      </c>
      <c r="G765" s="95" t="n">
        <v>-33.8</v>
      </c>
      <c r="H765" s="95" t="n">
        <v>10</v>
      </c>
      <c r="I765" s="95" t="n">
        <v>-13.9</v>
      </c>
      <c r="J765" s="95" t="n">
        <v>-33.8</v>
      </c>
      <c r="K765" s="96" t="inlineStr">
        <is>
          <t>6626 YUEXIU SERVICES</t>
        </is>
      </c>
    </row>
    <row r="766">
      <c r="A766" s="16" t="inlineStr">
        <is>
          <t>Goingup Inc Limited</t>
        </is>
      </c>
      <c r="B766" s="89" t="n">
        <v>1</v>
      </c>
      <c r="C766" s="94" t="n">
        <v>0</v>
      </c>
      <c r="D766" s="95" t="n">
        <v>0</v>
      </c>
      <c r="E766" s="95" t="n">
        <v>10</v>
      </c>
      <c r="F766" s="95" t="n">
        <v>-13.9</v>
      </c>
      <c r="G766" s="95" t="n">
        <v>-33.8</v>
      </c>
      <c r="H766" s="95" t="n">
        <v>10</v>
      </c>
      <c r="I766" s="95" t="n">
        <v>-13.9</v>
      </c>
      <c r="J766" s="95" t="n">
        <v>-33.8</v>
      </c>
      <c r="K766" s="96" t="inlineStr">
        <is>
          <t>6626 YUEXIU SERVICES</t>
        </is>
      </c>
    </row>
    <row r="767">
      <c r="A767" s="16" t="inlineStr">
        <is>
          <t>Jiang Ganjun</t>
        </is>
      </c>
      <c r="B767" s="89" t="n">
        <v>1</v>
      </c>
      <c r="C767" s="94" t="n">
        <v>0</v>
      </c>
      <c r="D767" s="95" t="n">
        <v>0</v>
      </c>
      <c r="E767" s="95" t="n">
        <v>10</v>
      </c>
      <c r="F767" s="95" t="n">
        <v>-13.9</v>
      </c>
      <c r="G767" s="95" t="n">
        <v>-33.8</v>
      </c>
      <c r="H767" s="95" t="n">
        <v>10</v>
      </c>
      <c r="I767" s="95" t="n">
        <v>-13.9</v>
      </c>
      <c r="J767" s="95" t="n">
        <v>-33.8</v>
      </c>
      <c r="K767" s="96" t="inlineStr">
        <is>
          <t>6626 YUEXIU SERVICES</t>
        </is>
      </c>
    </row>
    <row r="768">
      <c r="A768" s="16" t="inlineStr">
        <is>
          <t>Kaiser Private Equity Fund SPC-SPI</t>
        </is>
      </c>
      <c r="B768" s="89" t="n">
        <v>1</v>
      </c>
      <c r="C768" s="94" t="n">
        <v>0</v>
      </c>
      <c r="D768" s="95" t="n">
        <v>0</v>
      </c>
      <c r="E768" s="95" t="n">
        <v>10</v>
      </c>
      <c r="F768" s="95" t="n">
        <v>-13.9</v>
      </c>
      <c r="G768" s="95" t="n">
        <v>-33.8</v>
      </c>
      <c r="H768" s="95" t="n">
        <v>10</v>
      </c>
      <c r="I768" s="95" t="n">
        <v>-13.9</v>
      </c>
      <c r="J768" s="95" t="n">
        <v>-33.8</v>
      </c>
      <c r="K768" s="96" t="inlineStr">
        <is>
          <t>6626 YUEXIU SERVICES</t>
        </is>
      </c>
    </row>
    <row r="769">
      <c r="A769" s="16" t="inlineStr">
        <is>
          <t>Ke Jiansheng</t>
        </is>
      </c>
      <c r="B769" s="89" t="n">
        <v>1</v>
      </c>
      <c r="C769" s="94" t="n">
        <v>0</v>
      </c>
      <c r="D769" s="95" t="n">
        <v>0</v>
      </c>
      <c r="E769" s="95" t="n">
        <v>10</v>
      </c>
      <c r="F769" s="95" t="n">
        <v>-13.9</v>
      </c>
      <c r="G769" s="95" t="n">
        <v>-33.8</v>
      </c>
      <c r="H769" s="95" t="n">
        <v>10</v>
      </c>
      <c r="I769" s="95" t="n">
        <v>-13.9</v>
      </c>
      <c r="J769" s="95" t="n">
        <v>-33.8</v>
      </c>
      <c r="K769" s="96" t="inlineStr">
        <is>
          <t>6626 YUEXIU SERVICES</t>
        </is>
      </c>
    </row>
    <row r="770">
      <c r="A770" s="16" t="inlineStr">
        <is>
          <t>Sunfly Holding Co., Ltd</t>
        </is>
      </c>
      <c r="B770" s="89" t="n">
        <v>1</v>
      </c>
      <c r="C770" s="94" t="n">
        <v>0</v>
      </c>
      <c r="D770" s="95" t="n">
        <v>0</v>
      </c>
      <c r="E770" s="95" t="n">
        <v>10</v>
      </c>
      <c r="F770" s="95" t="n">
        <v>-13.9</v>
      </c>
      <c r="G770" s="95" t="n">
        <v>-33.8</v>
      </c>
      <c r="H770" s="95" t="n">
        <v>10</v>
      </c>
      <c r="I770" s="95" t="n">
        <v>-13.9</v>
      </c>
      <c r="J770" s="95" t="n">
        <v>-33.8</v>
      </c>
      <c r="K770" s="96" t="inlineStr">
        <is>
          <t>6626 YUEXIU SERVICES</t>
        </is>
      </c>
    </row>
    <row r="771">
      <c r="A771" s="16" t="inlineStr">
        <is>
          <t>Wealthking Investments Limited</t>
        </is>
      </c>
      <c r="B771" s="89" t="n">
        <v>1</v>
      </c>
      <c r="C771" s="94" t="n">
        <v>0</v>
      </c>
      <c r="D771" s="95" t="n">
        <v>0</v>
      </c>
      <c r="E771" s="95" t="n">
        <v>10</v>
      </c>
      <c r="F771" s="95" t="n">
        <v>-13.9</v>
      </c>
      <c r="G771" s="95" t="n">
        <v>-33.8</v>
      </c>
      <c r="H771" s="95" t="n">
        <v>10</v>
      </c>
      <c r="I771" s="95" t="n">
        <v>-13.9</v>
      </c>
      <c r="J771" s="95" t="n">
        <v>-33.8</v>
      </c>
      <c r="K771" s="96" t="inlineStr">
        <is>
          <t>6626 YUEXIU SERVICES</t>
        </is>
      </c>
    </row>
    <row r="772">
      <c r="A772" s="16" t="inlineStr">
        <is>
          <t>Hangzhou Jintou Shenghan Investment Partnership (Limited Partnership)</t>
        </is>
      </c>
      <c r="B772" s="89" t="n">
        <v>1</v>
      </c>
      <c r="C772" s="94" t="n">
        <v>0</v>
      </c>
      <c r="D772" s="95" t="n">
        <v>0</v>
      </c>
      <c r="E772" s="95" t="n">
        <v>0</v>
      </c>
      <c r="F772" s="95" t="n">
        <v>9.800000000000001</v>
      </c>
      <c r="G772" s="95" t="n">
        <v>10.1</v>
      </c>
      <c r="H772" s="95" t="n">
        <v>0</v>
      </c>
      <c r="I772" s="95" t="n">
        <v>9.800000000000001</v>
      </c>
      <c r="J772" s="95" t="n">
        <v>10.1</v>
      </c>
      <c r="K772" s="96" t="inlineStr">
        <is>
          <t>2215 DEXIN SER GROUP</t>
        </is>
      </c>
    </row>
    <row r="773">
      <c r="A773" s="16" t="inlineStr">
        <is>
          <t>Hangzhou Light Industrial Association Investment Group Co.,Ltd</t>
        </is>
      </c>
      <c r="B773" s="89" t="n">
        <v>1</v>
      </c>
      <c r="C773" s="94" t="n">
        <v>0</v>
      </c>
      <c r="D773" s="95" t="n">
        <v>0</v>
      </c>
      <c r="E773" s="95" t="n">
        <v>0</v>
      </c>
      <c r="F773" s="95" t="n">
        <v>9.800000000000001</v>
      </c>
      <c r="G773" s="95" t="n">
        <v>10.1</v>
      </c>
      <c r="H773" s="95" t="n">
        <v>0</v>
      </c>
      <c r="I773" s="95" t="n">
        <v>9.800000000000001</v>
      </c>
      <c r="J773" s="95" t="n">
        <v>10.1</v>
      </c>
      <c r="K773" s="96" t="inlineStr">
        <is>
          <t>2215 DEXIN SER GROUP</t>
        </is>
      </c>
    </row>
    <row r="774">
      <c r="A774" s="16" t="inlineStr">
        <is>
          <t>JIC TRUST CO., LTD</t>
        </is>
      </c>
      <c r="B774" s="89" t="n">
        <v>1</v>
      </c>
      <c r="C774" s="94" t="n">
        <v>0</v>
      </c>
      <c r="D774" s="95" t="n">
        <v>0</v>
      </c>
      <c r="E774" s="95" t="n">
        <v>0</v>
      </c>
      <c r="F774" s="95" t="n">
        <v>9.800000000000001</v>
      </c>
      <c r="G774" s="95" t="n">
        <v>10.1</v>
      </c>
      <c r="H774" s="95" t="n">
        <v>0</v>
      </c>
      <c r="I774" s="95" t="n">
        <v>9.800000000000001</v>
      </c>
      <c r="J774" s="95" t="n">
        <v>10.1</v>
      </c>
      <c r="K774" s="96" t="inlineStr">
        <is>
          <t>2215 DEXIN SER GROUP</t>
        </is>
      </c>
    </row>
    <row r="775">
      <c r="A775" s="16" t="inlineStr">
        <is>
          <t>Maccura Biotechnology Co., Ltd</t>
        </is>
      </c>
      <c r="B775" s="89" t="n">
        <v>1</v>
      </c>
      <c r="C775" s="94" t="n">
        <v>0</v>
      </c>
      <c r="D775" s="95" t="n">
        <v>0</v>
      </c>
      <c r="E775" s="95" t="n">
        <v>-1.1</v>
      </c>
      <c r="F775" s="95" t="n">
        <v>-1.2</v>
      </c>
      <c r="G775" s="95" t="n">
        <v>-24.2</v>
      </c>
      <c r="H775" s="95" t="n">
        <v>-1.1</v>
      </c>
      <c r="I775" s="95" t="n">
        <v>-1.2</v>
      </c>
      <c r="J775" s="95" t="n">
        <v>-24.2</v>
      </c>
      <c r="K775" s="96" t="inlineStr">
        <is>
          <t>6667 MEGA GENOMICS</t>
        </is>
      </c>
    </row>
    <row r="776">
      <c r="A776" s="16" t="inlineStr">
        <is>
          <t>Nanchang Financial Holdings Co., Ltd</t>
        </is>
      </c>
      <c r="B776" s="89" t="n">
        <v>1</v>
      </c>
      <c r="C776" s="94" t="n">
        <v>0</v>
      </c>
      <c r="D776" s="95" t="n">
        <v>0</v>
      </c>
      <c r="E776" s="95" t="n">
        <v>-1.1</v>
      </c>
      <c r="F776" s="95" t="n">
        <v>-1.2</v>
      </c>
      <c r="G776" s="95" t="n">
        <v>-24.2</v>
      </c>
      <c r="H776" s="95" t="n">
        <v>-1.1</v>
      </c>
      <c r="I776" s="95" t="n">
        <v>-1.2</v>
      </c>
      <c r="J776" s="95" t="n">
        <v>-24.2</v>
      </c>
      <c r="K776" s="96" t="inlineStr">
        <is>
          <t>6667 MEGA GENOMICS</t>
        </is>
      </c>
    </row>
    <row r="777">
      <c r="A777" s="16" t="inlineStr">
        <is>
          <t>Kangshi No.1 LP</t>
        </is>
      </c>
      <c r="B777" s="89" t="n">
        <v>1</v>
      </c>
      <c r="C777" s="94" t="n">
        <v>0</v>
      </c>
      <c r="D777" s="95" t="n">
        <v>0</v>
      </c>
      <c r="E777" s="95" t="n">
        <v>11.9</v>
      </c>
      <c r="F777" s="95" t="n">
        <v>-1.5</v>
      </c>
      <c r="G777" s="95" t="n">
        <v>-38.1</v>
      </c>
      <c r="H777" s="95" t="n">
        <v>11.9</v>
      </c>
      <c r="I777" s="95" t="n">
        <v>-1.5</v>
      </c>
      <c r="J777" s="95" t="n">
        <v>-38.1</v>
      </c>
      <c r="K777" s="96" t="inlineStr">
        <is>
          <t>2361 SINOHEALTH HLDG</t>
        </is>
      </c>
    </row>
    <row r="778">
      <c r="A778" s="16" t="inlineStr">
        <is>
          <t>Luns Family Holdings Limited</t>
        </is>
      </c>
      <c r="B778" s="89" t="n">
        <v>1</v>
      </c>
      <c r="C778" s="94" t="n">
        <v>0</v>
      </c>
      <c r="D778" s="95" t="n">
        <v>0</v>
      </c>
      <c r="E778" s="95" t="n">
        <v>11.9</v>
      </c>
      <c r="F778" s="95" t="n">
        <v>-1.5</v>
      </c>
      <c r="G778" s="95" t="n">
        <v>-38.1</v>
      </c>
      <c r="H778" s="95" t="n">
        <v>11.9</v>
      </c>
      <c r="I778" s="95" t="n">
        <v>-1.5</v>
      </c>
      <c r="J778" s="95" t="n">
        <v>-38.1</v>
      </c>
      <c r="K778" s="96" t="inlineStr">
        <is>
          <t>2361 SINOHEALTH HLDG</t>
        </is>
      </c>
    </row>
    <row r="779">
      <c r="A779" s="16" t="inlineStr">
        <is>
          <t>Zheng Jingjie</t>
        </is>
      </c>
      <c r="B779" s="89" t="n">
        <v>1</v>
      </c>
      <c r="C779" s="94" t="n">
        <v>0</v>
      </c>
      <c r="D779" s="95" t="n">
        <v>0</v>
      </c>
      <c r="E779" s="95" t="n">
        <v>11.9</v>
      </c>
      <c r="F779" s="95" t="n">
        <v>-1.5</v>
      </c>
      <c r="G779" s="95" t="n">
        <v>-38.1</v>
      </c>
      <c r="H779" s="95" t="n">
        <v>11.9</v>
      </c>
      <c r="I779" s="95" t="n">
        <v>-1.5</v>
      </c>
      <c r="J779" s="95" t="n">
        <v>-38.1</v>
      </c>
      <c r="K779" s="96" t="inlineStr">
        <is>
          <t>2361 SINOHEALTH HLDG</t>
        </is>
      </c>
    </row>
    <row r="780">
      <c r="A780" s="16" t="inlineStr">
        <is>
          <t>LG Chem, Ltd</t>
        </is>
      </c>
      <c r="B780" s="89" t="n">
        <v>1</v>
      </c>
      <c r="C780" s="94" t="n">
        <v>0</v>
      </c>
      <c r="D780" s="95" t="n">
        <v>0</v>
      </c>
      <c r="E780" s="95" t="n">
        <v>-3.8</v>
      </c>
      <c r="F780" s="95" t="n">
        <v>4.3</v>
      </c>
      <c r="G780" s="95" t="n">
        <v>-21.2</v>
      </c>
      <c r="H780" s="95" t="n">
        <v>-3.8</v>
      </c>
      <c r="I780" s="95" t="n">
        <v>4.3</v>
      </c>
      <c r="J780" s="95" t="n">
        <v>-21.2</v>
      </c>
      <c r="K780" s="96" t="inlineStr">
        <is>
          <t>9696 TIANQI LITHIUM</t>
        </is>
      </c>
    </row>
    <row r="781">
      <c r="A781" s="16" t="inlineStr">
        <is>
          <t>Shenzhen Dynanonic Company Limited</t>
        </is>
      </c>
      <c r="B781" s="89" t="n">
        <v>1</v>
      </c>
      <c r="C781" s="94" t="n">
        <v>0</v>
      </c>
      <c r="D781" s="95" t="n">
        <v>0</v>
      </c>
      <c r="E781" s="95" t="n">
        <v>-3.8</v>
      </c>
      <c r="F781" s="95" t="n">
        <v>4.3</v>
      </c>
      <c r="G781" s="95" t="n">
        <v>-21.2</v>
      </c>
      <c r="H781" s="95" t="n">
        <v>-3.8</v>
      </c>
      <c r="I781" s="95" t="n">
        <v>4.3</v>
      </c>
      <c r="J781" s="95" t="n">
        <v>-21.2</v>
      </c>
      <c r="K781" s="96" t="inlineStr">
        <is>
          <t>9696 TIANQI LITHIUM</t>
        </is>
      </c>
    </row>
    <row r="782">
      <c r="A782" s="16" t="inlineStr">
        <is>
          <t>Shaanxi Tide Automobile Air Conditioning Co., Ltd</t>
        </is>
      </c>
      <c r="B782" s="89" t="n">
        <v>1</v>
      </c>
      <c r="C782" s="94" t="n">
        <v>0</v>
      </c>
      <c r="D782" s="95" t="n">
        <v>0</v>
      </c>
      <c r="E782" s="95" t="n">
        <v>-8.9</v>
      </c>
      <c r="F782" s="95" t="n">
        <v>-31.7</v>
      </c>
      <c r="G782" s="95" t="n">
        <v>-46.1</v>
      </c>
      <c r="H782" s="95" t="n">
        <v>-8.9</v>
      </c>
      <c r="I782" s="95" t="n">
        <v>-31.7</v>
      </c>
      <c r="J782" s="95" t="n">
        <v>-46.1</v>
      </c>
      <c r="K782" s="96" t="inlineStr">
        <is>
          <t>2418 DEEWIN</t>
        </is>
      </c>
    </row>
    <row r="783">
      <c r="A783" s="16" t="inlineStr">
        <is>
          <t>AMOREPACIFIC Group</t>
        </is>
      </c>
      <c r="B783" s="89" t="n">
        <v>1</v>
      </c>
      <c r="C783" s="94" t="n">
        <v>0</v>
      </c>
      <c r="D783" s="95" t="n">
        <v>0</v>
      </c>
      <c r="E783" s="95" t="n">
        <v>8.199999999999999</v>
      </c>
      <c r="F783" s="95" t="n">
        <v>17.1</v>
      </c>
      <c r="G783" s="95" t="n">
        <v>9.300000000000001</v>
      </c>
      <c r="H783" s="95" t="n">
        <v>8.199999999999999</v>
      </c>
      <c r="I783" s="95" t="n">
        <v>17.1</v>
      </c>
      <c r="J783" s="95" t="n">
        <v>9.300000000000001</v>
      </c>
      <c r="K783" s="96" t="inlineStr">
        <is>
          <t>1880 CTG DUTY-FREE</t>
        </is>
      </c>
    </row>
    <row r="784">
      <c r="A784" s="16" t="inlineStr">
        <is>
          <t>Luzhou Laojiao Co., Ltd</t>
        </is>
      </c>
      <c r="B784" s="89" t="n">
        <v>1</v>
      </c>
      <c r="C784" s="94" t="n">
        <v>0</v>
      </c>
      <c r="D784" s="95" t="n">
        <v>0</v>
      </c>
      <c r="E784" s="95" t="n">
        <v>8.199999999999999</v>
      </c>
      <c r="F784" s="95" t="n">
        <v>17.1</v>
      </c>
      <c r="G784" s="95" t="n">
        <v>9.300000000000001</v>
      </c>
      <c r="H784" s="95" t="n">
        <v>8.199999999999999</v>
      </c>
      <c r="I784" s="95" t="n">
        <v>17.1</v>
      </c>
      <c r="J784" s="95" t="n">
        <v>9.300000000000001</v>
      </c>
      <c r="K784" s="96" t="inlineStr">
        <is>
          <t>1880 CTG DUTY-FREE</t>
        </is>
      </c>
    </row>
    <row r="785">
      <c r="A785" s="16" t="inlineStr">
        <is>
          <t>Rongshi International Holding Company Limited</t>
        </is>
      </c>
      <c r="B785" s="89" t="n">
        <v>1</v>
      </c>
      <c r="C785" s="94" t="n">
        <v>0</v>
      </c>
      <c r="D785" s="95" t="n">
        <v>0</v>
      </c>
      <c r="E785" s="95" t="n">
        <v>8.199999999999999</v>
      </c>
      <c r="F785" s="95" t="n">
        <v>17.1</v>
      </c>
      <c r="G785" s="95" t="n">
        <v>9.300000000000001</v>
      </c>
      <c r="H785" s="95" t="n">
        <v>8.199999999999999</v>
      </c>
      <c r="I785" s="95" t="n">
        <v>17.1</v>
      </c>
      <c r="J785" s="95" t="n">
        <v>9.300000000000001</v>
      </c>
      <c r="K785" s="96" t="inlineStr">
        <is>
          <t>1880 CTG DUTY-FREE</t>
        </is>
      </c>
    </row>
    <row r="786">
      <c r="A786" s="16" t="inlineStr">
        <is>
          <t>Shanghai Airport Investment Corporation Limited</t>
        </is>
      </c>
      <c r="B786" s="89" t="n">
        <v>1</v>
      </c>
      <c r="C786" s="94" t="n">
        <v>0</v>
      </c>
      <c r="D786" s="95" t="n">
        <v>0</v>
      </c>
      <c r="E786" s="95" t="n">
        <v>8.199999999999999</v>
      </c>
      <c r="F786" s="95" t="n">
        <v>17.1</v>
      </c>
      <c r="G786" s="95" t="n">
        <v>9.300000000000001</v>
      </c>
      <c r="H786" s="95" t="n">
        <v>8.199999999999999</v>
      </c>
      <c r="I786" s="95" t="n">
        <v>17.1</v>
      </c>
      <c r="J786" s="95" t="n">
        <v>9.300000000000001</v>
      </c>
      <c r="K786" s="96" t="inlineStr">
        <is>
          <t>1880 CTG DUTY-FREE</t>
        </is>
      </c>
    </row>
    <row r="787">
      <c r="A787" s="16" t="inlineStr">
        <is>
          <t>Jumpcan International Co., Ltd</t>
        </is>
      </c>
      <c r="B787" s="89" t="n">
        <v>1</v>
      </c>
      <c r="C787" s="94" t="n">
        <v>0</v>
      </c>
      <c r="D787" s="95" t="n">
        <v>0</v>
      </c>
      <c r="E787" s="95" t="n">
        <v>0.3</v>
      </c>
      <c r="F787" s="95" t="n">
        <v>-1</v>
      </c>
      <c r="G787" s="95" t="n">
        <v>0</v>
      </c>
      <c r="H787" s="95" t="n">
        <v>0.3</v>
      </c>
      <c r="I787" s="95" t="n">
        <v>-1</v>
      </c>
      <c r="J787" s="95" t="n">
        <v>0</v>
      </c>
      <c r="K787" s="96" t="inlineStr">
        <is>
          <t>9886 DINGDANG HEALTH</t>
        </is>
      </c>
    </row>
    <row r="788">
      <c r="A788" s="16" t="inlineStr">
        <is>
          <t>Changzhou Jingce New Energy Tech Co., Ltd</t>
        </is>
      </c>
      <c r="B788" s="89" t="n">
        <v>1</v>
      </c>
      <c r="C788" s="94" t="n">
        <v>0</v>
      </c>
      <c r="D788" s="95" t="n">
        <v>0</v>
      </c>
      <c r="E788" s="95" t="n">
        <v>-2.6</v>
      </c>
      <c r="F788" s="95" t="n">
        <v>-37.8</v>
      </c>
      <c r="G788" s="95" t="n">
        <v>-45.8</v>
      </c>
      <c r="H788" s="95" t="n">
        <v>-2.6</v>
      </c>
      <c r="I788" s="95" t="n">
        <v>-37.8</v>
      </c>
      <c r="J788" s="95" t="n">
        <v>-45.8</v>
      </c>
      <c r="K788" s="96" t="inlineStr">
        <is>
          <t>3931 CALB</t>
        </is>
      </c>
    </row>
    <row r="789">
      <c r="A789" s="16" t="inlineStr">
        <is>
          <t>Hans Laser Technology Co., Limited</t>
        </is>
      </c>
      <c r="B789" s="89" t="n">
        <v>1</v>
      </c>
      <c r="C789" s="94" t="n">
        <v>0</v>
      </c>
      <c r="D789" s="95" t="n">
        <v>0</v>
      </c>
      <c r="E789" s="95" t="n">
        <v>-2.6</v>
      </c>
      <c r="F789" s="95" t="n">
        <v>-37.8</v>
      </c>
      <c r="G789" s="95" t="n">
        <v>-45.8</v>
      </c>
      <c r="H789" s="95" t="n">
        <v>-2.6</v>
      </c>
      <c r="I789" s="95" t="n">
        <v>-37.8</v>
      </c>
      <c r="J789" s="95" t="n">
        <v>-45.8</v>
      </c>
      <c r="K789" s="96" t="inlineStr">
        <is>
          <t>3931 CALB</t>
        </is>
      </c>
    </row>
    <row r="790">
      <c r="A790" s="16" t="inlineStr">
        <is>
          <t>Jiangmen New Energy</t>
        </is>
      </c>
      <c r="B790" s="89" t="n">
        <v>1</v>
      </c>
      <c r="C790" s="94" t="n">
        <v>0</v>
      </c>
      <c r="D790" s="95" t="n">
        <v>0</v>
      </c>
      <c r="E790" s="95" t="n">
        <v>-2.6</v>
      </c>
      <c r="F790" s="95" t="n">
        <v>-37.8</v>
      </c>
      <c r="G790" s="95" t="n">
        <v>-45.8</v>
      </c>
      <c r="H790" s="95" t="n">
        <v>-2.6</v>
      </c>
      <c r="I790" s="95" t="n">
        <v>-37.8</v>
      </c>
      <c r="J790" s="95" t="n">
        <v>-45.8</v>
      </c>
      <c r="K790" s="96" t="inlineStr">
        <is>
          <t>3931 CALB</t>
        </is>
      </c>
    </row>
    <row r="791">
      <c r="A791" s="16" t="inlineStr">
        <is>
          <t>Lv Lizhi</t>
        </is>
      </c>
      <c r="B791" s="89" t="n">
        <v>1</v>
      </c>
      <c r="C791" s="94" t="n">
        <v>0</v>
      </c>
      <c r="D791" s="95" t="n">
        <v>0</v>
      </c>
      <c r="E791" s="95" t="n">
        <v>-2.6</v>
      </c>
      <c r="F791" s="95" t="n">
        <v>-37.8</v>
      </c>
      <c r="G791" s="95" t="n">
        <v>-45.8</v>
      </c>
      <c r="H791" s="95" t="n">
        <v>-2.6</v>
      </c>
      <c r="I791" s="95" t="n">
        <v>-37.8</v>
      </c>
      <c r="J791" s="95" t="n">
        <v>-45.8</v>
      </c>
      <c r="K791" s="96" t="inlineStr">
        <is>
          <t>3931 CALB</t>
        </is>
      </c>
    </row>
    <row r="792">
      <c r="A792" s="16" t="inlineStr">
        <is>
          <t>Tianqi Lithium HK Co., Limited</t>
        </is>
      </c>
      <c r="B792" s="89" t="n">
        <v>1</v>
      </c>
      <c r="C792" s="94" t="n">
        <v>0</v>
      </c>
      <c r="D792" s="95" t="n">
        <v>0</v>
      </c>
      <c r="E792" s="95" t="n">
        <v>-2.6</v>
      </c>
      <c r="F792" s="95" t="n">
        <v>-37.8</v>
      </c>
      <c r="G792" s="95" t="n">
        <v>-45.8</v>
      </c>
      <c r="H792" s="95" t="n">
        <v>-2.6</v>
      </c>
      <c r="I792" s="95" t="n">
        <v>-37.8</v>
      </c>
      <c r="J792" s="95" t="n">
        <v>-45.8</v>
      </c>
      <c r="K792" s="96" t="inlineStr">
        <is>
          <t>3931 CALB</t>
        </is>
      </c>
    </row>
    <row r="793">
      <c r="A793" s="16" t="inlineStr">
        <is>
          <t>Tibet Nord Technology Co., Ltd</t>
        </is>
      </c>
      <c r="B793" s="89" t="n">
        <v>1</v>
      </c>
      <c r="C793" s="94" t="n">
        <v>0</v>
      </c>
      <c r="D793" s="95" t="n">
        <v>0</v>
      </c>
      <c r="E793" s="95" t="n">
        <v>-2.6</v>
      </c>
      <c r="F793" s="95" t="n">
        <v>-37.8</v>
      </c>
      <c r="G793" s="95" t="n">
        <v>-45.8</v>
      </c>
      <c r="H793" s="95" t="n">
        <v>-2.6</v>
      </c>
      <c r="I793" s="95" t="n">
        <v>-37.8</v>
      </c>
      <c r="J793" s="95" t="n">
        <v>-45.8</v>
      </c>
      <c r="K793" s="96" t="inlineStr">
        <is>
          <t>3931 CALB</t>
        </is>
      </c>
    </row>
    <row r="794">
      <c r="A794" s="16" t="inlineStr">
        <is>
          <t>TMA International PTE. LTD</t>
        </is>
      </c>
      <c r="B794" s="89" t="n">
        <v>1</v>
      </c>
      <c r="C794" s="94" t="n">
        <v>0</v>
      </c>
      <c r="D794" s="95" t="n">
        <v>0</v>
      </c>
      <c r="E794" s="95" t="n">
        <v>-2.6</v>
      </c>
      <c r="F794" s="95" t="n">
        <v>-37.8</v>
      </c>
      <c r="G794" s="95" t="n">
        <v>-45.8</v>
      </c>
      <c r="H794" s="95" t="n">
        <v>-2.6</v>
      </c>
      <c r="I794" s="95" t="n">
        <v>-37.8</v>
      </c>
      <c r="J794" s="95" t="n">
        <v>-45.8</v>
      </c>
      <c r="K794" s="96" t="inlineStr">
        <is>
          <t>3931 CALB</t>
        </is>
      </c>
    </row>
    <row r="795">
      <c r="A795" s="16" t="inlineStr">
        <is>
          <t>Wang Sing International Resources Limited</t>
        </is>
      </c>
      <c r="B795" s="89" t="n">
        <v>1</v>
      </c>
      <c r="C795" s="94" t="n">
        <v>0</v>
      </c>
      <c r="D795" s="95" t="n">
        <v>0</v>
      </c>
      <c r="E795" s="95" t="n">
        <v>-2.6</v>
      </c>
      <c r="F795" s="95" t="n">
        <v>-37.8</v>
      </c>
      <c r="G795" s="95" t="n">
        <v>-45.8</v>
      </c>
      <c r="H795" s="95" t="n">
        <v>-2.6</v>
      </c>
      <c r="I795" s="95" t="n">
        <v>-37.8</v>
      </c>
      <c r="J795" s="95" t="n">
        <v>-45.8</v>
      </c>
      <c r="K795" s="96" t="inlineStr">
        <is>
          <t>3931 CALB</t>
        </is>
      </c>
    </row>
    <row r="796">
      <c r="A796" s="16" t="inlineStr">
        <is>
          <t>XPeng Inc</t>
        </is>
      </c>
      <c r="B796" s="89" t="n">
        <v>1</v>
      </c>
      <c r="C796" s="94" t="n">
        <v>0</v>
      </c>
      <c r="D796" s="95" t="n">
        <v>0</v>
      </c>
      <c r="E796" s="95" t="n">
        <v>-2.6</v>
      </c>
      <c r="F796" s="95" t="n">
        <v>-37.8</v>
      </c>
      <c r="G796" s="95" t="n">
        <v>-45.8</v>
      </c>
      <c r="H796" s="95" t="n">
        <v>-2.6</v>
      </c>
      <c r="I796" s="95" t="n">
        <v>-37.8</v>
      </c>
      <c r="J796" s="95" t="n">
        <v>-45.8</v>
      </c>
      <c r="K796" s="96" t="inlineStr">
        <is>
          <t>3931 CALB</t>
        </is>
      </c>
    </row>
    <row r="797">
      <c r="A797" s="16" t="inlineStr">
        <is>
          <t>Zhenshi Group (HK) Heshi Composite Materials Co., Limited</t>
        </is>
      </c>
      <c r="B797" s="89" t="n">
        <v>1</v>
      </c>
      <c r="C797" s="94" t="n">
        <v>0</v>
      </c>
      <c r="D797" s="95" t="n">
        <v>0</v>
      </c>
      <c r="E797" s="95" t="n">
        <v>-2.6</v>
      </c>
      <c r="F797" s="95" t="n">
        <v>-37.8</v>
      </c>
      <c r="G797" s="95" t="n">
        <v>-45.8</v>
      </c>
      <c r="H797" s="95" t="n">
        <v>-2.6</v>
      </c>
      <c r="I797" s="95" t="n">
        <v>-37.8</v>
      </c>
      <c r="J797" s="95" t="n">
        <v>-45.8</v>
      </c>
      <c r="K797" s="96" t="inlineStr">
        <is>
          <t>3931 CALB</t>
        </is>
      </c>
    </row>
    <row r="798">
      <c r="A798" s="16" t="inlineStr">
        <is>
          <t>GEM Hong Kong International Co., Limited</t>
        </is>
      </c>
      <c r="B798" s="89" t="n">
        <v>1</v>
      </c>
      <c r="C798" s="94" t="n">
        <v>0</v>
      </c>
      <c r="D798" s="95" t="n">
        <v>0</v>
      </c>
      <c r="E798" s="95" t="n">
        <v>-3.7</v>
      </c>
      <c r="F798" s="95" t="n">
        <v>1.1</v>
      </c>
      <c r="G798" s="95" t="n">
        <v>-19.4</v>
      </c>
      <c r="H798" s="95" t="n">
        <v>-3.7</v>
      </c>
      <c r="I798" s="95" t="n">
        <v>1.1</v>
      </c>
      <c r="J798" s="95" t="n">
        <v>-19.4</v>
      </c>
      <c r="K798" s="96" t="inlineStr">
        <is>
          <t>2245 LYGEND RESOURCE</t>
        </is>
      </c>
    </row>
    <row r="799">
      <c r="A799" s="16" t="inlineStr">
        <is>
          <t>Hubei Ronbay Battery Triangle No. 1 Equity Investment Fund Partnership</t>
        </is>
      </c>
      <c r="B799" s="89" t="n">
        <v>1</v>
      </c>
      <c r="C799" s="94" t="n">
        <v>0</v>
      </c>
      <c r="D799" s="95" t="n">
        <v>0</v>
      </c>
      <c r="E799" s="95" t="n">
        <v>-3.7</v>
      </c>
      <c r="F799" s="95" t="n">
        <v>1.1</v>
      </c>
      <c r="G799" s="95" t="n">
        <v>-19.4</v>
      </c>
      <c r="H799" s="95" t="n">
        <v>-3.7</v>
      </c>
      <c r="I799" s="95" t="n">
        <v>1.1</v>
      </c>
      <c r="J799" s="95" t="n">
        <v>-19.4</v>
      </c>
      <c r="K799" s="96" t="inlineStr">
        <is>
          <t>2245 LYGEND RESOURCE</t>
        </is>
      </c>
    </row>
    <row r="800">
      <c r="A800" s="16" t="inlineStr">
        <is>
          <t>CL Kiwi Holding Ltd</t>
        </is>
      </c>
      <c r="B800" s="89" t="n">
        <v>1</v>
      </c>
      <c r="C800" s="94" t="n">
        <v>0</v>
      </c>
      <c r="D800" s="95" t="n">
        <v>0</v>
      </c>
      <c r="E800" s="95" t="n">
        <v>0</v>
      </c>
      <c r="F800" s="95" t="n">
        <v>-2.7</v>
      </c>
      <c r="G800" s="95" t="n">
        <v>-4.3</v>
      </c>
      <c r="H800" s="95" t="n">
        <v>0</v>
      </c>
      <c r="I800" s="95" t="n">
        <v>-2.7</v>
      </c>
      <c r="J800" s="95" t="n">
        <v>-4.3</v>
      </c>
      <c r="K800" s="96" t="inlineStr">
        <is>
          <t>2407 GAUSH MEDITECH</t>
        </is>
      </c>
    </row>
    <row r="801">
      <c r="A801" s="16" t="inlineStr">
        <is>
          <t>Fu Heliang</t>
        </is>
      </c>
      <c r="B801" s="89" t="n">
        <v>1</v>
      </c>
      <c r="C801" s="94" t="n">
        <v>0</v>
      </c>
      <c r="D801" s="95" t="n">
        <v>0</v>
      </c>
      <c r="E801" s="95" t="n">
        <v>-17.2</v>
      </c>
      <c r="F801" s="95" t="n">
        <v>-22</v>
      </c>
      <c r="G801" s="95" t="n">
        <v>-2.3</v>
      </c>
      <c r="H801" s="95" t="n">
        <v>-17.2</v>
      </c>
      <c r="I801" s="95" t="n">
        <v>-22</v>
      </c>
      <c r="J801" s="95" t="n">
        <v>-2.3</v>
      </c>
      <c r="K801" s="96" t="inlineStr">
        <is>
          <t>6955 BOAN BIOTECH-B</t>
        </is>
      </c>
    </row>
    <row r="802">
      <c r="A802" s="16" t="inlineStr">
        <is>
          <t>Sino Biopharmaceutical Limited</t>
        </is>
      </c>
      <c r="B802" s="89" t="n">
        <v>1</v>
      </c>
      <c r="C802" s="94" t="n">
        <v>0</v>
      </c>
      <c r="D802" s="95" t="n">
        <v>0</v>
      </c>
      <c r="E802" s="95" t="n">
        <v>-17.2</v>
      </c>
      <c r="F802" s="95" t="n">
        <v>-22</v>
      </c>
      <c r="G802" s="95" t="n">
        <v>-2.3</v>
      </c>
      <c r="H802" s="95" t="n">
        <v>-17.2</v>
      </c>
      <c r="I802" s="95" t="n">
        <v>-22</v>
      </c>
      <c r="J802" s="95" t="n">
        <v>-2.3</v>
      </c>
      <c r="K802" s="96" t="inlineStr">
        <is>
          <t>6955 BOAN BIOTECH-B</t>
        </is>
      </c>
    </row>
    <row r="803">
      <c r="A803" s="16" t="inlineStr">
        <is>
          <t>Astonish Investment Pte. Ltd</t>
        </is>
      </c>
      <c r="B803" s="89" t="n">
        <v>1</v>
      </c>
      <c r="C803" s="94" t="n">
        <v>0</v>
      </c>
      <c r="D803" s="95" t="n">
        <v>0</v>
      </c>
      <c r="E803" s="95" t="n">
        <v>0</v>
      </c>
      <c r="F803" s="95" t="n">
        <v>8.199999999999999</v>
      </c>
      <c r="G803" s="95" t="n">
        <v>-0.5</v>
      </c>
      <c r="H803" s="95" t="n">
        <v>0</v>
      </c>
      <c r="I803" s="95" t="n">
        <v>8.199999999999999</v>
      </c>
      <c r="J803" s="95" t="n">
        <v>-0.5</v>
      </c>
      <c r="K803" s="96" t="inlineStr">
        <is>
          <t>2402 SINOHYTEC</t>
        </is>
      </c>
    </row>
    <row r="804">
      <c r="A804" s="16" t="inlineStr">
        <is>
          <t>Jiang Gang International Investment Company Limited</t>
        </is>
      </c>
      <c r="B804" s="89" t="n">
        <v>1</v>
      </c>
      <c r="C804" s="94" t="n">
        <v>0</v>
      </c>
      <c r="D804" s="95" t="n">
        <v>0</v>
      </c>
      <c r="E804" s="95" t="n">
        <v>-19.7</v>
      </c>
      <c r="F804" s="95" t="n">
        <v>-22.2</v>
      </c>
      <c r="G804" s="95" t="n">
        <v>-26.9</v>
      </c>
      <c r="H804" s="95" t="n">
        <v>-19.7</v>
      </c>
      <c r="I804" s="95" t="n">
        <v>-22.2</v>
      </c>
      <c r="J804" s="95" t="n">
        <v>-26.9</v>
      </c>
      <c r="K804" s="96" t="inlineStr">
        <is>
          <t>2481 WISE LIVING TEC</t>
        </is>
      </c>
    </row>
    <row r="805">
      <c r="A805" s="16" t="inlineStr">
        <is>
          <t>Chengdu Puhua Kaizhi Biotechnology Co., Ltd</t>
        </is>
      </c>
      <c r="B805" s="89" t="n">
        <v>1</v>
      </c>
      <c r="C805" s="94" t="n">
        <v>0</v>
      </c>
      <c r="D805" s="95" t="n">
        <v>0</v>
      </c>
      <c r="E805" s="95" t="n">
        <v>-6.2</v>
      </c>
      <c r="F805" s="95" t="n">
        <v>-40.4</v>
      </c>
      <c r="G805" s="95" t="n">
        <v>-45.2</v>
      </c>
      <c r="H805" s="95" t="n">
        <v>-6.2</v>
      </c>
      <c r="I805" s="95" t="n">
        <v>-40.4</v>
      </c>
      <c r="J805" s="95" t="n">
        <v>-45.2</v>
      </c>
      <c r="K805" s="96" t="inlineStr">
        <is>
          <t>2496 YZYBIO-B</t>
        </is>
      </c>
    </row>
    <row r="806">
      <c r="A806" s="16" t="inlineStr">
        <is>
          <t>Wuhan Optics Valley Health Industry Investment Ltd</t>
        </is>
      </c>
      <c r="B806" s="89" t="n">
        <v>1</v>
      </c>
      <c r="C806" s="94" t="n">
        <v>0</v>
      </c>
      <c r="D806" s="95" t="n">
        <v>0</v>
      </c>
      <c r="E806" s="95" t="n">
        <v>-6.2</v>
      </c>
      <c r="F806" s="95" t="n">
        <v>-40.4</v>
      </c>
      <c r="G806" s="95" t="n">
        <v>-45.2</v>
      </c>
      <c r="H806" s="95" t="n">
        <v>-6.2</v>
      </c>
      <c r="I806" s="95" t="n">
        <v>-40.4</v>
      </c>
      <c r="J806" s="95" t="n">
        <v>-45.2</v>
      </c>
      <c r="K806" s="96" t="inlineStr">
        <is>
          <t>2496 YZYBIO-B</t>
        </is>
      </c>
    </row>
    <row r="807">
      <c r="A807" s="16" t="inlineStr">
        <is>
          <t>4399 Net Limited</t>
        </is>
      </c>
      <c r="B807" s="89" t="n">
        <v>1</v>
      </c>
      <c r="C807" s="94" t="n">
        <v>0</v>
      </c>
      <c r="D807" s="95" t="n">
        <v>0</v>
      </c>
      <c r="E807" s="95" t="n">
        <v>-3.9</v>
      </c>
      <c r="F807" s="95" t="n">
        <v>-14.3</v>
      </c>
      <c r="G807" s="95" t="n">
        <v>240.4</v>
      </c>
      <c r="H807" s="95" t="n">
        <v>-3.9</v>
      </c>
      <c r="I807" s="95" t="n">
        <v>-14.3</v>
      </c>
      <c r="J807" s="95" t="n">
        <v>240.4</v>
      </c>
      <c r="K807" s="96" t="inlineStr">
        <is>
          <t>9890 ZX INC</t>
        </is>
      </c>
    </row>
    <row r="808">
      <c r="A808" s="16" t="inlineStr">
        <is>
          <t>Aofei Data International Company Limited</t>
        </is>
      </c>
      <c r="B808" s="89" t="n">
        <v>1</v>
      </c>
      <c r="C808" s="94" t="n">
        <v>0</v>
      </c>
      <c r="D808" s="95" t="n">
        <v>0</v>
      </c>
      <c r="E808" s="95" t="n">
        <v>-3.9</v>
      </c>
      <c r="F808" s="95" t="n">
        <v>-14.3</v>
      </c>
      <c r="G808" s="95" t="n">
        <v>240.4</v>
      </c>
      <c r="H808" s="95" t="n">
        <v>-3.9</v>
      </c>
      <c r="I808" s="95" t="n">
        <v>-14.3</v>
      </c>
      <c r="J808" s="95" t="n">
        <v>240.4</v>
      </c>
      <c r="K808" s="96" t="inlineStr">
        <is>
          <t>9890 ZX INC</t>
        </is>
      </c>
    </row>
    <row r="809">
      <c r="A809" s="16" t="inlineStr">
        <is>
          <t>Hong Kong Longsin Co., Limited</t>
        </is>
      </c>
      <c r="B809" s="89" t="n">
        <v>1</v>
      </c>
      <c r="C809" s="94" t="n">
        <v>0</v>
      </c>
      <c r="D809" s="95" t="n">
        <v>0</v>
      </c>
      <c r="E809" s="95" t="n">
        <v>-3.9</v>
      </c>
      <c r="F809" s="95" t="n">
        <v>-14.3</v>
      </c>
      <c r="G809" s="95" t="n">
        <v>240.4</v>
      </c>
      <c r="H809" s="95" t="n">
        <v>-3.9</v>
      </c>
      <c r="I809" s="95" t="n">
        <v>-14.3</v>
      </c>
      <c r="J809" s="95" t="n">
        <v>240.4</v>
      </c>
      <c r="K809" s="96" t="inlineStr">
        <is>
          <t>9890 ZX INC</t>
        </is>
      </c>
    </row>
    <row r="810">
      <c r="A810" s="16" t="inlineStr">
        <is>
          <t>Shangrao High-speed Industrial Investment</t>
        </is>
      </c>
      <c r="B810" s="89" t="n">
        <v>1</v>
      </c>
      <c r="C810" s="94" t="n">
        <v>0</v>
      </c>
      <c r="D810" s="95" t="n">
        <v>0</v>
      </c>
      <c r="E810" s="95" t="n">
        <v>-3.9</v>
      </c>
      <c r="F810" s="95" t="n">
        <v>-14.3</v>
      </c>
      <c r="G810" s="95" t="n">
        <v>240.4</v>
      </c>
      <c r="H810" s="95" t="n">
        <v>-3.9</v>
      </c>
      <c r="I810" s="95" t="n">
        <v>-14.3</v>
      </c>
      <c r="J810" s="95" t="n">
        <v>240.4</v>
      </c>
      <c r="K810" s="96" t="inlineStr">
        <is>
          <t>9890 ZX INC</t>
        </is>
      </c>
    </row>
    <row r="811">
      <c r="A811" s="16" t="inlineStr">
        <is>
          <t>D1 SPV Jupiter (Hong Kong) Limited</t>
        </is>
      </c>
      <c r="B811" s="89" t="n">
        <v>1</v>
      </c>
      <c r="C811" s="94" t="n">
        <v>0</v>
      </c>
      <c r="D811" s="95" t="n">
        <v>0</v>
      </c>
      <c r="E811" s="95" t="n">
        <v>3.3</v>
      </c>
      <c r="F811" s="95" t="n">
        <v>-1.2</v>
      </c>
      <c r="G811" s="95" t="n">
        <v>34</v>
      </c>
      <c r="H811" s="95" t="n">
        <v>3.3</v>
      </c>
      <c r="I811" s="95" t="n">
        <v>-1.2</v>
      </c>
      <c r="J811" s="95" t="n">
        <v>34</v>
      </c>
      <c r="K811" s="96" t="inlineStr">
        <is>
          <t>1519 J&amp;T EXPRESS-W</t>
        </is>
      </c>
    </row>
    <row r="812">
      <c r="A812" s="16" t="inlineStr">
        <is>
          <t>Dahlia Investments Pte. Ltd</t>
        </is>
      </c>
      <c r="B812" s="89" t="n">
        <v>1</v>
      </c>
      <c r="C812" s="94" t="n">
        <v>0</v>
      </c>
      <c r="D812" s="95" t="n">
        <v>0</v>
      </c>
      <c r="E812" s="95" t="n">
        <v>3.3</v>
      </c>
      <c r="F812" s="95" t="n">
        <v>-1.2</v>
      </c>
      <c r="G812" s="95" t="n">
        <v>34</v>
      </c>
      <c r="H812" s="95" t="n">
        <v>3.3</v>
      </c>
      <c r="I812" s="95" t="n">
        <v>-1.2</v>
      </c>
      <c r="J812" s="95" t="n">
        <v>34</v>
      </c>
      <c r="K812" s="96" t="inlineStr">
        <is>
          <t>1519 J&amp;T EXPRESS-W</t>
        </is>
      </c>
    </row>
    <row r="813">
      <c r="A813" s="16" t="inlineStr">
        <is>
          <t>Hidden Hill SPV VIII</t>
        </is>
      </c>
      <c r="B813" s="89" t="n">
        <v>1</v>
      </c>
      <c r="C813" s="94" t="n">
        <v>0</v>
      </c>
      <c r="D813" s="95" t="n">
        <v>0</v>
      </c>
      <c r="E813" s="95" t="n">
        <v>3.3</v>
      </c>
      <c r="F813" s="95" t="n">
        <v>-1.2</v>
      </c>
      <c r="G813" s="95" t="n">
        <v>34</v>
      </c>
      <c r="H813" s="95" t="n">
        <v>3.3</v>
      </c>
      <c r="I813" s="95" t="n">
        <v>-1.2</v>
      </c>
      <c r="J813" s="95" t="n">
        <v>34</v>
      </c>
      <c r="K813" s="96" t="inlineStr">
        <is>
          <t>1519 J&amp;T EXPRESS-W</t>
        </is>
      </c>
    </row>
    <row r="814">
      <c r="A814" s="16" t="inlineStr">
        <is>
          <t>Jallion Global Limited</t>
        </is>
      </c>
      <c r="B814" s="89" t="n">
        <v>1</v>
      </c>
      <c r="C814" s="94" t="n">
        <v>0</v>
      </c>
      <c r="D814" s="95" t="n">
        <v>0</v>
      </c>
      <c r="E814" s="95" t="n">
        <v>3.3</v>
      </c>
      <c r="F814" s="95" t="n">
        <v>-1.2</v>
      </c>
      <c r="G814" s="95" t="n">
        <v>34</v>
      </c>
      <c r="H814" s="95" t="n">
        <v>3.3</v>
      </c>
      <c r="I814" s="95" t="n">
        <v>-1.2</v>
      </c>
      <c r="J814" s="95" t="n">
        <v>34</v>
      </c>
      <c r="K814" s="96" t="inlineStr">
        <is>
          <t>1519 J&amp;T EXPRESS-W</t>
        </is>
      </c>
    </row>
    <row r="815">
      <c r="A815" s="16" t="inlineStr">
        <is>
          <t>JNRY III HOLDINGS LIMITED</t>
        </is>
      </c>
      <c r="B815" s="89" t="n">
        <v>1</v>
      </c>
      <c r="C815" s="94" t="n">
        <v>0</v>
      </c>
      <c r="D815" s="95" t="n">
        <v>0</v>
      </c>
      <c r="E815" s="95" t="n">
        <v>3.3</v>
      </c>
      <c r="F815" s="95" t="n">
        <v>-1.2</v>
      </c>
      <c r="G815" s="95" t="n">
        <v>34</v>
      </c>
      <c r="H815" s="95" t="n">
        <v>3.3</v>
      </c>
      <c r="I815" s="95" t="n">
        <v>-1.2</v>
      </c>
      <c r="J815" s="95" t="n">
        <v>34</v>
      </c>
      <c r="K815" s="96" t="inlineStr">
        <is>
          <t>1519 J&amp;T EXPRESS-W</t>
        </is>
      </c>
    </row>
    <row r="816">
      <c r="A816" s="16" t="inlineStr">
        <is>
          <t>Joyous Tempinis Limited</t>
        </is>
      </c>
      <c r="B816" s="89" t="n">
        <v>1</v>
      </c>
      <c r="C816" s="94" t="n">
        <v>0</v>
      </c>
      <c r="D816" s="95" t="n">
        <v>0</v>
      </c>
      <c r="E816" s="95" t="n">
        <v>3.3</v>
      </c>
      <c r="F816" s="95" t="n">
        <v>-1.2</v>
      </c>
      <c r="G816" s="95" t="n">
        <v>34</v>
      </c>
      <c r="H816" s="95" t="n">
        <v>3.3</v>
      </c>
      <c r="I816" s="95" t="n">
        <v>-1.2</v>
      </c>
      <c r="J816" s="95" t="n">
        <v>34</v>
      </c>
      <c r="K816" s="96" t="inlineStr">
        <is>
          <t>1519 J&amp;T EXPRESS-W</t>
        </is>
      </c>
    </row>
    <row r="817">
      <c r="A817" s="16" t="inlineStr">
        <is>
          <t>Parallel Cluster Investment Limited</t>
        </is>
      </c>
      <c r="B817" s="89" t="n">
        <v>1</v>
      </c>
      <c r="C817" s="94" t="n">
        <v>0</v>
      </c>
      <c r="D817" s="95" t="n">
        <v>0</v>
      </c>
      <c r="E817" s="95" t="n">
        <v>3.3</v>
      </c>
      <c r="F817" s="95" t="n">
        <v>-1.2</v>
      </c>
      <c r="G817" s="95" t="n">
        <v>34</v>
      </c>
      <c r="H817" s="95" t="n">
        <v>3.3</v>
      </c>
      <c r="I817" s="95" t="n">
        <v>-1.2</v>
      </c>
      <c r="J817" s="95" t="n">
        <v>34</v>
      </c>
      <c r="K817" s="96" t="inlineStr">
        <is>
          <t>1519 J&amp;T EXPRESS-W</t>
        </is>
      </c>
    </row>
    <row r="818">
      <c r="A818" s="16" t="inlineStr">
        <is>
          <t>SC GGF III Holdco, Ltd</t>
        </is>
      </c>
      <c r="B818" s="89" t="n">
        <v>1</v>
      </c>
      <c r="C818" s="94" t="n">
        <v>0</v>
      </c>
      <c r="D818" s="95" t="n">
        <v>0</v>
      </c>
      <c r="E818" s="95" t="n">
        <v>3.3</v>
      </c>
      <c r="F818" s="95" t="n">
        <v>-1.2</v>
      </c>
      <c r="G818" s="95" t="n">
        <v>34</v>
      </c>
      <c r="H818" s="95" t="n">
        <v>3.3</v>
      </c>
      <c r="I818" s="95" t="n">
        <v>-1.2</v>
      </c>
      <c r="J818" s="95" t="n">
        <v>34</v>
      </c>
      <c r="K818" s="96" t="inlineStr">
        <is>
          <t>1519 J&amp;T EXPRESS-W</t>
        </is>
      </c>
    </row>
    <row r="819">
      <c r="A819" s="16" t="inlineStr">
        <is>
          <t>COFCO Capital Special Opportunity Fund 2 SP</t>
        </is>
      </c>
      <c r="B819" s="89" t="n">
        <v>1</v>
      </c>
      <c r="C819" s="94" t="n">
        <v>0</v>
      </c>
      <c r="D819" s="95" t="n">
        <v>0</v>
      </c>
      <c r="E819" s="95" t="n">
        <v>6.5</v>
      </c>
      <c r="F819" s="95" t="n">
        <v>22.9</v>
      </c>
      <c r="G819" s="95" t="n">
        <v>42.1</v>
      </c>
      <c r="H819" s="95" t="n">
        <v>6.5</v>
      </c>
      <c r="I819" s="95" t="n">
        <v>22.9</v>
      </c>
      <c r="J819" s="95" t="n">
        <v>42.1</v>
      </c>
      <c r="K819" s="96" t="inlineStr">
        <is>
          <t>2517 GUOQUAN</t>
        </is>
      </c>
    </row>
    <row r="820">
      <c r="A820" s="16" t="inlineStr">
        <is>
          <t>Jinding Capital Management (Shenzhen) Co., Ltd</t>
        </is>
      </c>
      <c r="B820" s="89" t="n">
        <v>1</v>
      </c>
      <c r="C820" s="94" t="n">
        <v>0</v>
      </c>
      <c r="D820" s="95" t="n">
        <v>0</v>
      </c>
      <c r="E820" s="95" t="n">
        <v>6.5</v>
      </c>
      <c r="F820" s="95" t="n">
        <v>22.9</v>
      </c>
      <c r="G820" s="95" t="n">
        <v>42.1</v>
      </c>
      <c r="H820" s="95" t="n">
        <v>6.5</v>
      </c>
      <c r="I820" s="95" t="n">
        <v>22.9</v>
      </c>
      <c r="J820" s="95" t="n">
        <v>42.1</v>
      </c>
      <c r="K820" s="96" t="inlineStr">
        <is>
          <t>2517 GUOQUAN</t>
        </is>
      </c>
    </row>
    <row r="821">
      <c r="A821" s="16" t="inlineStr">
        <is>
          <t>Profit Joy (Hong Kong) Limited</t>
        </is>
      </c>
      <c r="B821" s="89" t="n">
        <v>1</v>
      </c>
      <c r="C821" s="94" t="n">
        <v>0</v>
      </c>
      <c r="D821" s="95" t="n">
        <v>0</v>
      </c>
      <c r="E821" s="95" t="n">
        <v>6.5</v>
      </c>
      <c r="F821" s="95" t="n">
        <v>22.9</v>
      </c>
      <c r="G821" s="95" t="n">
        <v>42.1</v>
      </c>
      <c r="H821" s="95" t="n">
        <v>6.5</v>
      </c>
      <c r="I821" s="95" t="n">
        <v>22.9</v>
      </c>
      <c r="J821" s="95" t="n">
        <v>42.1</v>
      </c>
      <c r="K821" s="96" t="inlineStr">
        <is>
          <t>2517 GUOQUAN</t>
        </is>
      </c>
    </row>
    <row r="822">
      <c r="A822" s="16" t="inlineStr">
        <is>
          <t>Mingyang Smart Energy Group Co., Ltd</t>
        </is>
      </c>
      <c r="B822" s="89" t="n">
        <v>1</v>
      </c>
      <c r="C822" s="94" t="n">
        <v>0</v>
      </c>
      <c r="D822" s="95" t="n">
        <v>0</v>
      </c>
      <c r="E822" s="95" t="n">
        <v>-5.5</v>
      </c>
      <c r="F822" s="95" t="n">
        <v>-17.4</v>
      </c>
      <c r="G822" s="95" t="n">
        <v>-11.5</v>
      </c>
      <c r="H822" s="95" t="n">
        <v>-5.5</v>
      </c>
      <c r="I822" s="95" t="n">
        <v>-17.4</v>
      </c>
      <c r="J822" s="95" t="n">
        <v>-11.5</v>
      </c>
      <c r="K822" s="96" t="inlineStr">
        <is>
          <t>2520 SHANXI INSTALL</t>
        </is>
      </c>
    </row>
    <row r="823">
      <c r="A823" s="16" t="inlineStr">
        <is>
          <t>WU Chen</t>
        </is>
      </c>
      <c r="B823" s="89" t="n">
        <v>1</v>
      </c>
      <c r="C823" s="94" t="n">
        <v>0</v>
      </c>
      <c r="D823" s="95" t="n">
        <v>0</v>
      </c>
      <c r="E823" s="95" t="n">
        <v>-5.2</v>
      </c>
      <c r="F823" s="95" t="n">
        <v>1</v>
      </c>
      <c r="G823" s="95" t="n">
        <v>3.1</v>
      </c>
      <c r="H823" s="95" t="n">
        <v>-5.2</v>
      </c>
      <c r="I823" s="95" t="n">
        <v>1</v>
      </c>
      <c r="J823" s="95" t="n">
        <v>3.1</v>
      </c>
      <c r="K823" s="96" t="inlineStr">
        <is>
          <t>1497 YAN PALACE</t>
        </is>
      </c>
    </row>
    <row r="824">
      <c r="A824" s="16" t="inlineStr">
        <is>
          <t>Shenzhen Nanshan Strategic Emerging Industries Investment Co., Ltd</t>
        </is>
      </c>
      <c r="B824" s="89" t="n">
        <v>1</v>
      </c>
      <c r="C824" s="94" t="n">
        <v>0</v>
      </c>
      <c r="D824" s="95" t="n">
        <v>0</v>
      </c>
      <c r="E824" s="95" t="n">
        <v>0</v>
      </c>
      <c r="F824" s="95" t="n">
        <v>-9.300000000000001</v>
      </c>
      <c r="G824" s="95" t="n">
        <v>-1.2</v>
      </c>
      <c r="H824" s="95" t="n">
        <v>0</v>
      </c>
      <c r="I824" s="95" t="n">
        <v>-9.300000000000001</v>
      </c>
      <c r="J824" s="95" t="n">
        <v>-1.2</v>
      </c>
      <c r="K824" s="96" t="inlineStr">
        <is>
          <t>2498 ROBOSENSE</t>
        </is>
      </c>
    </row>
    <row r="825">
      <c r="A825" s="16" t="inlineStr">
        <is>
          <t>Changshu Southeast Industrial Investment Co., Ltd</t>
        </is>
      </c>
      <c r="B825" s="89" t="n">
        <v>1</v>
      </c>
      <c r="C825" s="94" t="n">
        <v>0</v>
      </c>
      <c r="D825" s="95" t="n">
        <v>0</v>
      </c>
      <c r="E825" s="95" t="n">
        <v>-10.4</v>
      </c>
      <c r="F825" s="95" t="n">
        <v>-9.6</v>
      </c>
      <c r="G825" s="95" t="n">
        <v>-30.2</v>
      </c>
      <c r="H825" s="95" t="n">
        <v>-10.4</v>
      </c>
      <c r="I825" s="95" t="n">
        <v>-9.6</v>
      </c>
      <c r="J825" s="95" t="n">
        <v>-30.2</v>
      </c>
      <c r="K825" s="96" t="inlineStr">
        <is>
          <t>2507 CIRRUS</t>
        </is>
      </c>
    </row>
    <row r="826">
      <c r="A826" s="16" t="inlineStr">
        <is>
          <t>Taicang High Tech Science and Innovation Development Co</t>
        </is>
      </c>
      <c r="B826" s="89" t="n">
        <v>1</v>
      </c>
      <c r="C826" s="94" t="n">
        <v>0</v>
      </c>
      <c r="D826" s="95" t="n">
        <v>0</v>
      </c>
      <c r="E826" s="95" t="n">
        <v>-10.4</v>
      </c>
      <c r="F826" s="95" t="n">
        <v>-9.6</v>
      </c>
      <c r="G826" s="95" t="n">
        <v>-30.2</v>
      </c>
      <c r="H826" s="95" t="n">
        <v>-10.4</v>
      </c>
      <c r="I826" s="95" t="n">
        <v>-9.6</v>
      </c>
      <c r="J826" s="95" t="n">
        <v>-30.2</v>
      </c>
      <c r="K826" s="96" t="inlineStr">
        <is>
          <t>2507 CIRRUS</t>
        </is>
      </c>
    </row>
    <row r="827">
      <c r="A827" s="16" t="inlineStr">
        <is>
          <t>Norges Bank</t>
        </is>
      </c>
      <c r="B827" s="89" t="n">
        <v>1</v>
      </c>
      <c r="C827" s="94" t="n">
        <v>0</v>
      </c>
      <c r="D827" s="95" t="n">
        <v>0</v>
      </c>
      <c r="E827" s="95" t="n">
        <v>-5</v>
      </c>
      <c r="F827" s="95" t="n">
        <v>-1.3</v>
      </c>
      <c r="G827" s="95" t="n">
        <v>10.9</v>
      </c>
      <c r="H827" s="95" t="n">
        <v>-5</v>
      </c>
      <c r="I827" s="95" t="n">
        <v>-1.3</v>
      </c>
      <c r="J827" s="95" t="n">
        <v>10.9</v>
      </c>
      <c r="K827" s="96" t="inlineStr">
        <is>
          <t>6936 SF HOLDING</t>
        </is>
      </c>
    </row>
    <row r="828">
      <c r="A828" s="16" t="inlineStr">
        <is>
          <t>International Mining Company Limited</t>
        </is>
      </c>
      <c r="B828" s="89" t="n">
        <v>1</v>
      </c>
      <c r="C828" s="94" t="n">
        <v>0</v>
      </c>
      <c r="D828" s="95" t="n">
        <v>0</v>
      </c>
      <c r="E828" s="95" t="n">
        <v>2</v>
      </c>
      <c r="F828" s="95" t="n">
        <v>25.5</v>
      </c>
      <c r="G828" s="95" t="n">
        <v>110.6</v>
      </c>
      <c r="H828" s="95" t="n">
        <v>2</v>
      </c>
      <c r="I828" s="95" t="n">
        <v>25.5</v>
      </c>
      <c r="J828" s="95" t="n">
        <v>110.6</v>
      </c>
      <c r="K828" s="96" t="inlineStr">
        <is>
          <t>6693 CHIFENG GOLD</t>
        </is>
      </c>
    </row>
    <row r="829">
      <c r="A829" s="16" t="inlineStr">
        <is>
          <t>Jefferies Hong Kong Limited</t>
        </is>
      </c>
      <c r="B829" s="89" t="n">
        <v>1</v>
      </c>
      <c r="C829" s="94" t="n">
        <v>0</v>
      </c>
      <c r="D829" s="95" t="n">
        <v>0</v>
      </c>
      <c r="E829" s="95" t="n">
        <v>-16.8</v>
      </c>
      <c r="F829" s="95" t="n">
        <v>-30.8</v>
      </c>
      <c r="G829" s="95" t="n">
        <v>-31</v>
      </c>
      <c r="H829" s="95" t="n">
        <v>-16.8</v>
      </c>
      <c r="I829" s="95" t="n">
        <v>-30.8</v>
      </c>
      <c r="J829" s="95" t="n">
        <v>-31</v>
      </c>
      <c r="K829" s="96" t="inlineStr">
        <is>
          <t>2561 VISEN PHARMA-B</t>
        </is>
      </c>
    </row>
    <row r="830">
      <c r="A830" s="16" t="inlineStr">
        <is>
          <t>Cosmic Clover Limited</t>
        </is>
      </c>
      <c r="B830" s="89" t="n">
        <v>1</v>
      </c>
      <c r="C830" s="94" t="n">
        <v>0</v>
      </c>
      <c r="D830" s="95" t="n">
        <v>0</v>
      </c>
      <c r="E830" s="95" t="n">
        <v>-16.8</v>
      </c>
      <c r="F830" s="95" t="n">
        <v>-30.8</v>
      </c>
      <c r="G830" s="95" t="n">
        <v>-31</v>
      </c>
      <c r="H830" s="95" t="n">
        <v>-16.8</v>
      </c>
      <c r="I830" s="95" t="n">
        <v>-30.8</v>
      </c>
      <c r="J830" s="95" t="n">
        <v>-31</v>
      </c>
      <c r="K830" s="96" t="inlineStr">
        <is>
          <t>2561 VISEN PHARMA-B</t>
        </is>
      </c>
    </row>
    <row r="831">
      <c r="A831" s="16" t="inlineStr">
        <is>
          <t>Logos Opportunities Fund II LP</t>
        </is>
      </c>
      <c r="B831" s="89" t="n">
        <v>1</v>
      </c>
      <c r="C831" s="94" t="n">
        <v>0</v>
      </c>
      <c r="D831" s="95" t="n">
        <v>0</v>
      </c>
      <c r="E831" s="95" t="n">
        <v>-16.8</v>
      </c>
      <c r="F831" s="95" t="n">
        <v>-30.8</v>
      </c>
      <c r="G831" s="95" t="n">
        <v>-31</v>
      </c>
      <c r="H831" s="95" t="n">
        <v>-16.8</v>
      </c>
      <c r="I831" s="95" t="n">
        <v>-30.8</v>
      </c>
      <c r="J831" s="95" t="n">
        <v>-31</v>
      </c>
      <c r="K831" s="96" t="inlineStr">
        <is>
          <t>2561 VISEN PHARMA-B</t>
        </is>
      </c>
    </row>
    <row r="832">
      <c r="A832" s="16" t="inlineStr">
        <is>
          <t>Xu Shihe (許世和)</t>
        </is>
      </c>
      <c r="B832" s="89" t="n">
        <v>1</v>
      </c>
      <c r="C832" s="94" t="n">
        <v>0</v>
      </c>
      <c r="D832" s="95" t="n">
        <v>0</v>
      </c>
      <c r="E832" s="95" t="n">
        <v>-14.4</v>
      </c>
      <c r="F832" s="95" t="n">
        <v>33.6</v>
      </c>
      <c r="G832" s="95" t="n">
        <v>11.2</v>
      </c>
      <c r="H832" s="95" t="n">
        <v>-14.4</v>
      </c>
      <c r="I832" s="95" t="n">
        <v>33.6</v>
      </c>
      <c r="J832" s="95" t="n">
        <v>11.2</v>
      </c>
      <c r="K832" s="96" t="inlineStr">
        <is>
          <t>2625 JIANGSU HORIZON</t>
        </is>
      </c>
    </row>
    <row r="833">
      <c r="A833" s="16" t="inlineStr">
        <is>
          <t>Yin Qin (印勤)</t>
        </is>
      </c>
      <c r="B833" s="89" t="n">
        <v>1</v>
      </c>
      <c r="C833" s="94" t="n">
        <v>0</v>
      </c>
      <c r="D833" s="95" t="n">
        <v>0</v>
      </c>
      <c r="E833" s="95" t="n">
        <v>-14.4</v>
      </c>
      <c r="F833" s="95" t="n">
        <v>33.6</v>
      </c>
      <c r="G833" s="95" t="n">
        <v>11.2</v>
      </c>
      <c r="H833" s="95" t="n">
        <v>-14.4</v>
      </c>
      <c r="I833" s="95" t="n">
        <v>33.6</v>
      </c>
      <c r="J833" s="95" t="n">
        <v>11.2</v>
      </c>
      <c r="K833" s="96" t="inlineStr">
        <is>
          <t>2625 JIANGSU HORIZON</t>
        </is>
      </c>
    </row>
    <row r="834">
      <c r="A834" s="16" t="inlineStr">
        <is>
          <t>Hu Qinghua (胡慶華)</t>
        </is>
      </c>
      <c r="B834" s="89" t="n">
        <v>1</v>
      </c>
      <c r="C834" s="94" t="n">
        <v>0</v>
      </c>
      <c r="D834" s="95" t="n">
        <v>0</v>
      </c>
      <c r="E834" s="95" t="n">
        <v>-14.4</v>
      </c>
      <c r="F834" s="95" t="n">
        <v>33.6</v>
      </c>
      <c r="G834" s="95" t="n">
        <v>11.2</v>
      </c>
      <c r="H834" s="95" t="n">
        <v>-14.4</v>
      </c>
      <c r="I834" s="95" t="n">
        <v>33.6</v>
      </c>
      <c r="J834" s="95" t="n">
        <v>11.2</v>
      </c>
      <c r="K834" s="96" t="inlineStr">
        <is>
          <t>2625 JIANGSU HORIZON</t>
        </is>
      </c>
    </row>
    <row r="835">
      <c r="A835" s="16" t="inlineStr">
        <is>
          <t>Zhu Zheng (朱政)</t>
        </is>
      </c>
      <c r="B835" s="89" t="n">
        <v>1</v>
      </c>
      <c r="C835" s="94" t="n">
        <v>0</v>
      </c>
      <c r="D835" s="95" t="n">
        <v>0</v>
      </c>
      <c r="E835" s="95" t="n">
        <v>-14.4</v>
      </c>
      <c r="F835" s="95" t="n">
        <v>33.6</v>
      </c>
      <c r="G835" s="95" t="n">
        <v>11.2</v>
      </c>
      <c r="H835" s="95" t="n">
        <v>-14.4</v>
      </c>
      <c r="I835" s="95" t="n">
        <v>33.6</v>
      </c>
      <c r="J835" s="95" t="n">
        <v>11.2</v>
      </c>
      <c r="K835" s="96" t="inlineStr">
        <is>
          <t>2625 JIANGSU HORIZON</t>
        </is>
      </c>
    </row>
    <row r="836">
      <c r="A836" s="16" t="inlineStr">
        <is>
          <t>Zhan Mingyu (詹明玉)</t>
        </is>
      </c>
      <c r="B836" s="89" t="n">
        <v>1</v>
      </c>
      <c r="C836" s="94" t="n">
        <v>0</v>
      </c>
      <c r="D836" s="95" t="n">
        <v>0</v>
      </c>
      <c r="E836" s="95" t="n">
        <v>-14.4</v>
      </c>
      <c r="F836" s="95" t="n">
        <v>33.6</v>
      </c>
      <c r="G836" s="95" t="n">
        <v>11.2</v>
      </c>
      <c r="H836" s="95" t="n">
        <v>-14.4</v>
      </c>
      <c r="I836" s="95" t="n">
        <v>33.6</v>
      </c>
      <c r="J836" s="95" t="n">
        <v>11.2</v>
      </c>
      <c r="K836" s="96" t="inlineStr">
        <is>
          <t>2625 JIANGSU HORIZON</t>
        </is>
      </c>
    </row>
    <row r="837">
      <c r="A837" s="16" t="inlineStr">
        <is>
          <t>Jiang Xianyue (江顯月)</t>
        </is>
      </c>
      <c r="B837" s="89" t="n">
        <v>1</v>
      </c>
      <c r="C837" s="94" t="n">
        <v>0</v>
      </c>
      <c r="D837" s="95" t="n">
        <v>0</v>
      </c>
      <c r="E837" s="95" t="n">
        <v>-14.4</v>
      </c>
      <c r="F837" s="95" t="n">
        <v>33.6</v>
      </c>
      <c r="G837" s="95" t="n">
        <v>11.2</v>
      </c>
      <c r="H837" s="95" t="n">
        <v>-14.4</v>
      </c>
      <c r="I837" s="95" t="n">
        <v>33.6</v>
      </c>
      <c r="J837" s="95" t="n">
        <v>11.2</v>
      </c>
      <c r="K837" s="96" t="inlineStr">
        <is>
          <t>2625 JIANGSU HORIZON</t>
        </is>
      </c>
    </row>
    <row r="838">
      <c r="A838" s="16" t="inlineStr">
        <is>
          <t>Yao Xinhua (姚新華)</t>
        </is>
      </c>
      <c r="B838" s="89" t="n">
        <v>1</v>
      </c>
      <c r="C838" s="94" t="n">
        <v>0</v>
      </c>
      <c r="D838" s="95" t="n">
        <v>0</v>
      </c>
      <c r="E838" s="95" t="n">
        <v>-14.4</v>
      </c>
      <c r="F838" s="95" t="n">
        <v>33.6</v>
      </c>
      <c r="G838" s="95" t="n">
        <v>11.2</v>
      </c>
      <c r="H838" s="95" t="n">
        <v>-14.4</v>
      </c>
      <c r="I838" s="95" t="n">
        <v>33.6</v>
      </c>
      <c r="J838" s="95" t="n">
        <v>11.2</v>
      </c>
      <c r="K838" s="96" t="inlineStr">
        <is>
          <t>2625 JIANGSU HORIZON</t>
        </is>
      </c>
    </row>
    <row r="839">
      <c r="A839" s="16" t="inlineStr">
        <is>
          <t>Guo Xia (郭霞)</t>
        </is>
      </c>
      <c r="B839" s="89" t="n">
        <v>1</v>
      </c>
      <c r="C839" s="94" t="n">
        <v>0</v>
      </c>
      <c r="D839" s="95" t="n">
        <v>0</v>
      </c>
      <c r="E839" s="95" t="n">
        <v>-14.4</v>
      </c>
      <c r="F839" s="95" t="n">
        <v>33.6</v>
      </c>
      <c r="G839" s="95" t="n">
        <v>11.2</v>
      </c>
      <c r="H839" s="95" t="n">
        <v>-14.4</v>
      </c>
      <c r="I839" s="95" t="n">
        <v>33.6</v>
      </c>
      <c r="J839" s="95" t="n">
        <v>11.2</v>
      </c>
      <c r="K839" s="96" t="inlineStr">
        <is>
          <t>2625 JIANGSU HORIZON</t>
        </is>
      </c>
    </row>
    <row r="840">
      <c r="A840" s="16" t="inlineStr">
        <is>
          <t>Lu Shouping (陸壽萍)</t>
        </is>
      </c>
      <c r="B840" s="89" t="n">
        <v>1</v>
      </c>
      <c r="C840" s="94" t="n">
        <v>0</v>
      </c>
      <c r="D840" s="95" t="n">
        <v>0</v>
      </c>
      <c r="E840" s="95" t="n">
        <v>-14.4</v>
      </c>
      <c r="F840" s="95" t="n">
        <v>33.6</v>
      </c>
      <c r="G840" s="95" t="n">
        <v>11.2</v>
      </c>
      <c r="H840" s="95" t="n">
        <v>-14.4</v>
      </c>
      <c r="I840" s="95" t="n">
        <v>33.6</v>
      </c>
      <c r="J840" s="95" t="n">
        <v>11.2</v>
      </c>
      <c r="K840" s="96" t="inlineStr">
        <is>
          <t>2625 JIANGSU HORIZON</t>
        </is>
      </c>
    </row>
    <row r="841">
      <c r="A841" s="16" t="inlineStr">
        <is>
          <t>Kan Chuanling (闞傳玲)</t>
        </is>
      </c>
      <c r="B841" s="89" t="n">
        <v>1</v>
      </c>
      <c r="C841" s="94" t="n">
        <v>0</v>
      </c>
      <c r="D841" s="95" t="n">
        <v>0</v>
      </c>
      <c r="E841" s="95" t="n">
        <v>-14.4</v>
      </c>
      <c r="F841" s="95" t="n">
        <v>33.6</v>
      </c>
      <c r="G841" s="95" t="n">
        <v>11.2</v>
      </c>
      <c r="H841" s="95" t="n">
        <v>-14.4</v>
      </c>
      <c r="I841" s="95" t="n">
        <v>33.6</v>
      </c>
      <c r="J841" s="95" t="n">
        <v>11.2</v>
      </c>
      <c r="K841" s="96" t="inlineStr">
        <is>
          <t>2625 JIANGSU HORIZON</t>
        </is>
      </c>
    </row>
    <row r="842">
      <c r="A842" s="16" t="inlineStr">
        <is>
          <t>Huang Haiyan (黃海燕)</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Zhen Yizuo (殷義左)</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Shen Zhigen (沈志艮)</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Xia Zhonglin (夏忠林)</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Lin Yuan</t>
        </is>
      </c>
      <c r="B846" s="89" t="n">
        <v>1</v>
      </c>
      <c r="C846" s="94" t="n">
        <v>0</v>
      </c>
      <c r="D846" s="95" t="n">
        <v>0</v>
      </c>
      <c r="E846" s="95" t="n">
        <v>-12.2</v>
      </c>
      <c r="F846" s="95" t="n">
        <v>-11.9</v>
      </c>
      <c r="G846" s="95" t="n">
        <v>-26.2</v>
      </c>
      <c r="H846" s="95" t="n">
        <v>-12.2</v>
      </c>
      <c r="I846" s="95" t="n">
        <v>-11.9</v>
      </c>
      <c r="J846" s="95" t="n">
        <v>-26.2</v>
      </c>
      <c r="K846" s="96" t="inlineStr">
        <is>
          <t>9927 SERES</t>
        </is>
      </c>
    </row>
    <row r="847">
      <c r="A847" s="16" t="inlineStr">
        <is>
          <t>Sanhua (Hong Kong)</t>
        </is>
      </c>
      <c r="B847" s="89" t="n">
        <v>1</v>
      </c>
      <c r="C847" s="94" t="n">
        <v>0</v>
      </c>
      <c r="D847" s="95" t="n">
        <v>0</v>
      </c>
      <c r="E847" s="95" t="n">
        <v>-12.2</v>
      </c>
      <c r="F847" s="95" t="n">
        <v>-11.9</v>
      </c>
      <c r="G847" s="95" t="n">
        <v>-26.2</v>
      </c>
      <c r="H847" s="95" t="n">
        <v>-12.2</v>
      </c>
      <c r="I847" s="95" t="n">
        <v>-11.9</v>
      </c>
      <c r="J847" s="95" t="n">
        <v>-26.2</v>
      </c>
      <c r="K847" s="96" t="inlineStr">
        <is>
          <t>9927 SERES</t>
        </is>
      </c>
    </row>
    <row r="848">
      <c r="A848" s="16" t="inlineStr">
        <is>
          <t>Zhink International</t>
        </is>
      </c>
      <c r="B848" s="89" t="n">
        <v>1</v>
      </c>
      <c r="C848" s="94" t="n">
        <v>0</v>
      </c>
      <c r="D848" s="95" t="n">
        <v>0</v>
      </c>
      <c r="E848" s="95" t="n">
        <v>-12.2</v>
      </c>
      <c r="F848" s="95" t="n">
        <v>-11.9</v>
      </c>
      <c r="G848" s="95" t="n">
        <v>-26.2</v>
      </c>
      <c r="H848" s="95" t="n">
        <v>-12.2</v>
      </c>
      <c r="I848" s="95" t="n">
        <v>-11.9</v>
      </c>
      <c r="J848" s="95" t="n">
        <v>-26.2</v>
      </c>
      <c r="K848" s="96" t="inlineStr">
        <is>
          <t>9927 SERES</t>
        </is>
      </c>
    </row>
    <row r="849">
      <c r="A849" s="16" t="inlineStr">
        <is>
          <t>Honour Goal Investments</t>
        </is>
      </c>
      <c r="B849" s="89" t="n">
        <v>1</v>
      </c>
      <c r="C849" s="94" t="n">
        <v>0</v>
      </c>
      <c r="D849" s="95" t="n">
        <v>0</v>
      </c>
      <c r="E849" s="95" t="n">
        <v>-12.2</v>
      </c>
      <c r="F849" s="95" t="n">
        <v>-11.9</v>
      </c>
      <c r="G849" s="95" t="n">
        <v>-26.2</v>
      </c>
      <c r="H849" s="95" t="n">
        <v>-12.2</v>
      </c>
      <c r="I849" s="95" t="n">
        <v>-11.9</v>
      </c>
      <c r="J849" s="95" t="n">
        <v>-26.2</v>
      </c>
      <c r="K849" s="96" t="inlineStr">
        <is>
          <t>9927 SERES</t>
        </is>
      </c>
    </row>
    <row r="850">
      <c r="A850" s="16" t="inlineStr">
        <is>
          <t>Hichain Logistics</t>
        </is>
      </c>
      <c r="B850" s="89" t="n">
        <v>1</v>
      </c>
      <c r="C850" s="94" t="n">
        <v>0</v>
      </c>
      <c r="D850" s="95" t="n">
        <v>0</v>
      </c>
      <c r="E850" s="95" t="n">
        <v>-12.2</v>
      </c>
      <c r="F850" s="95" t="n">
        <v>-11.9</v>
      </c>
      <c r="G850" s="95" t="n">
        <v>-26.2</v>
      </c>
      <c r="H850" s="95" t="n">
        <v>-12.2</v>
      </c>
      <c r="I850" s="95" t="n">
        <v>-11.9</v>
      </c>
      <c r="J850" s="95" t="n">
        <v>-26.2</v>
      </c>
      <c r="K850" s="96" t="inlineStr">
        <is>
          <t>9927 SERES</t>
        </is>
      </c>
    </row>
    <row r="851">
      <c r="A851" s="16" t="inlineStr">
        <is>
          <t>China Meidong</t>
        </is>
      </c>
      <c r="B851" s="89" t="n">
        <v>1</v>
      </c>
      <c r="C851" s="94" t="n">
        <v>0</v>
      </c>
      <c r="D851" s="95" t="n">
        <v>0</v>
      </c>
      <c r="E851" s="95" t="n">
        <v>-12.2</v>
      </c>
      <c r="F851" s="95" t="n">
        <v>-11.9</v>
      </c>
      <c r="G851" s="95" t="n">
        <v>-26.2</v>
      </c>
      <c r="H851" s="95" t="n">
        <v>-12.2</v>
      </c>
      <c r="I851" s="95" t="n">
        <v>-11.9</v>
      </c>
      <c r="J851" s="95" t="n">
        <v>-26.2</v>
      </c>
      <c r="K851" s="96" t="inlineStr">
        <is>
          <t>9927 SERES</t>
        </is>
      </c>
    </row>
    <row r="852">
      <c r="A852" s="16" t="inlineStr">
        <is>
          <t>CoreView</t>
        </is>
      </c>
      <c r="B852" s="89" t="n">
        <v>1</v>
      </c>
      <c r="C852" s="94" t="n">
        <v>0</v>
      </c>
      <c r="D852" s="95" t="n">
        <v>0</v>
      </c>
      <c r="E852" s="95" t="n">
        <v>-1.3</v>
      </c>
      <c r="F852" s="95" t="n">
        <v>-3.4</v>
      </c>
      <c r="G852" s="95" t="n">
        <v>-8.4</v>
      </c>
      <c r="H852" s="95" t="n">
        <v>-1.3</v>
      </c>
      <c r="I852" s="95" t="n">
        <v>-3.4</v>
      </c>
      <c r="J852" s="95" t="n">
        <v>-8.4</v>
      </c>
      <c r="K852" s="96" t="inlineStr">
        <is>
          <t>7618 JD INDUSTRIALS</t>
        </is>
      </c>
    </row>
    <row r="853">
      <c r="A853" s="16" t="inlineStr">
        <is>
          <t>Jupiter Global Master Fund Ltd.</t>
        </is>
      </c>
      <c r="B853" s="89" t="n">
        <v>1</v>
      </c>
      <c r="C853" s="94" t="n">
        <v>0</v>
      </c>
      <c r="D853" s="95" t="n">
        <v>0</v>
      </c>
      <c r="E853" s="95" t="n">
        <v>20.2</v>
      </c>
      <c r="F853" s="95" t="n">
        <v>-11.2</v>
      </c>
      <c r="G853" s="95" t="n">
        <v>-28</v>
      </c>
      <c r="H853" s="95" t="n">
        <v>20.2</v>
      </c>
      <c r="I853" s="95" t="n">
        <v>-11.2</v>
      </c>
      <c r="J853" s="95" t="n">
        <v>-28</v>
      </c>
      <c r="K853" s="96" t="inlineStr">
        <is>
          <t>0600 AXERA</t>
        </is>
      </c>
    </row>
    <row r="854">
      <c r="A854" s="16" t="inlineStr">
        <is>
          <t>NonaVerse (Hong Kong) Limited</t>
        </is>
      </c>
      <c r="B854" s="89" t="n">
        <v>1</v>
      </c>
      <c r="C854" s="94" t="n">
        <v>0</v>
      </c>
      <c r="D854" s="95" t="n">
        <v>0</v>
      </c>
      <c r="E854" s="95" t="n">
        <v>20.2</v>
      </c>
      <c r="F854" s="95" t="n">
        <v>-11.2</v>
      </c>
      <c r="G854" s="95" t="n">
        <v>-28</v>
      </c>
      <c r="H854" s="95" t="n">
        <v>20.2</v>
      </c>
      <c r="I854" s="95" t="n">
        <v>-11.2</v>
      </c>
      <c r="J854" s="95" t="n">
        <v>-28</v>
      </c>
      <c r="K854" s="96" t="inlineStr">
        <is>
          <t>0600 AXERA</t>
        </is>
      </c>
    </row>
    <row r="855">
      <c r="A855" s="16" t="inlineStr">
        <is>
          <t>Xin Ma Apparel International Limited</t>
        </is>
      </c>
      <c r="B855" s="89" t="n">
        <v>1</v>
      </c>
      <c r="C855" s="94" t="n">
        <v>0</v>
      </c>
      <c r="D855" s="95" t="n">
        <v>0</v>
      </c>
      <c r="E855" s="95" t="n">
        <v>20.2</v>
      </c>
      <c r="F855" s="95" t="n">
        <v>-11.2</v>
      </c>
      <c r="G855" s="95" t="n">
        <v>-28</v>
      </c>
      <c r="H855" s="95" t="n">
        <v>20.2</v>
      </c>
      <c r="I855" s="95" t="n">
        <v>-11.2</v>
      </c>
      <c r="J855" s="95" t="n">
        <v>-28</v>
      </c>
      <c r="K855" s="96" t="inlineStr">
        <is>
          <t>0600 AXERA</t>
        </is>
      </c>
    </row>
    <row r="856">
      <c r="A856" s="16" t="inlineStr">
        <is>
          <t>Desay SV Automotive Singapore Pte. Ltd</t>
        </is>
      </c>
      <c r="B856" s="89" t="n">
        <v>1</v>
      </c>
      <c r="C856" s="94" t="n">
        <v>0</v>
      </c>
      <c r="D856" s="95" t="n">
        <v>0</v>
      </c>
      <c r="E856" s="95" t="n">
        <v>20.2</v>
      </c>
      <c r="F856" s="95" t="n">
        <v>-11.2</v>
      </c>
      <c r="G856" s="95" t="n">
        <v>-28</v>
      </c>
      <c r="H856" s="95" t="n">
        <v>20.2</v>
      </c>
      <c r="I856" s="95" t="n">
        <v>-11.2</v>
      </c>
      <c r="J856" s="95" t="n">
        <v>-28</v>
      </c>
      <c r="K856" s="96" t="inlineStr">
        <is>
          <t>0600 AXERA</t>
        </is>
      </c>
    </row>
    <row r="857">
      <c r="A857" s="16" t="inlineStr">
        <is>
          <t>Offshore SP3</t>
        </is>
      </c>
      <c r="B857" s="89" t="n">
        <v>1</v>
      </c>
      <c r="C857" s="94" t="n">
        <v>0</v>
      </c>
      <c r="D857" s="95" t="n">
        <v>0</v>
      </c>
      <c r="E857" s="95" t="n">
        <v>0.6</v>
      </c>
      <c r="F857" s="95" t="n">
        <v>-9</v>
      </c>
      <c r="G857" s="95" t="n">
        <v>15.5</v>
      </c>
      <c r="H857" s="95" t="n">
        <v>0.6</v>
      </c>
      <c r="I857" s="95" t="n">
        <v>-9</v>
      </c>
      <c r="J857" s="95" t="n">
        <v>15.5</v>
      </c>
      <c r="K857" s="96" t="inlineStr">
        <is>
          <t>0470 WUXI LEAD</t>
        </is>
      </c>
    </row>
    <row r="858">
      <c r="A858" s="16" t="inlineStr">
        <is>
          <t>Marshall Wace Asia Limited</t>
        </is>
      </c>
      <c r="B858" s="89" t="n">
        <v>1</v>
      </c>
      <c r="C858" s="94" t="n">
        <v>0</v>
      </c>
      <c r="D858" s="95" t="n">
        <v>0</v>
      </c>
      <c r="E858" s="95" t="n">
        <v>-3.7</v>
      </c>
      <c r="F858" s="95" t="n">
        <v>-30.7</v>
      </c>
      <c r="G858" s="95" t="n"/>
      <c r="H858" s="95" t="n">
        <v>-3.7</v>
      </c>
      <c r="I858" s="95" t="n">
        <v>-30.7</v>
      </c>
      <c r="J858" s="95" t="n"/>
      <c r="K858" s="96" t="inlineStr">
        <is>
          <t>1081 DAJIN</t>
        </is>
      </c>
    </row>
    <row r="859">
      <c r="A859" s="16" t="inlineStr">
        <is>
          <t>GigaDevice Semiconductor (HK) Limited</t>
        </is>
      </c>
      <c r="B859" s="89" t="n">
        <v>1</v>
      </c>
      <c r="C859" s="94" t="n">
        <v>0</v>
      </c>
      <c r="D859" s="95" t="n">
        <v>0</v>
      </c>
      <c r="E859" s="95" t="n">
        <v>0.3</v>
      </c>
      <c r="F859" s="95" t="n">
        <v>-10.1</v>
      </c>
      <c r="G859" s="95" t="n"/>
      <c r="H859" s="95" t="n">
        <v>0.3</v>
      </c>
      <c r="I859" s="95" t="n">
        <v>-10.1</v>
      </c>
      <c r="J859" s="95" t="n"/>
      <c r="K859" s="96" t="inlineStr">
        <is>
          <t>6880 MOMENTA-W</t>
        </is>
      </c>
    </row>
    <row r="860">
      <c r="A860" s="16" t="inlineStr">
        <is>
          <t>Templeton Asset Management Ltd</t>
        </is>
      </c>
      <c r="B860" s="89" t="n">
        <v>1</v>
      </c>
      <c r="C860" s="94" t="n">
        <v>0</v>
      </c>
      <c r="D860" s="95" t="n">
        <v>0</v>
      </c>
      <c r="E860" s="95" t="n">
        <v>0.3</v>
      </c>
      <c r="F860" s="95" t="n">
        <v>-10.1</v>
      </c>
      <c r="G860" s="95" t="n"/>
      <c r="H860" s="95" t="n">
        <v>0.3</v>
      </c>
      <c r="I860" s="95" t="n">
        <v>-10.1</v>
      </c>
      <c r="J860" s="95" t="n"/>
      <c r="K860" s="96" t="inlineStr">
        <is>
          <t>6880 MOMENTA-W</t>
        </is>
      </c>
    </row>
    <row r="861">
      <c r="A861" s="16" t="inlineStr">
        <is>
          <t>Goertek (HongKong) Co., Limited</t>
        </is>
      </c>
      <c r="B861" s="89" t="n">
        <v>1</v>
      </c>
      <c r="C861" s="94" t="n">
        <v>0</v>
      </c>
      <c r="D861" s="95" t="n">
        <v>0</v>
      </c>
      <c r="E861" s="95" t="n">
        <v>-9.699999999999999</v>
      </c>
      <c r="F861" s="95" t="n">
        <v>-0.1</v>
      </c>
      <c r="G861" s="95" t="n"/>
      <c r="H861" s="95" t="n">
        <v>-9.699999999999999</v>
      </c>
      <c r="I861" s="95" t="n">
        <v>-0.1</v>
      </c>
      <c r="J861" s="95" t="n"/>
      <c r="K861" s="96" t="inlineStr">
        <is>
          <t>2249 NEXCHIP</t>
        </is>
      </c>
    </row>
    <row r="862">
      <c r="A862" s="16" t="inlineStr">
        <is>
          <t>Puxin Technology Limited</t>
        </is>
      </c>
      <c r="B862" s="89" t="n">
        <v>1</v>
      </c>
      <c r="C862" s="94" t="n">
        <v>0</v>
      </c>
      <c r="D862" s="95" t="n">
        <v>0</v>
      </c>
      <c r="E862" s="95" t="n">
        <v>-9.699999999999999</v>
      </c>
      <c r="F862" s="95" t="n">
        <v>-0.1</v>
      </c>
      <c r="G862" s="95" t="n"/>
      <c r="H862" s="95" t="n">
        <v>-9.699999999999999</v>
      </c>
      <c r="I862" s="95" t="n">
        <v>-0.1</v>
      </c>
      <c r="J862" s="95" t="n"/>
      <c r="K862" s="96" t="inlineStr">
        <is>
          <t>2249 NEXCHIP</t>
        </is>
      </c>
    </row>
    <row r="863">
      <c r="A863" s="16" t="inlineStr">
        <is>
          <t>Smartsens Technology (HK) Co., Limited</t>
        </is>
      </c>
      <c r="B863" s="89" t="n">
        <v>1</v>
      </c>
      <c r="C863" s="94" t="n">
        <v>0</v>
      </c>
      <c r="D863" s="95" t="n">
        <v>0</v>
      </c>
      <c r="E863" s="95" t="n">
        <v>-9.699999999999999</v>
      </c>
      <c r="F863" s="95" t="n">
        <v>-0.1</v>
      </c>
      <c r="G863" s="95" t="n"/>
      <c r="H863" s="95" t="n">
        <v>-9.699999999999999</v>
      </c>
      <c r="I863" s="95" t="n">
        <v>-0.1</v>
      </c>
      <c r="J863" s="95" t="n"/>
      <c r="K863" s="96" t="inlineStr">
        <is>
          <t>2249 NEXCHIP</t>
        </is>
      </c>
    </row>
    <row r="864">
      <c r="A864" s="16" t="inlineStr">
        <is>
          <t>Agora, Inc</t>
        </is>
      </c>
      <c r="B864" s="89" t="n">
        <v>1</v>
      </c>
      <c r="C864" s="94" t="n">
        <v>0</v>
      </c>
      <c r="D864" s="95" t="n">
        <v>-0.1</v>
      </c>
      <c r="E864" s="95" t="n">
        <v>2.7</v>
      </c>
      <c r="F864" s="95" t="n">
        <v>-19.1</v>
      </c>
      <c r="G864" s="95" t="n">
        <v>-22.3</v>
      </c>
      <c r="H864" s="95" t="n">
        <v>2.8</v>
      </c>
      <c r="I864" s="95" t="n">
        <v>-19</v>
      </c>
      <c r="J864" s="95" t="n">
        <v>-22.2</v>
      </c>
      <c r="K864" s="96" t="inlineStr">
        <is>
          <t>2167 TI CLOUD</t>
        </is>
      </c>
    </row>
    <row r="865">
      <c r="A865" s="16" t="inlineStr">
        <is>
          <t>Platinum Investment Management Limited</t>
        </is>
      </c>
      <c r="B865" s="89" t="n">
        <v>1</v>
      </c>
      <c r="C865" s="94" t="n">
        <v>0</v>
      </c>
      <c r="D865" s="95" t="n">
        <v>-0.1</v>
      </c>
      <c r="E865" s="95" t="n">
        <v>2.7</v>
      </c>
      <c r="F865" s="95" t="n">
        <v>-19.1</v>
      </c>
      <c r="G865" s="95" t="n">
        <v>-22.3</v>
      </c>
      <c r="H865" s="95" t="n">
        <v>2.8</v>
      </c>
      <c r="I865" s="95" t="n">
        <v>-19</v>
      </c>
      <c r="J865" s="95" t="n">
        <v>-22.2</v>
      </c>
      <c r="K865" s="96" t="inlineStr">
        <is>
          <t>2167 TI CLOUD</t>
        </is>
      </c>
    </row>
    <row r="866">
      <c r="A866" s="16" t="inlineStr">
        <is>
          <t>Chiyu International Capital Limited</t>
        </is>
      </c>
      <c r="B866" s="89" t="n">
        <v>1</v>
      </c>
      <c r="C866" s="94" t="n">
        <v>0</v>
      </c>
      <c r="D866" s="95" t="n">
        <v>-0.1</v>
      </c>
      <c r="E866" s="95" t="n">
        <v>-0.1</v>
      </c>
      <c r="F866" s="95" t="n">
        <v>-27.3</v>
      </c>
      <c r="G866" s="95" t="n">
        <v>-29.1</v>
      </c>
      <c r="H866" s="95" t="n">
        <v>0</v>
      </c>
      <c r="I866" s="95" t="n">
        <v>-27.2</v>
      </c>
      <c r="J866" s="95" t="n">
        <v>-29</v>
      </c>
      <c r="K866" s="96" t="inlineStr">
        <is>
          <t>2152 SUXIN SERVICES</t>
        </is>
      </c>
    </row>
    <row r="867">
      <c r="A867" s="16" t="inlineStr">
        <is>
          <t>Capital VIII</t>
        </is>
      </c>
      <c r="B867" s="89" t="n">
        <v>1</v>
      </c>
      <c r="C867" s="94" t="n">
        <v>0</v>
      </c>
      <c r="D867" s="95" t="n">
        <v>-0.1</v>
      </c>
      <c r="E867" s="95" t="n">
        <v>11.6</v>
      </c>
      <c r="F867" s="95" t="n">
        <v>26.5</v>
      </c>
      <c r="G867" s="95" t="n">
        <v>70.3</v>
      </c>
      <c r="H867" s="95" t="n">
        <v>11.8</v>
      </c>
      <c r="I867" s="95" t="n">
        <v>26.7</v>
      </c>
      <c r="J867" s="95" t="n">
        <v>70.59999999999999</v>
      </c>
      <c r="K867" s="96" t="inlineStr">
        <is>
          <t>2050 SANHUA</t>
        </is>
      </c>
    </row>
    <row r="868">
      <c r="A868" s="16" t="inlineStr">
        <is>
          <t>Guizhou New Industrialization Fund</t>
        </is>
      </c>
      <c r="B868" s="89" t="n">
        <v>1</v>
      </c>
      <c r="C868" s="94" t="n">
        <v>0</v>
      </c>
      <c r="D868" s="95" t="n">
        <v>-0.1</v>
      </c>
      <c r="E868" s="95" t="n">
        <v>-10.9</v>
      </c>
      <c r="F868" s="95" t="n">
        <v>-22.6</v>
      </c>
      <c r="G868" s="95" t="n">
        <v>2.5</v>
      </c>
      <c r="H868" s="95" t="n">
        <v>-10.8</v>
      </c>
      <c r="I868" s="95" t="n">
        <v>-22.6</v>
      </c>
      <c r="J868" s="95" t="n">
        <v>2.6</v>
      </c>
      <c r="K868" s="96" t="inlineStr">
        <is>
          <t>2579 CNGR</t>
        </is>
      </c>
    </row>
    <row r="869">
      <c r="A869" s="16" t="inlineStr">
        <is>
          <t>Baoda Investment</t>
        </is>
      </c>
      <c r="B869" s="89" t="n">
        <v>1</v>
      </c>
      <c r="C869" s="94" t="n">
        <v>0</v>
      </c>
      <c r="D869" s="95" t="n">
        <v>-0.1</v>
      </c>
      <c r="E869" s="95" t="n">
        <v>-10.9</v>
      </c>
      <c r="F869" s="95" t="n">
        <v>-22.6</v>
      </c>
      <c r="G869" s="95" t="n">
        <v>2.5</v>
      </c>
      <c r="H869" s="95" t="n">
        <v>-10.8</v>
      </c>
      <c r="I869" s="95" t="n">
        <v>-22.6</v>
      </c>
      <c r="J869" s="95" t="n">
        <v>2.6</v>
      </c>
      <c r="K869" s="96" t="inlineStr">
        <is>
          <t>2579 CNGR</t>
        </is>
      </c>
    </row>
    <row r="870">
      <c r="A870" s="16" t="inlineStr">
        <is>
          <t>Gaoyi Asset Management</t>
        </is>
      </c>
      <c r="B870" s="89" t="n">
        <v>1</v>
      </c>
      <c r="C870" s="94" t="n">
        <v>0</v>
      </c>
      <c r="D870" s="95" t="n">
        <v>-0.1</v>
      </c>
      <c r="E870" s="95" t="n">
        <v>-10.9</v>
      </c>
      <c r="F870" s="95" t="n">
        <v>-22.6</v>
      </c>
      <c r="G870" s="95" t="n">
        <v>2.5</v>
      </c>
      <c r="H870" s="95" t="n">
        <v>-10.8</v>
      </c>
      <c r="I870" s="95" t="n">
        <v>-22.6</v>
      </c>
      <c r="J870" s="95" t="n">
        <v>2.6</v>
      </c>
      <c r="K870" s="96" t="inlineStr">
        <is>
          <t>2579 CNGR</t>
        </is>
      </c>
    </row>
    <row r="871">
      <c r="A871" s="16" t="inlineStr">
        <is>
          <t>North Rock</t>
        </is>
      </c>
      <c r="B871" s="89" t="n">
        <v>1</v>
      </c>
      <c r="C871" s="94" t="n">
        <v>0</v>
      </c>
      <c r="D871" s="95" t="n">
        <v>-0.1</v>
      </c>
      <c r="E871" s="95" t="n">
        <v>-10.9</v>
      </c>
      <c r="F871" s="95" t="n">
        <v>-22.6</v>
      </c>
      <c r="G871" s="95" t="n">
        <v>2.5</v>
      </c>
      <c r="H871" s="95" t="n">
        <v>-10.8</v>
      </c>
      <c r="I871" s="95" t="n">
        <v>-22.6</v>
      </c>
      <c r="J871" s="95" t="n">
        <v>2.6</v>
      </c>
      <c r="K871" s="96" t="inlineStr">
        <is>
          <t>2579 CNGR</t>
        </is>
      </c>
    </row>
    <row r="872">
      <c r="A872" s="16" t="inlineStr">
        <is>
          <t>Hunan Xingxiang Industry Fund</t>
        </is>
      </c>
      <c r="B872" s="89" t="n">
        <v>1</v>
      </c>
      <c r="C872" s="94" t="n">
        <v>0</v>
      </c>
      <c r="D872" s="95" t="n">
        <v>-0.1</v>
      </c>
      <c r="E872" s="95" t="n">
        <v>-10.9</v>
      </c>
      <c r="F872" s="95" t="n">
        <v>-22.6</v>
      </c>
      <c r="G872" s="95" t="n">
        <v>2.5</v>
      </c>
      <c r="H872" s="95" t="n">
        <v>-10.8</v>
      </c>
      <c r="I872" s="95" t="n">
        <v>-22.6</v>
      </c>
      <c r="J872" s="95" t="n">
        <v>2.6</v>
      </c>
      <c r="K872" s="96" t="inlineStr">
        <is>
          <t>2579 CNGR</t>
        </is>
      </c>
    </row>
    <row r="873">
      <c r="A873" s="16" t="inlineStr">
        <is>
          <t>Space Z PTE. LTD</t>
        </is>
      </c>
      <c r="B873" s="89" t="n">
        <v>1</v>
      </c>
      <c r="C873" s="94" t="n">
        <v>0</v>
      </c>
      <c r="D873" s="95" t="n">
        <v>-0.1</v>
      </c>
      <c r="E873" s="95" t="n">
        <v>-14.2</v>
      </c>
      <c r="F873" s="95" t="n">
        <v>7.3</v>
      </c>
      <c r="G873" s="95" t="n">
        <v>-29.3</v>
      </c>
      <c r="H873" s="95" t="n">
        <v>-14.1</v>
      </c>
      <c r="I873" s="95" t="n">
        <v>7.5</v>
      </c>
      <c r="J873" s="95" t="n">
        <v>-29.2</v>
      </c>
      <c r="K873" s="96" t="inlineStr">
        <is>
          <t>3887 HASHKEY HLDGS</t>
        </is>
      </c>
    </row>
    <row r="874">
      <c r="A874" s="16" t="inlineStr">
        <is>
          <t>Epoch Vantage Limited</t>
        </is>
      </c>
      <c r="B874" s="89" t="n">
        <v>1</v>
      </c>
      <c r="C874" s="94" t="n">
        <v>0</v>
      </c>
      <c r="D874" s="95" t="n">
        <v>-0.1</v>
      </c>
      <c r="E874" s="95" t="n">
        <v>-14.2</v>
      </c>
      <c r="F874" s="95" t="n">
        <v>7.3</v>
      </c>
      <c r="G874" s="95" t="n">
        <v>-29.3</v>
      </c>
      <c r="H874" s="95" t="n">
        <v>-14.1</v>
      </c>
      <c r="I874" s="95" t="n">
        <v>7.5</v>
      </c>
      <c r="J874" s="95" t="n">
        <v>-29.2</v>
      </c>
      <c r="K874" s="96" t="inlineStr">
        <is>
          <t>3887 HASHKEY HLDGS</t>
        </is>
      </c>
    </row>
    <row r="875">
      <c r="A875" s="16" t="inlineStr">
        <is>
          <t>XChainX Limited</t>
        </is>
      </c>
      <c r="B875" s="89" t="n">
        <v>1</v>
      </c>
      <c r="C875" s="94" t="n">
        <v>0</v>
      </c>
      <c r="D875" s="95" t="n">
        <v>-0.1</v>
      </c>
      <c r="E875" s="95" t="n">
        <v>-14.2</v>
      </c>
      <c r="F875" s="95" t="n">
        <v>7.3</v>
      </c>
      <c r="G875" s="95" t="n">
        <v>-29.3</v>
      </c>
      <c r="H875" s="95" t="n">
        <v>-14.1</v>
      </c>
      <c r="I875" s="95" t="n">
        <v>7.5</v>
      </c>
      <c r="J875" s="95" t="n">
        <v>-29.2</v>
      </c>
      <c r="K875" s="96" t="inlineStr">
        <is>
          <t>3887 HASHKEY HLDGS</t>
        </is>
      </c>
    </row>
    <row r="876">
      <c r="A876" s="16" t="inlineStr">
        <is>
          <t>TDR Investment Inc</t>
        </is>
      </c>
      <c r="B876" s="89" t="n">
        <v>1</v>
      </c>
      <c r="C876" s="94" t="n">
        <v>0</v>
      </c>
      <c r="D876" s="95" t="n">
        <v>-0.1</v>
      </c>
      <c r="E876" s="95" t="n">
        <v>-14.2</v>
      </c>
      <c r="F876" s="95" t="n">
        <v>7.3</v>
      </c>
      <c r="G876" s="95" t="n">
        <v>-29.3</v>
      </c>
      <c r="H876" s="95" t="n">
        <v>-14.1</v>
      </c>
      <c r="I876" s="95" t="n">
        <v>7.5</v>
      </c>
      <c r="J876" s="95" t="n">
        <v>-29.2</v>
      </c>
      <c r="K876" s="96" t="inlineStr">
        <is>
          <t>3887 HASHKEY HLDGS</t>
        </is>
      </c>
    </row>
    <row r="877">
      <c r="A877" s="16" t="inlineStr">
        <is>
          <t>Tomars Limited</t>
        </is>
      </c>
      <c r="B877" s="89" t="n">
        <v>1</v>
      </c>
      <c r="C877" s="94" t="n">
        <v>0</v>
      </c>
      <c r="D877" s="95" t="n">
        <v>-0.1</v>
      </c>
      <c r="E877" s="95" t="n">
        <v>-14.2</v>
      </c>
      <c r="F877" s="95" t="n">
        <v>7.3</v>
      </c>
      <c r="G877" s="95" t="n">
        <v>-29.3</v>
      </c>
      <c r="H877" s="95" t="n">
        <v>-14.1</v>
      </c>
      <c r="I877" s="95" t="n">
        <v>7.5</v>
      </c>
      <c r="J877" s="95" t="n">
        <v>-29.2</v>
      </c>
      <c r="K877" s="96" t="inlineStr">
        <is>
          <t>3887 HASHKEY HLDGS</t>
        </is>
      </c>
    </row>
    <row r="878">
      <c r="A878" s="16" t="inlineStr">
        <is>
          <t>Glodon (Hongkong) Software Limited</t>
        </is>
      </c>
      <c r="B878" s="89" t="n">
        <v>1</v>
      </c>
      <c r="C878" s="94" t="n">
        <v>0</v>
      </c>
      <c r="D878" s="95" t="n">
        <v>-0.2</v>
      </c>
      <c r="E878" s="95" t="n">
        <v>-9.300000000000001</v>
      </c>
      <c r="F878" s="95" t="n">
        <v>-31.3</v>
      </c>
      <c r="G878" s="95" t="n">
        <v>-42.6</v>
      </c>
      <c r="H878" s="95" t="n">
        <v>-9.1</v>
      </c>
      <c r="I878" s="95" t="n">
        <v>-31.1</v>
      </c>
      <c r="J878" s="95" t="n">
        <v>-42.5</v>
      </c>
      <c r="K878" s="96" t="inlineStr">
        <is>
          <t>2210 BEIJING JIAYE</t>
        </is>
      </c>
    </row>
    <row r="879">
      <c r="A879" s="16" t="inlineStr">
        <is>
          <t>Xinhuanet Co., Ltd</t>
        </is>
      </c>
      <c r="B879" s="89" t="n">
        <v>1</v>
      </c>
      <c r="C879" s="94" t="n">
        <v>0</v>
      </c>
      <c r="D879" s="95" t="n">
        <v>-0.2</v>
      </c>
      <c r="E879" s="95" t="n">
        <v>-0.4</v>
      </c>
      <c r="F879" s="95" t="n">
        <v>-1</v>
      </c>
      <c r="G879" s="95" t="n">
        <v>-0.4</v>
      </c>
      <c r="H879" s="95" t="n">
        <v>-0.2</v>
      </c>
      <c r="I879" s="95" t="n">
        <v>-0.8</v>
      </c>
      <c r="J879" s="95" t="n">
        <v>-0.2</v>
      </c>
      <c r="K879" s="96" t="inlineStr">
        <is>
          <t>2172 MICROPORT NEURO</t>
        </is>
      </c>
    </row>
    <row r="880">
      <c r="A880" s="16" t="inlineStr">
        <is>
          <t>Epsomite Gem Investments Ltd</t>
        </is>
      </c>
      <c r="B880" s="89" t="n">
        <v>1</v>
      </c>
      <c r="C880" s="94" t="n">
        <v>0</v>
      </c>
      <c r="D880" s="95" t="n">
        <v>-0.5</v>
      </c>
      <c r="E880" s="95" t="n">
        <v>-6.9</v>
      </c>
      <c r="F880" s="95" t="n">
        <v>-13</v>
      </c>
      <c r="G880" s="95" t="n">
        <v>-31.9</v>
      </c>
      <c r="H880" s="95" t="n">
        <v>-6.5</v>
      </c>
      <c r="I880" s="95" t="n">
        <v>-12.6</v>
      </c>
      <c r="J880" s="95" t="n">
        <v>-31.6</v>
      </c>
      <c r="K880" s="96" t="inlineStr">
        <is>
          <t>2256 ABBISKO-B</t>
        </is>
      </c>
    </row>
    <row r="881">
      <c r="A881" s="16" t="inlineStr">
        <is>
          <t>Proterra Asia Food Fund 3 VCC</t>
        </is>
      </c>
      <c r="B881" s="89" t="n">
        <v>1</v>
      </c>
      <c r="C881" s="94" t="n">
        <v>0</v>
      </c>
      <c r="D881" s="95" t="n">
        <v>-0.5</v>
      </c>
      <c r="E881" s="95" t="n">
        <v>-5.8</v>
      </c>
      <c r="F881" s="95" t="n">
        <v>-23</v>
      </c>
      <c r="G881" s="95" t="n">
        <v>-47.8</v>
      </c>
      <c r="H881" s="95" t="n">
        <v>-5.3</v>
      </c>
      <c r="I881" s="95" t="n">
        <v>-22.6</v>
      </c>
      <c r="J881" s="95" t="n">
        <v>-47.6</v>
      </c>
      <c r="K881" s="96" t="inlineStr">
        <is>
          <t>2425 AUSTASIA GROUP</t>
        </is>
      </c>
    </row>
    <row r="882">
      <c r="A882" s="16" t="inlineStr">
        <is>
          <t>Well Alliance Investment Holdings Limited</t>
        </is>
      </c>
      <c r="B882" s="89" t="n">
        <v>1</v>
      </c>
      <c r="C882" s="94" t="n">
        <v>0</v>
      </c>
      <c r="D882" s="95" t="n">
        <v>-0.5</v>
      </c>
      <c r="E882" s="95" t="n">
        <v>-5.8</v>
      </c>
      <c r="F882" s="95" t="n">
        <v>-23</v>
      </c>
      <c r="G882" s="95" t="n">
        <v>-47.8</v>
      </c>
      <c r="H882" s="95" t="n">
        <v>-5.3</v>
      </c>
      <c r="I882" s="95" t="n">
        <v>-22.6</v>
      </c>
      <c r="J882" s="95" t="n">
        <v>-47.6</v>
      </c>
      <c r="K882" s="96" t="inlineStr">
        <is>
          <t>2425 AUSTASIA GROUP</t>
        </is>
      </c>
    </row>
    <row r="883">
      <c r="A883" s="16" t="inlineStr">
        <is>
          <t>58.com Holdings Inc</t>
        </is>
      </c>
      <c r="B883" s="89" t="n">
        <v>1</v>
      </c>
      <c r="C883" s="94" t="n">
        <v>0</v>
      </c>
      <c r="D883" s="95" t="n">
        <v>-1.1</v>
      </c>
      <c r="E883" s="95" t="n">
        <v>-1.1</v>
      </c>
      <c r="F883" s="95" t="n">
        <v>-3</v>
      </c>
      <c r="G883" s="95" t="n">
        <v>-0.8</v>
      </c>
      <c r="H883" s="95" t="n">
        <v>0</v>
      </c>
      <c r="I883" s="95" t="n">
        <v>-1.9</v>
      </c>
      <c r="J883" s="95" t="n">
        <v>0.3</v>
      </c>
      <c r="K883" s="96" t="inlineStr">
        <is>
          <t>2205 KANGQIAO SER</t>
        </is>
      </c>
    </row>
    <row r="884">
      <c r="A884" s="16" t="inlineStr">
        <is>
          <t>Autobio Group Co., Ltd</t>
        </is>
      </c>
      <c r="B884" s="89" t="n">
        <v>1</v>
      </c>
      <c r="C884" s="94" t="n">
        <v>0</v>
      </c>
      <c r="D884" s="95" t="n">
        <v>-1.1</v>
      </c>
      <c r="E884" s="95" t="n">
        <v>-1.1</v>
      </c>
      <c r="F884" s="95" t="n">
        <v>-3</v>
      </c>
      <c r="G884" s="95" t="n">
        <v>-0.8</v>
      </c>
      <c r="H884" s="95" t="n">
        <v>0</v>
      </c>
      <c r="I884" s="95" t="n">
        <v>-1.9</v>
      </c>
      <c r="J884" s="95" t="n">
        <v>0.3</v>
      </c>
      <c r="K884" s="96" t="inlineStr">
        <is>
          <t>2205 KANGQIAO SER</t>
        </is>
      </c>
    </row>
    <row r="885">
      <c r="A885" s="16" t="inlineStr">
        <is>
          <t>Mr. Dai Junan</t>
        </is>
      </c>
      <c r="B885" s="89" t="n">
        <v>1</v>
      </c>
      <c r="C885" s="94" t="n">
        <v>0</v>
      </c>
      <c r="D885" s="95" t="n">
        <v>-1.1</v>
      </c>
      <c r="E885" s="95" t="n">
        <v>-6.7</v>
      </c>
      <c r="F885" s="95" t="n">
        <v>-16.1</v>
      </c>
      <c r="G885" s="95" t="n">
        <v>-17.7</v>
      </c>
      <c r="H885" s="95" t="n">
        <v>-5.7</v>
      </c>
      <c r="I885" s="95" t="n">
        <v>-15.2</v>
      </c>
      <c r="J885" s="95" t="n">
        <v>-16.8</v>
      </c>
      <c r="K885" s="96" t="inlineStr">
        <is>
          <t>1187 COFOE MEDICAL</t>
        </is>
      </c>
    </row>
    <row r="886">
      <c r="A886" s="16" t="inlineStr">
        <is>
          <t>Mr. Huang Xuelin</t>
        </is>
      </c>
      <c r="B886" s="89" t="n">
        <v>1</v>
      </c>
      <c r="C886" s="94" t="n">
        <v>0</v>
      </c>
      <c r="D886" s="95" t="n">
        <v>-1.1</v>
      </c>
      <c r="E886" s="95" t="n">
        <v>-6.7</v>
      </c>
      <c r="F886" s="95" t="n">
        <v>-16.1</v>
      </c>
      <c r="G886" s="95" t="n">
        <v>-17.7</v>
      </c>
      <c r="H886" s="95" t="n">
        <v>-5.7</v>
      </c>
      <c r="I886" s="95" t="n">
        <v>-15.2</v>
      </c>
      <c r="J886" s="95" t="n">
        <v>-16.8</v>
      </c>
      <c r="K886" s="96" t="inlineStr">
        <is>
          <t>1187 COFOE MEDICAL</t>
        </is>
      </c>
    </row>
    <row r="887">
      <c r="A887" s="16" t="inlineStr">
        <is>
          <t>Ms. Lu Qinchao</t>
        </is>
      </c>
      <c r="B887" s="89" t="n">
        <v>1</v>
      </c>
      <c r="C887" s="94" t="n">
        <v>0</v>
      </c>
      <c r="D887" s="95" t="n">
        <v>-1.1</v>
      </c>
      <c r="E887" s="95" t="n">
        <v>-6.7</v>
      </c>
      <c r="F887" s="95" t="n">
        <v>-16.1</v>
      </c>
      <c r="G887" s="95" t="n">
        <v>-17.7</v>
      </c>
      <c r="H887" s="95" t="n">
        <v>-5.7</v>
      </c>
      <c r="I887" s="95" t="n">
        <v>-15.2</v>
      </c>
      <c r="J887" s="95" t="n">
        <v>-16.8</v>
      </c>
      <c r="K887" s="96" t="inlineStr">
        <is>
          <t>1187 COFOE MEDICAL</t>
        </is>
      </c>
    </row>
    <row r="888">
      <c r="A888" s="16" t="inlineStr">
        <is>
          <t>ODI TRUST LIMITED</t>
        </is>
      </c>
      <c r="B888" s="89" t="n">
        <v>1</v>
      </c>
      <c r="C888" s="94" t="n">
        <v>0</v>
      </c>
      <c r="D888" s="95" t="n">
        <v>-1.1</v>
      </c>
      <c r="E888" s="95" t="n">
        <v>-6.7</v>
      </c>
      <c r="F888" s="95" t="n">
        <v>-16.1</v>
      </c>
      <c r="G888" s="95" t="n">
        <v>-17.7</v>
      </c>
      <c r="H888" s="95" t="n">
        <v>-5.7</v>
      </c>
      <c r="I888" s="95" t="n">
        <v>-15.2</v>
      </c>
      <c r="J888" s="95" t="n">
        <v>-16.8</v>
      </c>
      <c r="K888" s="96" t="inlineStr">
        <is>
          <t>1187 COFOE MEDICAL</t>
        </is>
      </c>
    </row>
    <row r="889">
      <c r="A889" s="16" t="inlineStr">
        <is>
          <t>Sinohealth Technology Holdings Limited</t>
        </is>
      </c>
      <c r="B889" s="89" t="n">
        <v>1</v>
      </c>
      <c r="C889" s="94" t="n">
        <v>0</v>
      </c>
      <c r="D889" s="95" t="n">
        <v>-1.1</v>
      </c>
      <c r="E889" s="95" t="n">
        <v>-6.7</v>
      </c>
      <c r="F889" s="95" t="n">
        <v>-16.1</v>
      </c>
      <c r="G889" s="95" t="n">
        <v>-17.7</v>
      </c>
      <c r="H889" s="95" t="n">
        <v>-5.7</v>
      </c>
      <c r="I889" s="95" t="n">
        <v>-15.2</v>
      </c>
      <c r="J889" s="95" t="n">
        <v>-16.8</v>
      </c>
      <c r="K889" s="96" t="inlineStr">
        <is>
          <t>1187 COFOE MEDICAL</t>
        </is>
      </c>
    </row>
    <row r="890">
      <c r="A890" s="16" t="inlineStr">
        <is>
          <t>Dynamic Holding Co., Ltd</t>
        </is>
      </c>
      <c r="B890" s="89" t="n">
        <v>1</v>
      </c>
      <c r="C890" s="94" t="n">
        <v>0</v>
      </c>
      <c r="D890" s="95" t="n">
        <v>-1.8</v>
      </c>
      <c r="E890" s="95" t="n">
        <v>9.9</v>
      </c>
      <c r="F890" s="95" t="n">
        <v>2.6</v>
      </c>
      <c r="G890" s="95" t="n"/>
      <c r="H890" s="95" t="n">
        <v>11.9</v>
      </c>
      <c r="I890" s="95" t="n">
        <v>4.5</v>
      </c>
      <c r="J890" s="95" t="n"/>
      <c r="K890" s="96" t="inlineStr">
        <is>
          <t>1377 DTECH</t>
        </is>
      </c>
    </row>
    <row r="891">
      <c r="A891" s="16" t="inlineStr">
        <is>
          <t>IFUND SPC– Vision IX SP</t>
        </is>
      </c>
      <c r="B891" s="89" t="n">
        <v>1</v>
      </c>
      <c r="C891" s="94" t="n">
        <v>0</v>
      </c>
      <c r="D891" s="95" t="n">
        <v>-1.8</v>
      </c>
      <c r="E891" s="95" t="n">
        <v>9.9</v>
      </c>
      <c r="F891" s="95" t="n">
        <v>2.6</v>
      </c>
      <c r="G891" s="95" t="n"/>
      <c r="H891" s="95" t="n">
        <v>11.9</v>
      </c>
      <c r="I891" s="95" t="n">
        <v>4.5</v>
      </c>
      <c r="J891" s="95" t="n"/>
      <c r="K891" s="96" t="inlineStr">
        <is>
          <t>1377 DTECH</t>
        </is>
      </c>
    </row>
    <row r="892">
      <c r="A892" s="16" t="inlineStr">
        <is>
          <t>Crane Movement</t>
        </is>
      </c>
      <c r="B892" s="89" t="n">
        <v>1</v>
      </c>
      <c r="C892" s="94" t="n">
        <v>0</v>
      </c>
      <c r="D892" s="95" t="n">
        <v>-1.9</v>
      </c>
      <c r="E892" s="95" t="n">
        <v>0</v>
      </c>
      <c r="F892" s="95" t="n">
        <v>7.7</v>
      </c>
      <c r="G892" s="95" t="n">
        <v>3.4</v>
      </c>
      <c r="H892" s="95" t="n">
        <v>1.9</v>
      </c>
      <c r="I892" s="95" t="n">
        <v>9.800000000000001</v>
      </c>
      <c r="J892" s="95" t="n">
        <v>5.4</v>
      </c>
      <c r="K892" s="96" t="inlineStr">
        <is>
          <t>2510 TS LINES</t>
        </is>
      </c>
    </row>
    <row r="893">
      <c r="A893" s="16" t="inlineStr">
        <is>
          <t>HUNG Chi-Li</t>
        </is>
      </c>
      <c r="B893" s="89" t="n">
        <v>1</v>
      </c>
      <c r="C893" s="94" t="n">
        <v>0</v>
      </c>
      <c r="D893" s="95" t="n">
        <v>-1.9</v>
      </c>
      <c r="E893" s="95" t="n">
        <v>0</v>
      </c>
      <c r="F893" s="95" t="n">
        <v>7.7</v>
      </c>
      <c r="G893" s="95" t="n">
        <v>3.4</v>
      </c>
      <c r="H893" s="95" t="n">
        <v>1.9</v>
      </c>
      <c r="I893" s="95" t="n">
        <v>9.800000000000001</v>
      </c>
      <c r="J893" s="95" t="n">
        <v>5.4</v>
      </c>
      <c r="K893" s="96" t="inlineStr">
        <is>
          <t>2510 TS LINES</t>
        </is>
      </c>
    </row>
    <row r="894">
      <c r="A894" s="16" t="inlineStr">
        <is>
          <t>Indigo Rainbow Limited</t>
        </is>
      </c>
      <c r="B894" s="89" t="n">
        <v>1</v>
      </c>
      <c r="C894" s="94" t="n">
        <v>0</v>
      </c>
      <c r="D894" s="95" t="n">
        <v>-1.9</v>
      </c>
      <c r="E894" s="95" t="n">
        <v>0</v>
      </c>
      <c r="F894" s="95" t="n">
        <v>7.7</v>
      </c>
      <c r="G894" s="95" t="n">
        <v>3.4</v>
      </c>
      <c r="H894" s="95" t="n">
        <v>1.9</v>
      </c>
      <c r="I894" s="95" t="n">
        <v>9.800000000000001</v>
      </c>
      <c r="J894" s="95" t="n">
        <v>5.4</v>
      </c>
      <c r="K894" s="96" t="inlineStr">
        <is>
          <t>2510 TS LINES</t>
        </is>
      </c>
    </row>
    <row r="895">
      <c r="A895" s="16" t="inlineStr">
        <is>
          <t>Metro Shine Group Limited</t>
        </is>
      </c>
      <c r="B895" s="89" t="n">
        <v>1</v>
      </c>
      <c r="C895" s="94" t="n">
        <v>0</v>
      </c>
      <c r="D895" s="95" t="n">
        <v>-1.9</v>
      </c>
      <c r="E895" s="95" t="n">
        <v>0</v>
      </c>
      <c r="F895" s="95" t="n">
        <v>7.7</v>
      </c>
      <c r="G895" s="95" t="n">
        <v>3.4</v>
      </c>
      <c r="H895" s="95" t="n">
        <v>1.9</v>
      </c>
      <c r="I895" s="95" t="n">
        <v>9.800000000000001</v>
      </c>
      <c r="J895" s="95" t="n">
        <v>5.4</v>
      </c>
      <c r="K895" s="96" t="inlineStr">
        <is>
          <t>2510 TS LINES</t>
        </is>
      </c>
    </row>
    <row r="896">
      <c r="A896" s="16" t="inlineStr">
        <is>
          <t>WANG Yi-Fen</t>
        </is>
      </c>
      <c r="B896" s="89" t="n">
        <v>1</v>
      </c>
      <c r="C896" s="94" t="n">
        <v>0</v>
      </c>
      <c r="D896" s="95" t="n">
        <v>-1.9</v>
      </c>
      <c r="E896" s="95" t="n">
        <v>0</v>
      </c>
      <c r="F896" s="95" t="n">
        <v>7.7</v>
      </c>
      <c r="G896" s="95" t="n">
        <v>3.4</v>
      </c>
      <c r="H896" s="95" t="n">
        <v>1.9</v>
      </c>
      <c r="I896" s="95" t="n">
        <v>9.800000000000001</v>
      </c>
      <c r="J896" s="95" t="n">
        <v>5.4</v>
      </c>
      <c r="K896" s="96" t="inlineStr">
        <is>
          <t>2510 TS LINES</t>
        </is>
      </c>
    </row>
    <row r="897">
      <c r="A897" s="16" t="inlineStr">
        <is>
          <t>Worldwide Logistics Holding HK Limited</t>
        </is>
      </c>
      <c r="B897" s="89" t="n">
        <v>1</v>
      </c>
      <c r="C897" s="94" t="n">
        <v>0</v>
      </c>
      <c r="D897" s="95" t="n">
        <v>-1.9</v>
      </c>
      <c r="E897" s="95" t="n">
        <v>0</v>
      </c>
      <c r="F897" s="95" t="n">
        <v>7.7</v>
      </c>
      <c r="G897" s="95" t="n">
        <v>3.4</v>
      </c>
      <c r="H897" s="95" t="n">
        <v>1.9</v>
      </c>
      <c r="I897" s="95" t="n">
        <v>9.800000000000001</v>
      </c>
      <c r="J897" s="95" t="n">
        <v>5.4</v>
      </c>
      <c r="K897" s="96" t="inlineStr">
        <is>
          <t>2510 TS LINES</t>
        </is>
      </c>
    </row>
    <row r="898">
      <c r="A898" s="16" t="inlineStr">
        <is>
          <t>BCC Asia Aggregator, L.P</t>
        </is>
      </c>
      <c r="B898" s="89" t="n">
        <v>1</v>
      </c>
      <c r="C898" s="94" t="n">
        <v>0</v>
      </c>
      <c r="D898" s="95" t="n">
        <v>-2</v>
      </c>
      <c r="E898" s="95" t="n">
        <v>17.4</v>
      </c>
      <c r="F898" s="95" t="n"/>
      <c r="G898" s="95" t="n"/>
      <c r="H898" s="95" t="n">
        <v>19.9</v>
      </c>
      <c r="I898" s="95" t="n"/>
      <c r="J898" s="95" t="n"/>
      <c r="K898" s="96" t="inlineStr">
        <is>
          <t>3308 ZJ INNOLIGHT</t>
        </is>
      </c>
    </row>
    <row r="899">
      <c r="A899" s="16" t="inlineStr">
        <is>
          <t>Chow Tai Fook Enterprises Limited</t>
        </is>
      </c>
      <c r="B899" s="89" t="n">
        <v>1</v>
      </c>
      <c r="C899" s="94" t="n">
        <v>0</v>
      </c>
      <c r="D899" s="95" t="n">
        <v>-2</v>
      </c>
      <c r="E899" s="95" t="n">
        <v>17.4</v>
      </c>
      <c r="F899" s="95" t="n"/>
      <c r="G899" s="95" t="n"/>
      <c r="H899" s="95" t="n">
        <v>19.9</v>
      </c>
      <c r="I899" s="95" t="n"/>
      <c r="J899" s="95" t="n"/>
      <c r="K899" s="96" t="inlineStr">
        <is>
          <t>3308 ZJ INNOLIGHT</t>
        </is>
      </c>
    </row>
    <row r="900">
      <c r="A900" s="16" t="inlineStr">
        <is>
          <t>IDG Capital Project Fund Rhododendron L.P</t>
        </is>
      </c>
      <c r="B900" s="89" t="n">
        <v>1</v>
      </c>
      <c r="C900" s="94" t="n">
        <v>0</v>
      </c>
      <c r="D900" s="95" t="n">
        <v>-2</v>
      </c>
      <c r="E900" s="95" t="n">
        <v>17.4</v>
      </c>
      <c r="F900" s="95" t="n"/>
      <c r="G900" s="95" t="n"/>
      <c r="H900" s="95" t="n">
        <v>19.9</v>
      </c>
      <c r="I900" s="95" t="n"/>
      <c r="J900" s="95" t="n"/>
      <c r="K900" s="96" t="inlineStr">
        <is>
          <t>3308 ZJ INNOLIGHT</t>
        </is>
      </c>
    </row>
    <row r="901">
      <c r="A901" s="16" t="inlineStr">
        <is>
          <t>XINGTAI HOLDING COMPANY (HONG KONG) LIMITED</t>
        </is>
      </c>
      <c r="B901" s="89" t="n">
        <v>1</v>
      </c>
      <c r="C901" s="94" t="n">
        <v>0</v>
      </c>
      <c r="D901" s="95" t="n">
        <v>-2.1</v>
      </c>
      <c r="E901" s="95" t="n">
        <v>-1.4</v>
      </c>
      <c r="F901" s="95" t="n">
        <v>-4.5</v>
      </c>
      <c r="G901" s="95" t="n">
        <v>-6.9</v>
      </c>
      <c r="H901" s="95" t="n">
        <v>0.7</v>
      </c>
      <c r="I901" s="95" t="n">
        <v>-2.5</v>
      </c>
      <c r="J901" s="95" t="n">
        <v>-4.9</v>
      </c>
      <c r="K901" s="96" t="inlineStr">
        <is>
          <t>2482 LOGORY</t>
        </is>
      </c>
    </row>
    <row r="902">
      <c r="A902" s="16" t="inlineStr">
        <is>
          <t>NetEase, Inc</t>
        </is>
      </c>
      <c r="B902" s="89" t="n">
        <v>1</v>
      </c>
      <c r="C902" s="94" t="n">
        <v>0</v>
      </c>
      <c r="D902" s="95" t="n">
        <v>-2.5</v>
      </c>
      <c r="E902" s="95" t="n">
        <v>-2.7</v>
      </c>
      <c r="F902" s="95" t="n">
        <v>-27</v>
      </c>
      <c r="G902" s="95" t="n">
        <v>-55.1</v>
      </c>
      <c r="H902" s="95" t="n">
        <v>-0.2</v>
      </c>
      <c r="I902" s="95" t="n">
        <v>-25.2</v>
      </c>
      <c r="J902" s="95" t="n">
        <v>-54</v>
      </c>
      <c r="K902" s="96" t="inlineStr">
        <is>
          <t>9899 CLOUD VILLAGE</t>
        </is>
      </c>
    </row>
    <row r="903">
      <c r="A903" s="16" t="inlineStr">
        <is>
          <t>Orbis Investment Management Limited</t>
        </is>
      </c>
      <c r="B903" s="89" t="n">
        <v>1</v>
      </c>
      <c r="C903" s="94" t="n">
        <v>0</v>
      </c>
      <c r="D903" s="95" t="n">
        <v>-2.5</v>
      </c>
      <c r="E903" s="95" t="n">
        <v>-2.7</v>
      </c>
      <c r="F903" s="95" t="n">
        <v>-27</v>
      </c>
      <c r="G903" s="95" t="n">
        <v>-55.1</v>
      </c>
      <c r="H903" s="95" t="n">
        <v>-0.2</v>
      </c>
      <c r="I903" s="95" t="n">
        <v>-25.2</v>
      </c>
      <c r="J903" s="95" t="n">
        <v>-54</v>
      </c>
      <c r="K903" s="96" t="inlineStr">
        <is>
          <t>9899 CLOUD VILLAGE</t>
        </is>
      </c>
    </row>
    <row r="904">
      <c r="A904" s="16" t="inlineStr">
        <is>
          <t>Sony Music Entertainment</t>
        </is>
      </c>
      <c r="B904" s="89" t="n">
        <v>1</v>
      </c>
      <c r="C904" s="94" t="n">
        <v>0</v>
      </c>
      <c r="D904" s="95" t="n">
        <v>-2.5</v>
      </c>
      <c r="E904" s="95" t="n">
        <v>-2.7</v>
      </c>
      <c r="F904" s="95" t="n">
        <v>-27</v>
      </c>
      <c r="G904" s="95" t="n">
        <v>-55.1</v>
      </c>
      <c r="H904" s="95" t="n">
        <v>-0.2</v>
      </c>
      <c r="I904" s="95" t="n">
        <v>-25.2</v>
      </c>
      <c r="J904" s="95" t="n">
        <v>-54</v>
      </c>
      <c r="K904" s="96" t="inlineStr">
        <is>
          <t>9899 CLOUD VILLAGE</t>
        </is>
      </c>
    </row>
    <row r="905">
      <c r="A905" s="16" t="inlineStr">
        <is>
          <t>Oceanpine Capital Management Limited</t>
        </is>
      </c>
      <c r="B905" s="89" t="n">
        <v>1</v>
      </c>
      <c r="C905" s="94" t="n">
        <v>0</v>
      </c>
      <c r="D905" s="95" t="n">
        <v>-3</v>
      </c>
      <c r="E905" s="95" t="n">
        <v>-22.6</v>
      </c>
      <c r="F905" s="95" t="n">
        <v>-16.9</v>
      </c>
      <c r="G905" s="95" t="n">
        <v>-17.8</v>
      </c>
      <c r="H905" s="95" t="n">
        <v>-20.2</v>
      </c>
      <c r="I905" s="95" t="n">
        <v>-14.3</v>
      </c>
      <c r="J905" s="95" t="n">
        <v>-15.3</v>
      </c>
      <c r="K905" s="96" t="inlineStr">
        <is>
          <t>2197 CLOVER BIO-B</t>
        </is>
      </c>
    </row>
    <row r="906">
      <c r="A906" s="16" t="inlineStr">
        <is>
          <t>Rock Springs Capital Master Fund LP</t>
        </is>
      </c>
      <c r="B906" s="89" t="n">
        <v>1</v>
      </c>
      <c r="C906" s="94" t="n">
        <v>0</v>
      </c>
      <c r="D906" s="95" t="n">
        <v>-3</v>
      </c>
      <c r="E906" s="95" t="n">
        <v>-22.6</v>
      </c>
      <c r="F906" s="95" t="n">
        <v>-16.9</v>
      </c>
      <c r="G906" s="95" t="n">
        <v>-17.8</v>
      </c>
      <c r="H906" s="95" t="n">
        <v>-20.2</v>
      </c>
      <c r="I906" s="95" t="n">
        <v>-14.3</v>
      </c>
      <c r="J906" s="95" t="n">
        <v>-15.3</v>
      </c>
      <c r="K906" s="96" t="inlineStr">
        <is>
          <t>2197 CLOVER BIO-B</t>
        </is>
      </c>
    </row>
    <row r="907">
      <c r="A907" s="16" t="inlineStr">
        <is>
          <t>Toroa Master Fund</t>
        </is>
      </c>
      <c r="B907" s="89" t="n">
        <v>1</v>
      </c>
      <c r="C907" s="94" t="n">
        <v>0</v>
      </c>
      <c r="D907" s="95" t="n">
        <v>-3</v>
      </c>
      <c r="E907" s="95" t="n">
        <v>-22.6</v>
      </c>
      <c r="F907" s="95" t="n">
        <v>-16.9</v>
      </c>
      <c r="G907" s="95" t="n">
        <v>-17.8</v>
      </c>
      <c r="H907" s="95" t="n">
        <v>-20.2</v>
      </c>
      <c r="I907" s="95" t="n">
        <v>-14.3</v>
      </c>
      <c r="J907" s="95" t="n">
        <v>-15.3</v>
      </c>
      <c r="K907" s="96" t="inlineStr">
        <is>
          <t>2197 CLOVER BIO-B</t>
        </is>
      </c>
    </row>
    <row r="908">
      <c r="A908" s="16" t="inlineStr">
        <is>
          <t>Orinno Investment</t>
        </is>
      </c>
      <c r="B908" s="89" t="n">
        <v>1</v>
      </c>
      <c r="C908" s="94" t="n">
        <v>0</v>
      </c>
      <c r="D908" s="95" t="n">
        <v>-3</v>
      </c>
      <c r="E908" s="95" t="n">
        <v>8</v>
      </c>
      <c r="F908" s="95" t="n">
        <v>2.6</v>
      </c>
      <c r="G908" s="95" t="n">
        <v>-36.1</v>
      </c>
      <c r="H908" s="95" t="n">
        <v>11.3</v>
      </c>
      <c r="I908" s="95" t="n">
        <v>5.9</v>
      </c>
      <c r="J908" s="95" t="n">
        <v>-34.1</v>
      </c>
      <c r="K908" s="96" t="inlineStr">
        <is>
          <t>2416 EDIANYUN</t>
        </is>
      </c>
    </row>
    <row r="909">
      <c r="A909" s="16" t="inlineStr">
        <is>
          <t>Guangzhou Automobile Industry Group Co., Ltd</t>
        </is>
      </c>
      <c r="B909" s="89" t="n">
        <v>1</v>
      </c>
      <c r="C909" s="94" t="n">
        <v>0</v>
      </c>
      <c r="D909" s="95" t="n">
        <v>-3.1</v>
      </c>
      <c r="E909" s="95" t="n">
        <v>-20.6</v>
      </c>
      <c r="F909" s="95" t="n">
        <v>-16.6</v>
      </c>
      <c r="G909" s="95" t="n">
        <v>-34.6</v>
      </c>
      <c r="H909" s="95" t="n">
        <v>-18</v>
      </c>
      <c r="I909" s="95" t="n">
        <v>-13.9</v>
      </c>
      <c r="J909" s="95" t="n">
        <v>-32.5</v>
      </c>
      <c r="K909" s="96" t="inlineStr">
        <is>
          <t>9680 CHENQI TECH</t>
        </is>
      </c>
    </row>
    <row r="910">
      <c r="A910" s="16" t="inlineStr">
        <is>
          <t>Voyager Group Inc</t>
        </is>
      </c>
      <c r="B910" s="89" t="n">
        <v>1</v>
      </c>
      <c r="C910" s="94" t="n">
        <v>0</v>
      </c>
      <c r="D910" s="95" t="n">
        <v>-3.1</v>
      </c>
      <c r="E910" s="95" t="n">
        <v>-20.6</v>
      </c>
      <c r="F910" s="95" t="n">
        <v>-16.6</v>
      </c>
      <c r="G910" s="95" t="n">
        <v>-34.6</v>
      </c>
      <c r="H910" s="95" t="n">
        <v>-18</v>
      </c>
      <c r="I910" s="95" t="n">
        <v>-13.9</v>
      </c>
      <c r="J910" s="95" t="n">
        <v>-32.5</v>
      </c>
      <c r="K910" s="96" t="inlineStr">
        <is>
          <t>9680 CHENQI TECH</t>
        </is>
      </c>
    </row>
    <row r="911">
      <c r="A911" s="16" t="inlineStr">
        <is>
          <t>WeRide Inc</t>
        </is>
      </c>
      <c r="B911" s="89" t="n">
        <v>1</v>
      </c>
      <c r="C911" s="94" t="n">
        <v>0</v>
      </c>
      <c r="D911" s="95" t="n">
        <v>-3.1</v>
      </c>
      <c r="E911" s="95" t="n">
        <v>-20.6</v>
      </c>
      <c r="F911" s="95" t="n">
        <v>-16.6</v>
      </c>
      <c r="G911" s="95" t="n">
        <v>-34.6</v>
      </c>
      <c r="H911" s="95" t="n">
        <v>-18</v>
      </c>
      <c r="I911" s="95" t="n">
        <v>-13.9</v>
      </c>
      <c r="J911" s="95" t="n">
        <v>-32.5</v>
      </c>
      <c r="K911" s="96" t="inlineStr">
        <is>
          <t>9680 CHENQI TECH</t>
        </is>
      </c>
    </row>
    <row r="912">
      <c r="A912" s="16" t="inlineStr">
        <is>
          <t>Nanjing Jingkai Juzhi Investment L.P</t>
        </is>
      </c>
      <c r="B912" s="89" t="n">
        <v>1</v>
      </c>
      <c r="C912" s="94" t="n">
        <v>0</v>
      </c>
      <c r="D912" s="95" t="n">
        <v>-3.2</v>
      </c>
      <c r="E912" s="95" t="n">
        <v>1.3</v>
      </c>
      <c r="F912" s="95" t="n">
        <v>-5.3</v>
      </c>
      <c r="G912" s="95" t="n">
        <v>-69.7</v>
      </c>
      <c r="H912" s="95" t="n">
        <v>4.6</v>
      </c>
      <c r="I912" s="95" t="n">
        <v>-2.2</v>
      </c>
      <c r="J912" s="95" t="n">
        <v>-68.8</v>
      </c>
      <c r="K912" s="96" t="inlineStr">
        <is>
          <t>2438 MOBVOI</t>
        </is>
      </c>
    </row>
    <row r="913">
      <c r="A913" s="16" t="inlineStr">
        <is>
          <t>TradeGo FinTech Limited</t>
        </is>
      </c>
      <c r="B913" s="89" t="n">
        <v>1</v>
      </c>
      <c r="C913" s="94" t="n">
        <v>0</v>
      </c>
      <c r="D913" s="95" t="n">
        <v>-4.1</v>
      </c>
      <c r="E913" s="95" t="n">
        <v>3.6</v>
      </c>
      <c r="F913" s="95" t="n">
        <v>48</v>
      </c>
      <c r="G913" s="95" t="n">
        <v>89.59999999999999</v>
      </c>
      <c r="H913" s="95" t="n">
        <v>8</v>
      </c>
      <c r="I913" s="95" t="n">
        <v>54.2</v>
      </c>
      <c r="J913" s="95" t="n">
        <v>97.59999999999999</v>
      </c>
      <c r="K913" s="96" t="inlineStr">
        <is>
          <t>6610 FLOWING CLOUD</t>
        </is>
      </c>
    </row>
    <row r="914">
      <c r="A914" s="16" t="inlineStr">
        <is>
          <t>Hield International</t>
        </is>
      </c>
      <c r="B914" s="89" t="n">
        <v>1</v>
      </c>
      <c r="C914" s="94" t="n">
        <v>0</v>
      </c>
      <c r="D914" s="95" t="n">
        <v>-4.3</v>
      </c>
      <c r="E914" s="95" t="n">
        <v>-2.5</v>
      </c>
      <c r="F914" s="95" t="n">
        <v>20.8</v>
      </c>
      <c r="G914" s="95" t="n">
        <v>8.6</v>
      </c>
      <c r="H914" s="95" t="n">
        <v>1.9</v>
      </c>
      <c r="I914" s="95" t="n">
        <v>26.2</v>
      </c>
      <c r="J914" s="95" t="n">
        <v>13.5</v>
      </c>
      <c r="K914" s="96" t="inlineStr">
        <is>
          <t>2676 NOVOSENSE</t>
        </is>
      </c>
    </row>
    <row r="915">
      <c r="A915" s="16" t="inlineStr">
        <is>
          <t>Oriza Naxin</t>
        </is>
      </c>
      <c r="B915" s="89" t="n">
        <v>1</v>
      </c>
      <c r="C915" s="94" t="n">
        <v>0</v>
      </c>
      <c r="D915" s="95" t="n">
        <v>-4.3</v>
      </c>
      <c r="E915" s="95" t="n">
        <v>-2.5</v>
      </c>
      <c r="F915" s="95" t="n">
        <v>20.8</v>
      </c>
      <c r="G915" s="95" t="n">
        <v>8.6</v>
      </c>
      <c r="H915" s="95" t="n">
        <v>1.9</v>
      </c>
      <c r="I915" s="95" t="n">
        <v>26.2</v>
      </c>
      <c r="J915" s="95" t="n">
        <v>13.5</v>
      </c>
      <c r="K915" s="96" t="inlineStr">
        <is>
          <t>2676 NOVOSENSE</t>
        </is>
      </c>
    </row>
    <row r="916">
      <c r="A916" s="16" t="inlineStr">
        <is>
          <t>BYTEDANCE (HK) LIMITED</t>
        </is>
      </c>
      <c r="B916" s="89" t="n">
        <v>1</v>
      </c>
      <c r="C916" s="94" t="n">
        <v>0</v>
      </c>
      <c r="D916" s="95" t="n">
        <v>-4.5</v>
      </c>
      <c r="E916" s="95" t="n">
        <v>-1.9</v>
      </c>
      <c r="F916" s="95" t="n">
        <v>-19.4</v>
      </c>
      <c r="G916" s="95" t="n">
        <v>-13.6</v>
      </c>
      <c r="H916" s="95" t="n">
        <v>2.7</v>
      </c>
      <c r="I916" s="95" t="n">
        <v>-15.6</v>
      </c>
      <c r="J916" s="95" t="n">
        <v>-9.5</v>
      </c>
      <c r="K916" s="96" t="inlineStr">
        <is>
          <t>1948 UJU HOLDING</t>
        </is>
      </c>
    </row>
    <row r="917">
      <c r="A917" s="16" t="inlineStr">
        <is>
          <t>I-China Holdings Limited</t>
        </is>
      </c>
      <c r="B917" s="89" t="n">
        <v>1</v>
      </c>
      <c r="C917" s="94" t="n">
        <v>0</v>
      </c>
      <c r="D917" s="95" t="n">
        <v>-4.6</v>
      </c>
      <c r="E917" s="95" t="n">
        <v>-4.5</v>
      </c>
      <c r="F917" s="95" t="n">
        <v>-21.3</v>
      </c>
      <c r="G917" s="95" t="n">
        <v>-61.9</v>
      </c>
      <c r="H917" s="95" t="n">
        <v>0.2</v>
      </c>
      <c r="I917" s="95" t="n">
        <v>-17.5</v>
      </c>
      <c r="J917" s="95" t="n">
        <v>-60</v>
      </c>
      <c r="K917" s="96" t="inlineStr">
        <is>
          <t>6633 QINGCI GAMES</t>
        </is>
      </c>
    </row>
    <row r="918">
      <c r="A918" s="16" t="inlineStr">
        <is>
          <t>Qookka Entertainment Limited</t>
        </is>
      </c>
      <c r="B918" s="89" t="n">
        <v>1</v>
      </c>
      <c r="C918" s="94" t="n">
        <v>0</v>
      </c>
      <c r="D918" s="95" t="n">
        <v>-4.6</v>
      </c>
      <c r="E918" s="95" t="n">
        <v>-4.5</v>
      </c>
      <c r="F918" s="95" t="n">
        <v>-21.3</v>
      </c>
      <c r="G918" s="95" t="n">
        <v>-61.9</v>
      </c>
      <c r="H918" s="95" t="n">
        <v>0.2</v>
      </c>
      <c r="I918" s="95" t="n">
        <v>-17.5</v>
      </c>
      <c r="J918" s="95" t="n">
        <v>-60</v>
      </c>
      <c r="K918" s="96" t="inlineStr">
        <is>
          <t>6633 QINGCI GAMES</t>
        </is>
      </c>
    </row>
    <row r="919">
      <c r="A919" s="16" t="inlineStr">
        <is>
          <t>CYGG Holding Limited</t>
        </is>
      </c>
      <c r="B919" s="89" t="n">
        <v>1</v>
      </c>
      <c r="C919" s="94" t="n">
        <v>0</v>
      </c>
      <c r="D919" s="95" t="n">
        <v>-4.6</v>
      </c>
      <c r="E919" s="95" t="n">
        <v>22.3</v>
      </c>
      <c r="F919" s="95" t="n">
        <v>68.7</v>
      </c>
      <c r="G919" s="95" t="n">
        <v>-0.8</v>
      </c>
      <c r="H919" s="95" t="n">
        <v>28.3</v>
      </c>
      <c r="I919" s="95" t="n">
        <v>76.90000000000001</v>
      </c>
      <c r="J919" s="95" t="n">
        <v>4</v>
      </c>
      <c r="K919" s="96" t="inlineStr">
        <is>
          <t>1511 UISEE TECH</t>
        </is>
      </c>
    </row>
    <row r="920">
      <c r="A920" s="16" t="inlineStr">
        <is>
          <t>Starwin International A LPF</t>
        </is>
      </c>
      <c r="B920" s="89" t="n">
        <v>1</v>
      </c>
      <c r="C920" s="94" t="n">
        <v>0</v>
      </c>
      <c r="D920" s="95" t="n">
        <v>-4.6</v>
      </c>
      <c r="E920" s="95" t="n">
        <v>22.3</v>
      </c>
      <c r="F920" s="95" t="n">
        <v>68.7</v>
      </c>
      <c r="G920" s="95" t="n">
        <v>-0.8</v>
      </c>
      <c r="H920" s="95" t="n">
        <v>28.3</v>
      </c>
      <c r="I920" s="95" t="n">
        <v>76.90000000000001</v>
      </c>
      <c r="J920" s="95" t="n">
        <v>4</v>
      </c>
      <c r="K920" s="96" t="inlineStr">
        <is>
          <t>1511 UISEE TECH</t>
        </is>
      </c>
    </row>
    <row r="921">
      <c r="A921" s="16" t="inlineStr">
        <is>
          <t>Xiongan Autonomous Driving Limited</t>
        </is>
      </c>
      <c r="B921" s="89" t="n">
        <v>1</v>
      </c>
      <c r="C921" s="94" t="n">
        <v>0</v>
      </c>
      <c r="D921" s="95" t="n">
        <v>-4.6</v>
      </c>
      <c r="E921" s="95" t="n">
        <v>22.3</v>
      </c>
      <c r="F921" s="95" t="n">
        <v>68.7</v>
      </c>
      <c r="G921" s="95" t="n">
        <v>-0.8</v>
      </c>
      <c r="H921" s="95" t="n">
        <v>28.3</v>
      </c>
      <c r="I921" s="95" t="n">
        <v>76.90000000000001</v>
      </c>
      <c r="J921" s="95" t="n">
        <v>4</v>
      </c>
      <c r="K921" s="96" t="inlineStr">
        <is>
          <t>1511 UISEE TECH</t>
        </is>
      </c>
    </row>
    <row r="922">
      <c r="A922" s="16" t="inlineStr">
        <is>
          <t>GRANITE ASIA IX VCC</t>
        </is>
      </c>
      <c r="B922" s="89" t="n">
        <v>1</v>
      </c>
      <c r="C922" s="94" t="n">
        <v>0</v>
      </c>
      <c r="D922" s="95" t="n">
        <v>-4.6</v>
      </c>
      <c r="E922" s="95" t="n">
        <v>-5.1</v>
      </c>
      <c r="F922" s="95" t="n">
        <v>-37.2</v>
      </c>
      <c r="G922" s="95" t="n"/>
      <c r="H922" s="95" t="n">
        <v>-0.5</v>
      </c>
      <c r="I922" s="95" t="n">
        <v>-34.2</v>
      </c>
      <c r="J922" s="95" t="n"/>
      <c r="K922" s="96" t="inlineStr">
        <is>
          <t>1688 LINGYI ITECH</t>
        </is>
      </c>
    </row>
    <row r="923">
      <c r="A923" s="16" t="inlineStr">
        <is>
          <t>Honor Information Technology Limited</t>
        </is>
      </c>
      <c r="B923" s="89" t="n">
        <v>1</v>
      </c>
      <c r="C923" s="94" t="n">
        <v>0</v>
      </c>
      <c r="D923" s="95" t="n">
        <v>-4.6</v>
      </c>
      <c r="E923" s="95" t="n">
        <v>-5.1</v>
      </c>
      <c r="F923" s="95" t="n">
        <v>-37.2</v>
      </c>
      <c r="G923" s="95" t="n"/>
      <c r="H923" s="95" t="n">
        <v>-0.5</v>
      </c>
      <c r="I923" s="95" t="n">
        <v>-34.2</v>
      </c>
      <c r="J923" s="95" t="n"/>
      <c r="K923" s="96" t="inlineStr">
        <is>
          <t>1688 LINGYI ITECH</t>
        </is>
      </c>
    </row>
    <row r="924">
      <c r="A924" s="16" t="inlineStr">
        <is>
          <t>Kaide Global Investment Ltd</t>
        </is>
      </c>
      <c r="B924" s="89" t="n">
        <v>1</v>
      </c>
      <c r="C924" s="94" t="n">
        <v>0</v>
      </c>
      <c r="D924" s="95" t="n">
        <v>-4.6</v>
      </c>
      <c r="E924" s="95" t="n">
        <v>-5.1</v>
      </c>
      <c r="F924" s="95" t="n">
        <v>-37.2</v>
      </c>
      <c r="G924" s="95" t="n"/>
      <c r="H924" s="95" t="n">
        <v>-0.5</v>
      </c>
      <c r="I924" s="95" t="n">
        <v>-34.2</v>
      </c>
      <c r="J924" s="95" t="n"/>
      <c r="K924" s="96" t="inlineStr">
        <is>
          <t>1688 LINGYI ITECH</t>
        </is>
      </c>
    </row>
    <row r="925">
      <c r="A925" s="16" t="inlineStr">
        <is>
          <t>Qube Master Fund Ltd</t>
        </is>
      </c>
      <c r="B925" s="89" t="n">
        <v>1</v>
      </c>
      <c r="C925" s="94" t="n">
        <v>0</v>
      </c>
      <c r="D925" s="95" t="n">
        <v>-4.6</v>
      </c>
      <c r="E925" s="95" t="n">
        <v>-5.1</v>
      </c>
      <c r="F925" s="95" t="n">
        <v>-37.2</v>
      </c>
      <c r="G925" s="95" t="n"/>
      <c r="H925" s="95" t="n">
        <v>-0.5</v>
      </c>
      <c r="I925" s="95" t="n">
        <v>-34.2</v>
      </c>
      <c r="J925" s="95" t="n"/>
      <c r="K925" s="96" t="inlineStr">
        <is>
          <t>1688 LINGYI ITECH</t>
        </is>
      </c>
    </row>
    <row r="926">
      <c r="A926" s="16" t="inlineStr">
        <is>
          <t>Ti-Capital (HK) Pioneer Fund III</t>
        </is>
      </c>
      <c r="B926" s="89" t="n">
        <v>1</v>
      </c>
      <c r="C926" s="94" t="n">
        <v>0</v>
      </c>
      <c r="D926" s="95" t="n">
        <v>-4.6</v>
      </c>
      <c r="E926" s="95" t="n">
        <v>-5.1</v>
      </c>
      <c r="F926" s="95" t="n">
        <v>-37.2</v>
      </c>
      <c r="G926" s="95" t="n"/>
      <c r="H926" s="95" t="n">
        <v>-0.5</v>
      </c>
      <c r="I926" s="95" t="n">
        <v>-34.2</v>
      </c>
      <c r="J926" s="95" t="n"/>
      <c r="K926" s="96" t="inlineStr">
        <is>
          <t>1688 LINGYI ITECH</t>
        </is>
      </c>
    </row>
    <row r="927">
      <c r="A927" s="16" t="inlineStr">
        <is>
          <t>Hosen Capital</t>
        </is>
      </c>
      <c r="B927" s="89" t="n">
        <v>1</v>
      </c>
      <c r="C927" s="94" t="n">
        <v>0</v>
      </c>
      <c r="D927" s="95" t="n">
        <v>-5</v>
      </c>
      <c r="E927" s="95" t="n">
        <v>0.1</v>
      </c>
      <c r="F927" s="95" t="n">
        <v>0</v>
      </c>
      <c r="G927" s="95" t="n">
        <v>-2.6</v>
      </c>
      <c r="H927" s="95" t="n">
        <v>5.3</v>
      </c>
      <c r="I927" s="95" t="n">
        <v>5.3</v>
      </c>
      <c r="J927" s="95" t="n">
        <v>2.5</v>
      </c>
      <c r="K927" s="96" t="inlineStr">
        <is>
          <t>2648 ANJOY FOOD</t>
        </is>
      </c>
    </row>
    <row r="928">
      <c r="A928" s="16" t="inlineStr">
        <is>
          <t>FCP Domains</t>
        </is>
      </c>
      <c r="B928" s="89" t="n">
        <v>1</v>
      </c>
      <c r="C928" s="94" t="n">
        <v>0</v>
      </c>
      <c r="D928" s="95" t="n">
        <v>-5</v>
      </c>
      <c r="E928" s="95" t="n">
        <v>0.1</v>
      </c>
      <c r="F928" s="95" t="n">
        <v>0</v>
      </c>
      <c r="G928" s="95" t="n">
        <v>-2.6</v>
      </c>
      <c r="H928" s="95" t="n">
        <v>5.3</v>
      </c>
      <c r="I928" s="95" t="n">
        <v>5.3</v>
      </c>
      <c r="J928" s="95" t="n">
        <v>2.5</v>
      </c>
      <c r="K928" s="96" t="inlineStr">
        <is>
          <t>2648 ANJOY FOOD</t>
        </is>
      </c>
    </row>
    <row r="929">
      <c r="A929" s="16" t="inlineStr">
        <is>
          <t>NonaV erse</t>
        </is>
      </c>
      <c r="B929" s="89" t="n">
        <v>1</v>
      </c>
      <c r="C929" s="94" t="n">
        <v>0</v>
      </c>
      <c r="D929" s="95" t="n">
        <v>-5</v>
      </c>
      <c r="E929" s="95" t="n">
        <v>0.1</v>
      </c>
      <c r="F929" s="95" t="n">
        <v>0</v>
      </c>
      <c r="G929" s="95" t="n">
        <v>-2.6</v>
      </c>
      <c r="H929" s="95" t="n">
        <v>5.3</v>
      </c>
      <c r="I929" s="95" t="n">
        <v>5.3</v>
      </c>
      <c r="J929" s="95" t="n">
        <v>2.5</v>
      </c>
      <c r="K929" s="96" t="inlineStr">
        <is>
          <t>2648 ANJOY FOOD</t>
        </is>
      </c>
    </row>
    <row r="930">
      <c r="A930" s="16" t="inlineStr">
        <is>
          <t>Media Global Management Limited</t>
        </is>
      </c>
      <c r="B930" s="89" t="n">
        <v>1</v>
      </c>
      <c r="C930" s="94" t="n">
        <v>0</v>
      </c>
      <c r="D930" s="95" t="n">
        <v>-5.1</v>
      </c>
      <c r="E930" s="95" t="n">
        <v>-12.1</v>
      </c>
      <c r="F930" s="95" t="n">
        <v>-0.6</v>
      </c>
      <c r="G930" s="95" t="n">
        <v>8</v>
      </c>
      <c r="H930" s="95" t="n">
        <v>-7.4</v>
      </c>
      <c r="I930" s="95" t="n">
        <v>4.8</v>
      </c>
      <c r="J930" s="95" t="n">
        <v>13.8</v>
      </c>
      <c r="K930" s="96" t="inlineStr">
        <is>
          <t>9985 WEILONG</t>
        </is>
      </c>
    </row>
    <row r="931">
      <c r="A931" s="16" t="inlineStr">
        <is>
          <t>Prospect Bridge Value L.P</t>
        </is>
      </c>
      <c r="B931" s="89" t="n">
        <v>1</v>
      </c>
      <c r="C931" s="94" t="n">
        <v>0</v>
      </c>
      <c r="D931" s="95" t="n">
        <v>-5.1</v>
      </c>
      <c r="E931" s="95" t="n">
        <v>-12.1</v>
      </c>
      <c r="F931" s="95" t="n">
        <v>-0.6</v>
      </c>
      <c r="G931" s="95" t="n">
        <v>8</v>
      </c>
      <c r="H931" s="95" t="n">
        <v>-7.4</v>
      </c>
      <c r="I931" s="95" t="n">
        <v>4.8</v>
      </c>
      <c r="J931" s="95" t="n">
        <v>13.8</v>
      </c>
      <c r="K931" s="96" t="inlineStr">
        <is>
          <t>9985 WEILONG</t>
        </is>
      </c>
    </row>
    <row r="932">
      <c r="A932" s="16" t="inlineStr">
        <is>
          <t>Eastland</t>
        </is>
      </c>
      <c r="B932" s="89" t="n">
        <v>1</v>
      </c>
      <c r="C932" s="94" t="n">
        <v>0</v>
      </c>
      <c r="D932" s="95" t="n">
        <v>-5.3</v>
      </c>
      <c r="E932" s="95" t="n">
        <v>-3</v>
      </c>
      <c r="F932" s="95" t="n">
        <v>-7.9</v>
      </c>
      <c r="G932" s="95" t="n">
        <v>-6.3</v>
      </c>
      <c r="H932" s="95" t="n">
        <v>2.4</v>
      </c>
      <c r="I932" s="95" t="n">
        <v>-2.8</v>
      </c>
      <c r="J932" s="95" t="n">
        <v>-1.1</v>
      </c>
      <c r="K932" s="96" t="inlineStr">
        <is>
          <t>2385 READBOY</t>
        </is>
      </c>
    </row>
    <row r="933">
      <c r="A933" s="16" t="inlineStr">
        <is>
          <t>Gui Chunfang</t>
        </is>
      </c>
      <c r="B933" s="89" t="n">
        <v>1</v>
      </c>
      <c r="C933" s="94" t="n">
        <v>0</v>
      </c>
      <c r="D933" s="95" t="n">
        <v>-5.3</v>
      </c>
      <c r="E933" s="95" t="n">
        <v>-3</v>
      </c>
      <c r="F933" s="95" t="n">
        <v>-7.9</v>
      </c>
      <c r="G933" s="95" t="n">
        <v>-6.3</v>
      </c>
      <c r="H933" s="95" t="n">
        <v>2.4</v>
      </c>
      <c r="I933" s="95" t="n">
        <v>-2.8</v>
      </c>
      <c r="J933" s="95" t="n">
        <v>-1.1</v>
      </c>
      <c r="K933" s="96" t="inlineStr">
        <is>
          <t>2385 READBOY</t>
        </is>
      </c>
    </row>
    <row r="934">
      <c r="A934" s="16" t="inlineStr">
        <is>
          <t>Jin Tao</t>
        </is>
      </c>
      <c r="B934" s="89" t="n">
        <v>1</v>
      </c>
      <c r="C934" s="94" t="n">
        <v>0</v>
      </c>
      <c r="D934" s="95" t="n">
        <v>-5.3</v>
      </c>
      <c r="E934" s="95" t="n">
        <v>-3</v>
      </c>
      <c r="F934" s="95" t="n">
        <v>-7.9</v>
      </c>
      <c r="G934" s="95" t="n">
        <v>-6.3</v>
      </c>
      <c r="H934" s="95" t="n">
        <v>2.4</v>
      </c>
      <c r="I934" s="95" t="n">
        <v>-2.8</v>
      </c>
      <c r="J934" s="95" t="n">
        <v>-1.1</v>
      </c>
      <c r="K934" s="96" t="inlineStr">
        <is>
          <t>2385 READBOY</t>
        </is>
      </c>
    </row>
    <row r="935">
      <c r="A935" s="16" t="inlineStr">
        <is>
          <t>Tower Lead</t>
        </is>
      </c>
      <c r="B935" s="89" t="n">
        <v>1</v>
      </c>
      <c r="C935" s="94" t="n">
        <v>0</v>
      </c>
      <c r="D935" s="95" t="n">
        <v>-5.3</v>
      </c>
      <c r="E935" s="95" t="n">
        <v>-3</v>
      </c>
      <c r="F935" s="95" t="n">
        <v>-7.9</v>
      </c>
      <c r="G935" s="95" t="n">
        <v>-6.3</v>
      </c>
      <c r="H935" s="95" t="n">
        <v>2.4</v>
      </c>
      <c r="I935" s="95" t="n">
        <v>-2.8</v>
      </c>
      <c r="J935" s="95" t="n">
        <v>-1.1</v>
      </c>
      <c r="K935" s="96" t="inlineStr">
        <is>
          <t>2385 READBOY</t>
        </is>
      </c>
    </row>
    <row r="936">
      <c r="A936" s="16" t="inlineStr">
        <is>
          <t>Yang Xiaojie</t>
        </is>
      </c>
      <c r="B936" s="89" t="n">
        <v>1</v>
      </c>
      <c r="C936" s="94" t="n">
        <v>0</v>
      </c>
      <c r="D936" s="95" t="n">
        <v>-5.3</v>
      </c>
      <c r="E936" s="95" t="n">
        <v>-3</v>
      </c>
      <c r="F936" s="95" t="n">
        <v>-7.9</v>
      </c>
      <c r="G936" s="95" t="n">
        <v>-6.3</v>
      </c>
      <c r="H936" s="95" t="n">
        <v>2.4</v>
      </c>
      <c r="I936" s="95" t="n">
        <v>-2.8</v>
      </c>
      <c r="J936" s="95" t="n">
        <v>-1.1</v>
      </c>
      <c r="K936" s="96" t="inlineStr">
        <is>
          <t>2385 READBOY</t>
        </is>
      </c>
    </row>
    <row r="937">
      <c r="A937" s="16" t="inlineStr">
        <is>
          <t>Zheng Changping</t>
        </is>
      </c>
      <c r="B937" s="89" t="n">
        <v>1</v>
      </c>
      <c r="C937" s="94" t="n">
        <v>0</v>
      </c>
      <c r="D937" s="95" t="n">
        <v>-5.3</v>
      </c>
      <c r="E937" s="95" t="n">
        <v>-3</v>
      </c>
      <c r="F937" s="95" t="n">
        <v>-7.9</v>
      </c>
      <c r="G937" s="95" t="n">
        <v>-6.3</v>
      </c>
      <c r="H937" s="95" t="n">
        <v>2.4</v>
      </c>
      <c r="I937" s="95" t="n">
        <v>-2.8</v>
      </c>
      <c r="J937" s="95" t="n">
        <v>-1.1</v>
      </c>
      <c r="K937" s="96" t="inlineStr">
        <is>
          <t>2385 READBOY</t>
        </is>
      </c>
    </row>
    <row r="938">
      <c r="A938" s="16" t="inlineStr">
        <is>
          <t>Abax Asian Structured Private Credit Fund III, LP</t>
        </is>
      </c>
      <c r="B938" s="89" t="n">
        <v>1</v>
      </c>
      <c r="C938" s="94" t="n">
        <v>0</v>
      </c>
      <c r="D938" s="95" t="n">
        <v>-5.6</v>
      </c>
      <c r="E938" s="95" t="n">
        <v>-1.5</v>
      </c>
      <c r="F938" s="95" t="n">
        <v>-20.5</v>
      </c>
      <c r="G938" s="95" t="n">
        <v>-19.6</v>
      </c>
      <c r="H938" s="95" t="n">
        <v>4.3</v>
      </c>
      <c r="I938" s="95" t="n">
        <v>-15.8</v>
      </c>
      <c r="J938" s="95" t="n">
        <v>-14.8</v>
      </c>
      <c r="K938" s="96" t="inlineStr">
        <is>
          <t>6639 ARRAIL GROUP</t>
        </is>
      </c>
    </row>
    <row r="939">
      <c r="A939" s="16" t="inlineStr">
        <is>
          <t>Hony Goldstream Special Opportunity Fund I</t>
        </is>
      </c>
      <c r="B939" s="89" t="n">
        <v>1</v>
      </c>
      <c r="C939" s="94" t="n">
        <v>0</v>
      </c>
      <c r="D939" s="95" t="n">
        <v>-6</v>
      </c>
      <c r="E939" s="95" t="n">
        <v>-11.2</v>
      </c>
      <c r="F939" s="95" t="n">
        <v>-28</v>
      </c>
      <c r="G939" s="95" t="n">
        <v>-50.2</v>
      </c>
      <c r="H939" s="95" t="n">
        <v>-5.6</v>
      </c>
      <c r="I939" s="95" t="n">
        <v>-23.4</v>
      </c>
      <c r="J939" s="95" t="n">
        <v>-47.1</v>
      </c>
      <c r="K939" s="96" t="inlineStr">
        <is>
          <t>9600 NEWLINK TECH</t>
        </is>
      </c>
    </row>
    <row r="940">
      <c r="A940" s="16" t="inlineStr">
        <is>
          <t>Mr. Qi</t>
        </is>
      </c>
      <c r="B940" s="89" t="n">
        <v>1</v>
      </c>
      <c r="C940" s="94" t="n">
        <v>0</v>
      </c>
      <c r="D940" s="95" t="n">
        <v>-6.4</v>
      </c>
      <c r="E940" s="95" t="n">
        <v>-2.1</v>
      </c>
      <c r="F940" s="95" t="n">
        <v>45.1</v>
      </c>
      <c r="G940" s="95" t="n">
        <v>157</v>
      </c>
      <c r="H940" s="95" t="n">
        <v>4.6</v>
      </c>
      <c r="I940" s="95" t="n">
        <v>55.1</v>
      </c>
      <c r="J940" s="95" t="n">
        <v>174.7</v>
      </c>
      <c r="K940" s="96" t="inlineStr">
        <is>
          <t>1364 GUMING</t>
        </is>
      </c>
    </row>
    <row r="941">
      <c r="A941" s="16" t="inlineStr">
        <is>
          <t>Mr. Ruan</t>
        </is>
      </c>
      <c r="B941" s="89" t="n">
        <v>1</v>
      </c>
      <c r="C941" s="94" t="n">
        <v>0</v>
      </c>
      <c r="D941" s="95" t="n">
        <v>-6.4</v>
      </c>
      <c r="E941" s="95" t="n">
        <v>-2.1</v>
      </c>
      <c r="F941" s="95" t="n">
        <v>45.1</v>
      </c>
      <c r="G941" s="95" t="n">
        <v>157</v>
      </c>
      <c r="H941" s="95" t="n">
        <v>4.6</v>
      </c>
      <c r="I941" s="95" t="n">
        <v>55.1</v>
      </c>
      <c r="J941" s="95" t="n">
        <v>174.7</v>
      </c>
      <c r="K941" s="96" t="inlineStr">
        <is>
          <t>1364 GUMING</t>
        </is>
      </c>
    </row>
    <row r="942">
      <c r="A942" s="16" t="inlineStr">
        <is>
          <t>Intera Mining Investment Limited</t>
        </is>
      </c>
      <c r="B942" s="89" t="n">
        <v>1</v>
      </c>
      <c r="C942" s="94" t="n">
        <v>0</v>
      </c>
      <c r="D942" s="95" t="n">
        <v>-6.5</v>
      </c>
      <c r="E942" s="95" t="n">
        <v>-2.3</v>
      </c>
      <c r="F942" s="95" t="n">
        <v>-0.4</v>
      </c>
      <c r="G942" s="95" t="n"/>
      <c r="H942" s="95" t="n">
        <v>4.6</v>
      </c>
      <c r="I942" s="95" t="n">
        <v>6.6</v>
      </c>
      <c r="J942" s="95" t="n"/>
      <c r="K942" s="96" t="inlineStr">
        <is>
          <t>6228 MERDEKAGOLD-DRS</t>
        </is>
      </c>
    </row>
    <row r="943">
      <c r="A943" s="16" t="inlineStr">
        <is>
          <t>Mercuria Holdings (Singapore) Pte. Ltd</t>
        </is>
      </c>
      <c r="B943" s="89" t="n">
        <v>1</v>
      </c>
      <c r="C943" s="94" t="n">
        <v>0</v>
      </c>
      <c r="D943" s="95" t="n">
        <v>-6.5</v>
      </c>
      <c r="E943" s="95" t="n">
        <v>-2.3</v>
      </c>
      <c r="F943" s="95" t="n">
        <v>-0.4</v>
      </c>
      <c r="G943" s="95" t="n"/>
      <c r="H943" s="95" t="n">
        <v>4.6</v>
      </c>
      <c r="I943" s="95" t="n">
        <v>6.6</v>
      </c>
      <c r="J943" s="95" t="n"/>
      <c r="K943" s="96" t="inlineStr">
        <is>
          <t>6228 MERDEKAGOLD-DRS</t>
        </is>
      </c>
    </row>
    <row r="944">
      <c r="A944" s="16" t="inlineStr">
        <is>
          <t>Trafigura Group Pte. Ltd</t>
        </is>
      </c>
      <c r="B944" s="89" t="n">
        <v>1</v>
      </c>
      <c r="C944" s="94" t="n">
        <v>0</v>
      </c>
      <c r="D944" s="95" t="n">
        <v>-6.5</v>
      </c>
      <c r="E944" s="95" t="n">
        <v>-2.3</v>
      </c>
      <c r="F944" s="95" t="n">
        <v>-0.4</v>
      </c>
      <c r="G944" s="95" t="n"/>
      <c r="H944" s="95" t="n">
        <v>4.6</v>
      </c>
      <c r="I944" s="95" t="n">
        <v>6.6</v>
      </c>
      <c r="J944" s="95" t="n"/>
      <c r="K944" s="96" t="inlineStr">
        <is>
          <t>6228 MERDEKAGOLD-DRS</t>
        </is>
      </c>
    </row>
    <row r="945">
      <c r="A945" s="16" t="inlineStr">
        <is>
          <t>Wanguo Gold Group Limited</t>
        </is>
      </c>
      <c r="B945" s="89" t="n">
        <v>1</v>
      </c>
      <c r="C945" s="94" t="n">
        <v>0</v>
      </c>
      <c r="D945" s="95" t="n">
        <v>-6.5</v>
      </c>
      <c r="E945" s="95" t="n">
        <v>-2.3</v>
      </c>
      <c r="F945" s="95" t="n">
        <v>-0.4</v>
      </c>
      <c r="G945" s="95" t="n"/>
      <c r="H945" s="95" t="n">
        <v>4.6</v>
      </c>
      <c r="I945" s="95" t="n">
        <v>6.6</v>
      </c>
      <c r="J945" s="95" t="n"/>
      <c r="K945" s="96" t="inlineStr">
        <is>
          <t>6228 MERDEKAGOLD-DRS</t>
        </is>
      </c>
    </row>
    <row r="946">
      <c r="A946" s="16" t="inlineStr">
        <is>
          <t>Sanofi Foreign Participations B.V</t>
        </is>
      </c>
      <c r="B946" s="89" t="n">
        <v>1</v>
      </c>
      <c r="C946" s="94" t="n">
        <v>0</v>
      </c>
      <c r="D946" s="95" t="n">
        <v>-7.5</v>
      </c>
      <c r="E946" s="95" t="n">
        <v>-9.800000000000001</v>
      </c>
      <c r="F946" s="95" t="n">
        <v>-33.8</v>
      </c>
      <c r="G946" s="95" t="n">
        <v>-54.4</v>
      </c>
      <c r="H946" s="95" t="n">
        <v>-2.5</v>
      </c>
      <c r="I946" s="95" t="n">
        <v>-28.4</v>
      </c>
      <c r="J946" s="95" t="n">
        <v>-50.7</v>
      </c>
      <c r="K946" s="96" t="inlineStr">
        <is>
          <t>9955 CLOUDR</t>
        </is>
      </c>
    </row>
    <row r="947">
      <c r="A947" s="16" t="inlineStr">
        <is>
          <t>Tasly International Capital Limited</t>
        </is>
      </c>
      <c r="B947" s="89" t="n">
        <v>1</v>
      </c>
      <c r="C947" s="94" t="n">
        <v>0</v>
      </c>
      <c r="D947" s="95" t="n">
        <v>-7.5</v>
      </c>
      <c r="E947" s="95" t="n">
        <v>-9.800000000000001</v>
      </c>
      <c r="F947" s="95" t="n">
        <v>-33.8</v>
      </c>
      <c r="G947" s="95" t="n">
        <v>-54.4</v>
      </c>
      <c r="H947" s="95" t="n">
        <v>-2.5</v>
      </c>
      <c r="I947" s="95" t="n">
        <v>-28.4</v>
      </c>
      <c r="J947" s="95" t="n">
        <v>-50.7</v>
      </c>
      <c r="K947" s="96" t="inlineStr">
        <is>
          <t>9955 CLOUDR</t>
        </is>
      </c>
    </row>
    <row r="948">
      <c r="A948" s="16" t="inlineStr">
        <is>
          <t>DNCA Finance</t>
        </is>
      </c>
      <c r="B948" s="89" t="n">
        <v>1</v>
      </c>
      <c r="C948" s="94" t="n">
        <v>0</v>
      </c>
      <c r="D948" s="95" t="n">
        <v>-7.6</v>
      </c>
      <c r="E948" s="95" t="n">
        <v>-18</v>
      </c>
      <c r="F948" s="95" t="n">
        <v>-20.8</v>
      </c>
      <c r="G948" s="95" t="n">
        <v>-45.3</v>
      </c>
      <c r="H948" s="95" t="n">
        <v>-11.3</v>
      </c>
      <c r="I948" s="95" t="n">
        <v>-14.3</v>
      </c>
      <c r="J948" s="95" t="n">
        <v>-40.8</v>
      </c>
      <c r="K948" s="96" t="inlineStr">
        <is>
          <t>9960 KINDSTAR GLOBAL</t>
        </is>
      </c>
    </row>
    <row r="949">
      <c r="A949" s="16" t="inlineStr">
        <is>
          <t>Hangzhou High-tech Venture Capital Co., Ltd</t>
        </is>
      </c>
      <c r="B949" s="89" t="n">
        <v>1</v>
      </c>
      <c r="C949" s="94" t="n">
        <v>0</v>
      </c>
      <c r="D949" s="95" t="n">
        <v>-7.6</v>
      </c>
      <c r="E949" s="95" t="n">
        <v>-4.8</v>
      </c>
      <c r="F949" s="95" t="n">
        <v>-5.5</v>
      </c>
      <c r="G949" s="95" t="n">
        <v>-7</v>
      </c>
      <c r="H949" s="95" t="n">
        <v>3.1</v>
      </c>
      <c r="I949" s="95" t="n">
        <v>2.3</v>
      </c>
      <c r="J949" s="95" t="n">
        <v>0.6</v>
      </c>
      <c r="K949" s="96" t="inlineStr">
        <is>
          <t>2598 LIANLIAN</t>
        </is>
      </c>
    </row>
    <row r="950">
      <c r="A950" s="16" t="inlineStr">
        <is>
          <t>Zhongding Capital Fund VIII</t>
        </is>
      </c>
      <c r="B950" s="89" t="n">
        <v>1</v>
      </c>
      <c r="C950" s="94" t="n">
        <v>0</v>
      </c>
      <c r="D950" s="95" t="n">
        <v>-8</v>
      </c>
      <c r="E950" s="95" t="n">
        <v>-20.4</v>
      </c>
      <c r="F950" s="95" t="n">
        <v>-20.8</v>
      </c>
      <c r="G950" s="95" t="n">
        <v>-22.9</v>
      </c>
      <c r="H950" s="95" t="n">
        <v>-13.5</v>
      </c>
      <c r="I950" s="95" t="n">
        <v>-13.9</v>
      </c>
      <c r="J950" s="95" t="n">
        <v>-16.1</v>
      </c>
      <c r="K950" s="96" t="inlineStr">
        <is>
          <t>0699 JOYSON ELEC</t>
        </is>
      </c>
    </row>
    <row r="951">
      <c r="A951" s="16" t="inlineStr">
        <is>
          <t>Vandi (CCB International)</t>
        </is>
      </c>
      <c r="B951" s="89" t="n">
        <v>1</v>
      </c>
      <c r="C951" s="94" t="n">
        <v>0</v>
      </c>
      <c r="D951" s="95" t="n">
        <v>-8</v>
      </c>
      <c r="E951" s="95" t="n">
        <v>-20.4</v>
      </c>
      <c r="F951" s="95" t="n">
        <v>-20.8</v>
      </c>
      <c r="G951" s="95" t="n">
        <v>-22.9</v>
      </c>
      <c r="H951" s="95" t="n">
        <v>-13.5</v>
      </c>
      <c r="I951" s="95" t="n">
        <v>-13.9</v>
      </c>
      <c r="J951" s="95" t="n">
        <v>-16.1</v>
      </c>
      <c r="K951" s="96" t="inlineStr">
        <is>
          <t>0699 JOYSON ELEC</t>
        </is>
      </c>
    </row>
    <row r="952">
      <c r="A952" s="16" t="inlineStr">
        <is>
          <t>Fidelidade (Fosun)</t>
        </is>
      </c>
      <c r="B952" s="89" t="n">
        <v>1</v>
      </c>
      <c r="C952" s="94" t="n">
        <v>0</v>
      </c>
      <c r="D952" s="95" t="n">
        <v>-8</v>
      </c>
      <c r="E952" s="95" t="n">
        <v>-20.4</v>
      </c>
      <c r="F952" s="95" t="n">
        <v>-20.8</v>
      </c>
      <c r="G952" s="95" t="n">
        <v>-22.9</v>
      </c>
      <c r="H952" s="95" t="n">
        <v>-13.5</v>
      </c>
      <c r="I952" s="95" t="n">
        <v>-13.9</v>
      </c>
      <c r="J952" s="95" t="n">
        <v>-16.1</v>
      </c>
      <c r="K952" s="96" t="inlineStr">
        <is>
          <t>0699 JOYSON ELEC</t>
        </is>
      </c>
    </row>
    <row r="953">
      <c r="A953" s="16" t="inlineStr">
        <is>
          <t>Yanlord Investment Limited</t>
        </is>
      </c>
      <c r="B953" s="89" t="n">
        <v>1</v>
      </c>
      <c r="C953" s="94" t="n">
        <v>0</v>
      </c>
      <c r="D953" s="95" t="n">
        <v>-8.699999999999999</v>
      </c>
      <c r="E953" s="95" t="n">
        <v>5.8</v>
      </c>
      <c r="F953" s="95" t="n">
        <v>-13.9</v>
      </c>
      <c r="G953" s="95" t="n">
        <v>-13.3</v>
      </c>
      <c r="H953" s="95" t="n">
        <v>15.8</v>
      </c>
      <c r="I953" s="95" t="n">
        <v>-5.7</v>
      </c>
      <c r="J953" s="95" t="n">
        <v>-5.1</v>
      </c>
      <c r="K953" s="96" t="inlineStr">
        <is>
          <t>2153 TAT HONG EQUIP</t>
        </is>
      </c>
    </row>
    <row r="954">
      <c r="A954" s="16" t="inlineStr">
        <is>
          <t>Hello Inc</t>
        </is>
      </c>
      <c r="B954" s="89" t="n">
        <v>1</v>
      </c>
      <c r="C954" s="94" t="n">
        <v>0</v>
      </c>
      <c r="D954" s="95" t="n">
        <v>-9.300000000000001</v>
      </c>
      <c r="E954" s="95" t="n">
        <v>-6.9</v>
      </c>
      <c r="F954" s="95" t="n">
        <v>-19.9</v>
      </c>
      <c r="G954" s="95" t="n">
        <v>-52</v>
      </c>
      <c r="H954" s="95" t="n">
        <v>2.6</v>
      </c>
      <c r="I954" s="95" t="n">
        <v>-11.7</v>
      </c>
      <c r="J954" s="95" t="n">
        <v>-47.1</v>
      </c>
      <c r="K954" s="96" t="inlineStr">
        <is>
          <t>9699 SF INTRA-CITY</t>
        </is>
      </c>
    </row>
    <row r="955">
      <c r="A955" s="16" t="inlineStr">
        <is>
          <t>Taobao China Holding Limited</t>
        </is>
      </c>
      <c r="B955" s="89" t="n">
        <v>1</v>
      </c>
      <c r="C955" s="94" t="n">
        <v>0</v>
      </c>
      <c r="D955" s="95" t="n">
        <v>-9.300000000000001</v>
      </c>
      <c r="E955" s="95" t="n">
        <v>-6.9</v>
      </c>
      <c r="F955" s="95" t="n">
        <v>-19.9</v>
      </c>
      <c r="G955" s="95" t="n">
        <v>-52</v>
      </c>
      <c r="H955" s="95" t="n">
        <v>2.6</v>
      </c>
      <c r="I955" s="95" t="n">
        <v>-11.7</v>
      </c>
      <c r="J955" s="95" t="n">
        <v>-47.1</v>
      </c>
      <c r="K955" s="96" t="inlineStr">
        <is>
          <t>9699 SF INTRA-CITY</t>
        </is>
      </c>
    </row>
    <row r="956">
      <c r="A956" s="16" t="inlineStr">
        <is>
          <t>Qindao Gantong</t>
        </is>
      </c>
      <c r="B956" s="89" t="n">
        <v>1</v>
      </c>
      <c r="C956" s="94" t="n">
        <v>0</v>
      </c>
      <c r="D956" s="95" t="n">
        <v>-11.7</v>
      </c>
      <c r="E956" s="95" t="n">
        <v>-10.2</v>
      </c>
      <c r="F956" s="95" t="n">
        <v>-27.9</v>
      </c>
      <c r="G956" s="95" t="n">
        <v>-24.9</v>
      </c>
      <c r="H956" s="95" t="n">
        <v>1.7</v>
      </c>
      <c r="I956" s="95" t="n">
        <v>-18.3</v>
      </c>
      <c r="J956" s="95" t="n">
        <v>-14.9</v>
      </c>
      <c r="K956" s="96" t="inlineStr">
        <is>
          <t>0638 FIBOCOM</t>
        </is>
      </c>
    </row>
    <row r="957">
      <c r="A957" s="16" t="inlineStr">
        <is>
          <t>Genimous Investment</t>
        </is>
      </c>
      <c r="B957" s="89" t="n">
        <v>1</v>
      </c>
      <c r="C957" s="94" t="n">
        <v>0</v>
      </c>
      <c r="D957" s="95" t="n">
        <v>-11.7</v>
      </c>
      <c r="E957" s="95" t="n">
        <v>-10.2</v>
      </c>
      <c r="F957" s="95" t="n">
        <v>-27.9</v>
      </c>
      <c r="G957" s="95" t="n">
        <v>-24.9</v>
      </c>
      <c r="H957" s="95" t="n">
        <v>1.7</v>
      </c>
      <c r="I957" s="95" t="n">
        <v>-18.3</v>
      </c>
      <c r="J957" s="95" t="n">
        <v>-14.9</v>
      </c>
      <c r="K957" s="96" t="inlineStr">
        <is>
          <t>0638 FIBOCOM</t>
        </is>
      </c>
    </row>
    <row r="958">
      <c r="A958" s="16" t="inlineStr">
        <is>
          <t>Mr. Zhang Xiaolei</t>
        </is>
      </c>
      <c r="B958" s="89" t="n">
        <v>1</v>
      </c>
      <c r="C958" s="94" t="n">
        <v>0</v>
      </c>
      <c r="D958" s="95" t="n">
        <v>-11.7</v>
      </c>
      <c r="E958" s="95" t="n">
        <v>-10.2</v>
      </c>
      <c r="F958" s="95" t="n">
        <v>-27.9</v>
      </c>
      <c r="G958" s="95" t="n">
        <v>-24.9</v>
      </c>
      <c r="H958" s="95" t="n">
        <v>1.7</v>
      </c>
      <c r="I958" s="95" t="n">
        <v>-18.3</v>
      </c>
      <c r="J958" s="95" t="n">
        <v>-14.9</v>
      </c>
      <c r="K958" s="96" t="inlineStr">
        <is>
          <t>0638 FIBOCOM</t>
        </is>
      </c>
    </row>
    <row r="959">
      <c r="A959" s="16" t="inlineStr">
        <is>
          <t>GTINV</t>
        </is>
      </c>
      <c r="B959" s="89" t="n">
        <v>1</v>
      </c>
      <c r="C959" s="94" t="n">
        <v>0</v>
      </c>
      <c r="D959" s="95" t="n">
        <v>-11.7</v>
      </c>
      <c r="E959" s="95" t="n">
        <v>-10.2</v>
      </c>
      <c r="F959" s="95" t="n">
        <v>-27.9</v>
      </c>
      <c r="G959" s="95" t="n">
        <v>-24.9</v>
      </c>
      <c r="H959" s="95" t="n">
        <v>1.7</v>
      </c>
      <c r="I959" s="95" t="n">
        <v>-18.3</v>
      </c>
      <c r="J959" s="95" t="n">
        <v>-14.9</v>
      </c>
      <c r="K959" s="96" t="inlineStr">
        <is>
          <t>0638 FIBOCOM</t>
        </is>
      </c>
    </row>
    <row r="960">
      <c r="A960" s="16" t="inlineStr">
        <is>
          <t>Shunjie Investment</t>
        </is>
      </c>
      <c r="B960" s="89" t="n">
        <v>1</v>
      </c>
      <c r="C960" s="94" t="n">
        <v>0</v>
      </c>
      <c r="D960" s="95" t="n">
        <v>-11.9</v>
      </c>
      <c r="E960" s="95" t="n">
        <v>-18.5</v>
      </c>
      <c r="F960" s="95" t="n">
        <v>-16.1</v>
      </c>
      <c r="G960" s="95" t="n">
        <v>-31.8</v>
      </c>
      <c r="H960" s="95" t="n">
        <v>-7.5</v>
      </c>
      <c r="I960" s="95" t="n">
        <v>-4.8</v>
      </c>
      <c r="J960" s="95" t="n">
        <v>-22.6</v>
      </c>
      <c r="K960" s="96" t="inlineStr">
        <is>
          <t>2619 XJ ELECTRICS</t>
        </is>
      </c>
    </row>
    <row r="961">
      <c r="A961" s="16" t="inlineStr">
        <is>
          <t>Xinghuang Holdings</t>
        </is>
      </c>
      <c r="B961" s="89" t="n">
        <v>1</v>
      </c>
      <c r="C961" s="94" t="n">
        <v>0</v>
      </c>
      <c r="D961" s="95" t="n">
        <v>-11.9</v>
      </c>
      <c r="E961" s="95" t="n">
        <v>-18.5</v>
      </c>
      <c r="F961" s="95" t="n">
        <v>-16.1</v>
      </c>
      <c r="G961" s="95" t="n">
        <v>-31.8</v>
      </c>
      <c r="H961" s="95" t="n">
        <v>-7.5</v>
      </c>
      <c r="I961" s="95" t="n">
        <v>-4.8</v>
      </c>
      <c r="J961" s="95" t="n">
        <v>-22.6</v>
      </c>
      <c r="K961" s="96" t="inlineStr">
        <is>
          <t>2619 XJ ELECTRICS</t>
        </is>
      </c>
    </row>
    <row r="962">
      <c r="A962" s="16" t="inlineStr">
        <is>
          <t>Yunxing Technology</t>
        </is>
      </c>
      <c r="B962" s="89" t="n">
        <v>1</v>
      </c>
      <c r="C962" s="94" t="n">
        <v>0</v>
      </c>
      <c r="D962" s="95" t="n">
        <v>-11.9</v>
      </c>
      <c r="E962" s="95" t="n">
        <v>-18.5</v>
      </c>
      <c r="F962" s="95" t="n">
        <v>-16.1</v>
      </c>
      <c r="G962" s="95" t="n">
        <v>-31.8</v>
      </c>
      <c r="H962" s="95" t="n">
        <v>-7.5</v>
      </c>
      <c r="I962" s="95" t="n">
        <v>-4.8</v>
      </c>
      <c r="J962" s="95" t="n">
        <v>-22.6</v>
      </c>
      <c r="K962" s="96" t="inlineStr">
        <is>
          <t>2619 XJ ELECTRICS</t>
        </is>
      </c>
    </row>
    <row r="963">
      <c r="A963" s="16" t="inlineStr">
        <is>
          <t>Lucky Advent Limited</t>
        </is>
      </c>
      <c r="B963" s="89" t="n">
        <v>1</v>
      </c>
      <c r="C963" s="94" t="n">
        <v>0</v>
      </c>
      <c r="D963" s="95" t="n">
        <v>-12</v>
      </c>
      <c r="E963" s="95" t="n">
        <v>-9</v>
      </c>
      <c r="F963" s="95" t="n">
        <v>-23.7</v>
      </c>
      <c r="G963" s="95" t="n">
        <v>-38.3</v>
      </c>
      <c r="H963" s="95" t="n">
        <v>3.4</v>
      </c>
      <c r="I963" s="95" t="n">
        <v>-13.3</v>
      </c>
      <c r="J963" s="95" t="n">
        <v>-29.9</v>
      </c>
      <c r="K963" s="96" t="inlineStr">
        <is>
          <t>9982 CENTRALCHINA MT</t>
        </is>
      </c>
    </row>
    <row r="964">
      <c r="A964" s="16" t="inlineStr">
        <is>
          <t>Action Chain</t>
        </is>
      </c>
      <c r="B964" s="89" t="n">
        <v>1</v>
      </c>
      <c r="C964" s="94" t="n">
        <v>0</v>
      </c>
      <c r="D964" s="95" t="n">
        <v>-12.5</v>
      </c>
      <c r="E964" s="95" t="n">
        <v>-19.6</v>
      </c>
      <c r="F964" s="95" t="n">
        <v>-11.3</v>
      </c>
      <c r="G964" s="95" t="n">
        <v>3.2</v>
      </c>
      <c r="H964" s="95" t="n">
        <v>-8.1</v>
      </c>
      <c r="I964" s="95" t="n">
        <v>1.4</v>
      </c>
      <c r="J964" s="95" t="n">
        <v>18</v>
      </c>
      <c r="K964" s="96" t="inlineStr">
        <is>
          <t>6831 GREEN TEA GROUP</t>
        </is>
      </c>
    </row>
    <row r="965">
      <c r="A965" s="16" t="inlineStr">
        <is>
          <t>Chia Tai</t>
        </is>
      </c>
      <c r="B965" s="89" t="n">
        <v>1</v>
      </c>
      <c r="C965" s="94" t="n">
        <v>0</v>
      </c>
      <c r="D965" s="95" t="n">
        <v>-12.5</v>
      </c>
      <c r="E965" s="95" t="n">
        <v>-19.6</v>
      </c>
      <c r="F965" s="95" t="n">
        <v>-11.3</v>
      </c>
      <c r="G965" s="95" t="n">
        <v>3.2</v>
      </c>
      <c r="H965" s="95" t="n">
        <v>-8.1</v>
      </c>
      <c r="I965" s="95" t="n">
        <v>1.4</v>
      </c>
      <c r="J965" s="95" t="n">
        <v>18</v>
      </c>
      <c r="K965" s="96" t="inlineStr">
        <is>
          <t>6831 GREEN TEA GROUP</t>
        </is>
      </c>
    </row>
    <row r="966">
      <c r="A966" s="16" t="inlineStr">
        <is>
          <t>Grand Rejuvenation Premium Selection Fund SPC</t>
        </is>
      </c>
      <c r="B966" s="89" t="n">
        <v>1</v>
      </c>
      <c r="C966" s="94" t="n">
        <v>0</v>
      </c>
      <c r="D966" s="95" t="n">
        <v>-13.5</v>
      </c>
      <c r="E966" s="95" t="n">
        <v>-19.1</v>
      </c>
      <c r="F966" s="95" t="n">
        <v>-42.9</v>
      </c>
      <c r="G966" s="95" t="n">
        <v>-39.2</v>
      </c>
      <c r="H966" s="95" t="n">
        <v>-6.4</v>
      </c>
      <c r="I966" s="95" t="n">
        <v>-34</v>
      </c>
      <c r="J966" s="95" t="n">
        <v>-29.7</v>
      </c>
      <c r="K966" s="96" t="inlineStr">
        <is>
          <t>2150 NAYUKI</t>
        </is>
      </c>
    </row>
    <row r="967">
      <c r="A967" s="16" t="inlineStr">
        <is>
          <t>Xiangjiang Zhicheng (Hunan state fund)</t>
        </is>
      </c>
      <c r="B967" s="89" t="n">
        <v>1</v>
      </c>
      <c r="C967" s="94" t="n">
        <v>0</v>
      </c>
      <c r="D967" s="95" t="n">
        <v>-13.7</v>
      </c>
      <c r="E967" s="95" t="n">
        <v>-15.2</v>
      </c>
      <c r="F967" s="95" t="n">
        <v>-7.8</v>
      </c>
      <c r="G967" s="95" t="n">
        <v>-11.8</v>
      </c>
      <c r="H967" s="95" t="n">
        <v>-1.8</v>
      </c>
      <c r="I967" s="95" t="n">
        <v>6.8</v>
      </c>
      <c r="J967" s="95" t="n">
        <v>2.2</v>
      </c>
      <c r="K967" s="96" t="inlineStr">
        <is>
          <t>3881 CIDI</t>
        </is>
      </c>
    </row>
    <row r="968">
      <c r="A968" s="16" t="inlineStr">
        <is>
          <t>Zhijia No. 1 (Nanning Ruiyue LP)</t>
        </is>
      </c>
      <c r="B968" s="89" t="n">
        <v>1</v>
      </c>
      <c r="C968" s="94" t="n">
        <v>0</v>
      </c>
      <c r="D968" s="95" t="n">
        <v>-13.7</v>
      </c>
      <c r="E968" s="95" t="n">
        <v>-15.2</v>
      </c>
      <c r="F968" s="95" t="n">
        <v>-7.8</v>
      </c>
      <c r="G968" s="95" t="n">
        <v>-11.8</v>
      </c>
      <c r="H968" s="95" t="n">
        <v>-1.8</v>
      </c>
      <c r="I968" s="95" t="n">
        <v>6.8</v>
      </c>
      <c r="J968" s="95" t="n">
        <v>2.2</v>
      </c>
      <c r="K968" s="96" t="inlineStr">
        <is>
          <t>3881 CIDI</t>
        </is>
      </c>
    </row>
    <row r="969">
      <c r="A969" s="16" t="inlineStr">
        <is>
          <t>EVE Asia</t>
        </is>
      </c>
      <c r="B969" s="89" t="n">
        <v>1</v>
      </c>
      <c r="C969" s="94" t="n">
        <v>0</v>
      </c>
      <c r="D969" s="95" t="n">
        <v>-14.2</v>
      </c>
      <c r="E969" s="95" t="n">
        <v>-16.2</v>
      </c>
      <c r="F969" s="95" t="n">
        <v>-3.5</v>
      </c>
      <c r="G969" s="95" t="n">
        <v>25.2</v>
      </c>
      <c r="H969" s="95" t="n">
        <v>-2.4</v>
      </c>
      <c r="I969" s="95" t="n">
        <v>12.4</v>
      </c>
      <c r="J969" s="95" t="n">
        <v>45.8</v>
      </c>
      <c r="K969" s="96" t="inlineStr">
        <is>
          <t>2643 CAOCAO INC</t>
        </is>
      </c>
    </row>
    <row r="970">
      <c r="A970" s="16" t="inlineStr">
        <is>
          <t>RoboSense Hong Kong</t>
        </is>
      </c>
      <c r="B970" s="89" t="n">
        <v>1</v>
      </c>
      <c r="C970" s="94" t="n">
        <v>0</v>
      </c>
      <c r="D970" s="95" t="n">
        <v>-14.2</v>
      </c>
      <c r="E970" s="95" t="n">
        <v>-16.2</v>
      </c>
      <c r="F970" s="95" t="n">
        <v>-3.5</v>
      </c>
      <c r="G970" s="95" t="n">
        <v>25.2</v>
      </c>
      <c r="H970" s="95" t="n">
        <v>-2.4</v>
      </c>
      <c r="I970" s="95" t="n">
        <v>12.4</v>
      </c>
      <c r="J970" s="95" t="n">
        <v>45.8</v>
      </c>
      <c r="K970" s="96" t="inlineStr">
        <is>
          <t>2643 CAOCAO INC</t>
        </is>
      </c>
    </row>
    <row r="971">
      <c r="A971" s="16" t="inlineStr">
        <is>
          <t>Eurus Holdings SPC</t>
        </is>
      </c>
      <c r="B971" s="89" t="n">
        <v>1</v>
      </c>
      <c r="C971" s="94" t="n">
        <v>0</v>
      </c>
      <c r="D971" s="95" t="n">
        <v>-14.6</v>
      </c>
      <c r="E971" s="95" t="n">
        <v>21.9</v>
      </c>
      <c r="F971" s="95" t="n">
        <v>-42.2</v>
      </c>
      <c r="G971" s="95" t="n"/>
      <c r="H971" s="95" t="n">
        <v>42.7</v>
      </c>
      <c r="I971" s="95" t="n">
        <v>-32.3</v>
      </c>
      <c r="J971" s="95" t="n"/>
      <c r="K971" s="96" t="inlineStr">
        <is>
          <t>3952 LAIFUAL</t>
        </is>
      </c>
    </row>
    <row r="972">
      <c r="A972" s="16" t="inlineStr">
        <is>
          <t>CaaS Capital Master Fund LP</t>
        </is>
      </c>
      <c r="B972" s="89" t="n">
        <v>1</v>
      </c>
      <c r="C972" s="94" t="n">
        <v>0</v>
      </c>
      <c r="D972" s="95" t="n">
        <v>-14.8</v>
      </c>
      <c r="E972" s="95" t="n">
        <v>-32.1</v>
      </c>
      <c r="F972" s="95" t="n">
        <v>-20.9</v>
      </c>
      <c r="G972" s="95" t="n">
        <v>-52.4</v>
      </c>
      <c r="H972" s="95" t="n">
        <v>-20.4</v>
      </c>
      <c r="I972" s="95" t="n">
        <v>-7.3</v>
      </c>
      <c r="J972" s="95" t="n">
        <v>-44.1</v>
      </c>
      <c r="K972" s="96" t="inlineStr">
        <is>
          <t>6622 ZHAOKE OPHTH-B</t>
        </is>
      </c>
    </row>
    <row r="973">
      <c r="A973" s="16" t="inlineStr">
        <is>
          <t>Jennison Associates LLC</t>
        </is>
      </c>
      <c r="B973" s="89" t="n">
        <v>1</v>
      </c>
      <c r="C973" s="94" t="n">
        <v>0</v>
      </c>
      <c r="D973" s="95" t="n">
        <v>-14.8</v>
      </c>
      <c r="E973" s="95" t="n">
        <v>-32.1</v>
      </c>
      <c r="F973" s="95" t="n">
        <v>-20.9</v>
      </c>
      <c r="G973" s="95" t="n">
        <v>-52.4</v>
      </c>
      <c r="H973" s="95" t="n">
        <v>-20.4</v>
      </c>
      <c r="I973" s="95" t="n">
        <v>-7.3</v>
      </c>
      <c r="J973" s="95" t="n">
        <v>-44.1</v>
      </c>
      <c r="K973" s="96" t="inlineStr">
        <is>
          <t>6622 ZHAOKE OPHTH-B</t>
        </is>
      </c>
    </row>
    <row r="974">
      <c r="A974" s="16" t="inlineStr">
        <is>
          <t>Mass Ave Global, Inc</t>
        </is>
      </c>
      <c r="B974" s="89" t="n">
        <v>1</v>
      </c>
      <c r="C974" s="94" t="n">
        <v>0</v>
      </c>
      <c r="D974" s="95" t="n">
        <v>-14.8</v>
      </c>
      <c r="E974" s="95" t="n">
        <v>-32.1</v>
      </c>
      <c r="F974" s="95" t="n">
        <v>-20.9</v>
      </c>
      <c r="G974" s="95" t="n">
        <v>-52.4</v>
      </c>
      <c r="H974" s="95" t="n">
        <v>-20.4</v>
      </c>
      <c r="I974" s="95" t="n">
        <v>-7.3</v>
      </c>
      <c r="J974" s="95" t="n">
        <v>-44.1</v>
      </c>
      <c r="K974" s="96" t="inlineStr">
        <is>
          <t>6622 ZHAOKE OPHTH-B</t>
        </is>
      </c>
    </row>
    <row r="975">
      <c r="A975" s="16" t="inlineStr">
        <is>
          <t>VMS Zhaoke Investment Fund SP</t>
        </is>
      </c>
      <c r="B975" s="89" t="n">
        <v>1</v>
      </c>
      <c r="C975" s="94" t="n">
        <v>0</v>
      </c>
      <c r="D975" s="95" t="n">
        <v>-14.8</v>
      </c>
      <c r="E975" s="95" t="n">
        <v>-32.1</v>
      </c>
      <c r="F975" s="95" t="n">
        <v>-20.9</v>
      </c>
      <c r="G975" s="95" t="n">
        <v>-52.4</v>
      </c>
      <c r="H975" s="95" t="n">
        <v>-20.4</v>
      </c>
      <c r="I975" s="95" t="n">
        <v>-7.3</v>
      </c>
      <c r="J975" s="95" t="n">
        <v>-44.1</v>
      </c>
      <c r="K975" s="96" t="inlineStr">
        <is>
          <t>6622 ZHAOKE OPHTH-B</t>
        </is>
      </c>
    </row>
    <row r="976">
      <c r="A976" s="16" t="inlineStr">
        <is>
          <t>Accel Group Holdings Limited</t>
        </is>
      </c>
      <c r="B976" s="89" t="n">
        <v>1</v>
      </c>
      <c r="C976" s="94" t="n">
        <v>0</v>
      </c>
      <c r="D976" s="95" t="n">
        <v>-15.1</v>
      </c>
      <c r="E976" s="95" t="n">
        <v>-39.7</v>
      </c>
      <c r="F976" s="95" t="n">
        <v>-37</v>
      </c>
      <c r="G976" s="95" t="n">
        <v>-44.5</v>
      </c>
      <c r="H976" s="95" t="n">
        <v>-29</v>
      </c>
      <c r="I976" s="95" t="n">
        <v>-25.8</v>
      </c>
      <c r="J976" s="95" t="n">
        <v>-34.7</v>
      </c>
      <c r="K976" s="96" t="inlineStr">
        <is>
          <t>9639 WING LEE DEV</t>
        </is>
      </c>
    </row>
    <row r="977">
      <c r="A977" s="16" t="inlineStr">
        <is>
          <t>Cederberg Capital Limited</t>
        </is>
      </c>
      <c r="B977" s="89" t="n">
        <v>1</v>
      </c>
      <c r="C977" s="94" t="n">
        <v>0</v>
      </c>
      <c r="D977" s="95" t="n">
        <v>-16</v>
      </c>
      <c r="E977" s="95" t="n">
        <v>-23.1</v>
      </c>
      <c r="F977" s="95" t="n">
        <v>-35.1</v>
      </c>
      <c r="G977" s="95" t="n">
        <v>-40.6</v>
      </c>
      <c r="H977" s="95" t="n">
        <v>-8.4</v>
      </c>
      <c r="I977" s="95" t="n">
        <v>-22.6</v>
      </c>
      <c r="J977" s="95" t="n">
        <v>-29.2</v>
      </c>
      <c r="K977" s="96" t="inlineStr">
        <is>
          <t>6608 BAIRONG-W</t>
        </is>
      </c>
    </row>
    <row r="978">
      <c r="A978" s="16" t="inlineStr">
        <is>
          <t>Franchise Fund LP</t>
        </is>
      </c>
      <c r="B978" s="89" t="n">
        <v>1</v>
      </c>
      <c r="C978" s="94" t="n">
        <v>0</v>
      </c>
      <c r="D978" s="95" t="n">
        <v>-16</v>
      </c>
      <c r="E978" s="95" t="n">
        <v>-23.1</v>
      </c>
      <c r="F978" s="95" t="n">
        <v>-35.1</v>
      </c>
      <c r="G978" s="95" t="n">
        <v>-40.6</v>
      </c>
      <c r="H978" s="95" t="n">
        <v>-8.4</v>
      </c>
      <c r="I978" s="95" t="n">
        <v>-22.6</v>
      </c>
      <c r="J978" s="95" t="n">
        <v>-29.2</v>
      </c>
      <c r="K978" s="96" t="inlineStr">
        <is>
          <t>6608 BAIRONG-W</t>
        </is>
      </c>
    </row>
    <row r="979">
      <c r="A979" s="16" t="inlineStr">
        <is>
          <t>Deep Source Holdings Limited</t>
        </is>
      </c>
      <c r="B979" s="89" t="n">
        <v>1</v>
      </c>
      <c r="C979" s="94" t="n">
        <v>0</v>
      </c>
      <c r="D979" s="95" t="n">
        <v>-16</v>
      </c>
      <c r="E979" s="95" t="n">
        <v>-16.4</v>
      </c>
      <c r="F979" s="95" t="n">
        <v>-16.7</v>
      </c>
      <c r="G979" s="95" t="n">
        <v>8.300000000000001</v>
      </c>
      <c r="H979" s="95" t="n">
        <v>-0.5</v>
      </c>
      <c r="I979" s="95" t="n">
        <v>-0.8</v>
      </c>
      <c r="J979" s="95" t="n">
        <v>28.9</v>
      </c>
      <c r="K979" s="96" t="inlineStr">
        <is>
          <t>2715 ESTUN</t>
        </is>
      </c>
    </row>
    <row r="980">
      <c r="A980" s="16" t="inlineStr">
        <is>
          <t>Haitian Huayuan (Singapore) Pte. Ltd</t>
        </is>
      </c>
      <c r="B980" s="89" t="n">
        <v>1</v>
      </c>
      <c r="C980" s="94" t="n">
        <v>0</v>
      </c>
      <c r="D980" s="95" t="n">
        <v>-16</v>
      </c>
      <c r="E980" s="95" t="n">
        <v>-16.4</v>
      </c>
      <c r="F980" s="95" t="n">
        <v>-16.7</v>
      </c>
      <c r="G980" s="95" t="n">
        <v>8.300000000000001</v>
      </c>
      <c r="H980" s="95" t="n">
        <v>-0.5</v>
      </c>
      <c r="I980" s="95" t="n">
        <v>-0.8</v>
      </c>
      <c r="J980" s="95" t="n">
        <v>28.9</v>
      </c>
      <c r="K980" s="96" t="inlineStr">
        <is>
          <t>2715 ESTUN</t>
        </is>
      </c>
    </row>
    <row r="981">
      <c r="A981" s="16" t="inlineStr">
        <is>
          <t>Hengtong Optic-electric International Co., Limited</t>
        </is>
      </c>
      <c r="B981" s="89" t="n">
        <v>1</v>
      </c>
      <c r="C981" s="94" t="n">
        <v>0</v>
      </c>
      <c r="D981" s="95" t="n">
        <v>-16</v>
      </c>
      <c r="E981" s="95" t="n">
        <v>-16.4</v>
      </c>
      <c r="F981" s="95" t="n">
        <v>-16.7</v>
      </c>
      <c r="G981" s="95" t="n">
        <v>8.300000000000001</v>
      </c>
      <c r="H981" s="95" t="n">
        <v>-0.5</v>
      </c>
      <c r="I981" s="95" t="n">
        <v>-0.8</v>
      </c>
      <c r="J981" s="95" t="n">
        <v>28.9</v>
      </c>
      <c r="K981" s="96" t="inlineStr">
        <is>
          <t>2715 ESTUN</t>
        </is>
      </c>
    </row>
    <row r="982">
      <c r="A982" s="16" t="inlineStr">
        <is>
          <t>New Fortune Holdings Group Limited</t>
        </is>
      </c>
      <c r="B982" s="89" t="n">
        <v>1</v>
      </c>
      <c r="C982" s="94" t="n">
        <v>0</v>
      </c>
      <c r="D982" s="95" t="n">
        <v>-16</v>
      </c>
      <c r="E982" s="95" t="n">
        <v>-16.4</v>
      </c>
      <c r="F982" s="95" t="n">
        <v>-16.7</v>
      </c>
      <c r="G982" s="95" t="n">
        <v>8.300000000000001</v>
      </c>
      <c r="H982" s="95" t="n">
        <v>-0.5</v>
      </c>
      <c r="I982" s="95" t="n">
        <v>-0.8</v>
      </c>
      <c r="J982" s="95" t="n">
        <v>28.9</v>
      </c>
      <c r="K982" s="96" t="inlineStr">
        <is>
          <t>2715 ESTUN</t>
        </is>
      </c>
    </row>
    <row r="983">
      <c r="A983" s="16" t="inlineStr">
        <is>
          <t>CI Global Asset Management</t>
        </is>
      </c>
      <c r="B983" s="89" t="n">
        <v>1</v>
      </c>
      <c r="C983" s="94" t="n">
        <v>0</v>
      </c>
      <c r="D983" s="95" t="n">
        <v>-16.5</v>
      </c>
      <c r="E983" s="95" t="n">
        <v>-7.6</v>
      </c>
      <c r="F983" s="95" t="n">
        <v>-9.6</v>
      </c>
      <c r="G983" s="95" t="n">
        <v>-12.4</v>
      </c>
      <c r="H983" s="95" t="n">
        <v>10.6</v>
      </c>
      <c r="I983" s="95" t="n">
        <v>8.199999999999999</v>
      </c>
      <c r="J983" s="95" t="n">
        <v>4.8</v>
      </c>
      <c r="K983" s="96" t="inlineStr">
        <is>
          <t>2191 SF REIT</t>
        </is>
      </c>
    </row>
    <row r="984">
      <c r="A984" s="16" t="inlineStr">
        <is>
          <t>SINO-BLR Industrial Investment Fund, L.P</t>
        </is>
      </c>
      <c r="B984" s="89" t="n">
        <v>1</v>
      </c>
      <c r="C984" s="94" t="n">
        <v>0</v>
      </c>
      <c r="D984" s="95" t="n">
        <v>-16.6</v>
      </c>
      <c r="E984" s="95" t="n">
        <v>-19.2</v>
      </c>
      <c r="F984" s="95" t="n">
        <v>-11.5</v>
      </c>
      <c r="G984" s="95" t="n">
        <v>-35.1</v>
      </c>
      <c r="H984" s="95" t="n">
        <v>-3.2</v>
      </c>
      <c r="I984" s="95" t="n">
        <v>6</v>
      </c>
      <c r="J984" s="95" t="n">
        <v>-22.2</v>
      </c>
      <c r="K984" s="96" t="inlineStr">
        <is>
          <t>6680 JLMAG</t>
        </is>
      </c>
    </row>
    <row r="985">
      <c r="A985" s="16" t="inlineStr">
        <is>
          <t>HiTai</t>
        </is>
      </c>
      <c r="B985" s="89" t="n">
        <v>1</v>
      </c>
      <c r="C985" s="94" t="n">
        <v>0</v>
      </c>
      <c r="D985" s="95" t="n">
        <v>-18.2</v>
      </c>
      <c r="E985" s="95" t="n">
        <v>-33</v>
      </c>
      <c r="F985" s="95" t="n">
        <v>-39.5</v>
      </c>
      <c r="G985" s="95" t="n">
        <v>-41.8</v>
      </c>
      <c r="H985" s="95" t="n">
        <v>-18.1</v>
      </c>
      <c r="I985" s="95" t="n">
        <v>-26</v>
      </c>
      <c r="J985" s="95" t="n">
        <v>-28.9</v>
      </c>
      <c r="K985" s="96" t="inlineStr">
        <is>
          <t>2621 SHOUHUI GROUP</t>
        </is>
      </c>
    </row>
    <row r="986">
      <c r="A986" s="16" t="inlineStr">
        <is>
          <t>Lancang Green Resource Investment Co., Ltd</t>
        </is>
      </c>
      <c r="B986" s="89" t="n">
        <v>1</v>
      </c>
      <c r="C986" s="94" t="n">
        <v>0</v>
      </c>
      <c r="D986" s="95" t="n">
        <v>-18.7</v>
      </c>
      <c r="E986" s="95" t="n">
        <v>0</v>
      </c>
      <c r="F986" s="95" t="n">
        <v>-14.8</v>
      </c>
      <c r="G986" s="95" t="n">
        <v>2.8</v>
      </c>
      <c r="H986" s="95" t="n">
        <v>23</v>
      </c>
      <c r="I986" s="95" t="n">
        <v>4.8</v>
      </c>
      <c r="J986" s="95" t="n">
        <v>26.4</v>
      </c>
      <c r="K986" s="96" t="inlineStr">
        <is>
          <t>6911 LANCANG TEA</t>
        </is>
      </c>
    </row>
    <row r="987">
      <c r="A987" s="16" t="inlineStr">
        <is>
          <t>ROSY DAY INVESTMENTS LIMITED</t>
        </is>
      </c>
      <c r="B987" s="89" t="n">
        <v>1</v>
      </c>
      <c r="C987" s="94" t="n">
        <v>0</v>
      </c>
      <c r="D987" s="95" t="n">
        <v>-18.7</v>
      </c>
      <c r="E987" s="95" t="n">
        <v>0</v>
      </c>
      <c r="F987" s="95" t="n">
        <v>-14.8</v>
      </c>
      <c r="G987" s="95" t="n">
        <v>2.8</v>
      </c>
      <c r="H987" s="95" t="n">
        <v>23</v>
      </c>
      <c r="I987" s="95" t="n">
        <v>4.8</v>
      </c>
      <c r="J987" s="95" t="n">
        <v>26.4</v>
      </c>
      <c r="K987" s="96" t="inlineStr">
        <is>
          <t>6911 LANCANG TEA</t>
        </is>
      </c>
    </row>
    <row r="988">
      <c r="A988" s="16" t="inlineStr">
        <is>
          <t>Wang Chunyu</t>
        </is>
      </c>
      <c r="B988" s="89" t="n">
        <v>1</v>
      </c>
      <c r="C988" s="94" t="n">
        <v>0</v>
      </c>
      <c r="D988" s="95" t="n">
        <v>-18.7</v>
      </c>
      <c r="E988" s="95" t="n">
        <v>0</v>
      </c>
      <c r="F988" s="95" t="n">
        <v>-14.8</v>
      </c>
      <c r="G988" s="95" t="n">
        <v>2.8</v>
      </c>
      <c r="H988" s="95" t="n">
        <v>23</v>
      </c>
      <c r="I988" s="95" t="n">
        <v>4.8</v>
      </c>
      <c r="J988" s="95" t="n">
        <v>26.4</v>
      </c>
      <c r="K988" s="96" t="inlineStr">
        <is>
          <t>6911 LANCANG TEA</t>
        </is>
      </c>
    </row>
    <row r="989">
      <c r="A989" s="16" t="inlineStr">
        <is>
          <t>Beijing Yian Capital Management Co. Ltd</t>
        </is>
      </c>
      <c r="B989" s="89" t="n">
        <v>1</v>
      </c>
      <c r="C989" s="94" t="n">
        <v>0</v>
      </c>
      <c r="D989" s="95" t="n">
        <v>-18.7</v>
      </c>
      <c r="E989" s="95" t="n">
        <v>-13.2</v>
      </c>
      <c r="F989" s="95" t="n">
        <v>-3.2</v>
      </c>
      <c r="G989" s="95" t="n"/>
      <c r="H989" s="95" t="n">
        <v>6.7</v>
      </c>
      <c r="I989" s="95" t="n">
        <v>19.1</v>
      </c>
      <c r="J989" s="95" t="n"/>
      <c r="K989" s="96" t="inlineStr">
        <is>
          <t>6745 BEFAR GROUP</t>
        </is>
      </c>
    </row>
    <row r="990">
      <c r="A990" s="16" t="inlineStr">
        <is>
          <t>Hyperion Venture Capital Partners Limited</t>
        </is>
      </c>
      <c r="B990" s="89" t="n">
        <v>1</v>
      </c>
      <c r="C990" s="94" t="n">
        <v>0</v>
      </c>
      <c r="D990" s="95" t="n">
        <v>-18.7</v>
      </c>
      <c r="E990" s="95" t="n">
        <v>-13.2</v>
      </c>
      <c r="F990" s="95" t="n">
        <v>-3.2</v>
      </c>
      <c r="G990" s="95" t="n"/>
      <c r="H990" s="95" t="n">
        <v>6.7</v>
      </c>
      <c r="I990" s="95" t="n">
        <v>19.1</v>
      </c>
      <c r="J990" s="95" t="n"/>
      <c r="K990" s="96" t="inlineStr">
        <is>
          <t>6745 BEFAR GROUP</t>
        </is>
      </c>
    </row>
    <row r="991">
      <c r="A991" s="16" t="inlineStr">
        <is>
          <t>Luhua Daosheng Group Co., Ltd</t>
        </is>
      </c>
      <c r="B991" s="89" t="n">
        <v>1</v>
      </c>
      <c r="C991" s="94" t="n">
        <v>0</v>
      </c>
      <c r="D991" s="95" t="n">
        <v>-18.7</v>
      </c>
      <c r="E991" s="95" t="n">
        <v>-13.2</v>
      </c>
      <c r="F991" s="95" t="n">
        <v>-3.2</v>
      </c>
      <c r="G991" s="95" t="n"/>
      <c r="H991" s="95" t="n">
        <v>6.7</v>
      </c>
      <c r="I991" s="95" t="n">
        <v>19.1</v>
      </c>
      <c r="J991" s="95" t="n"/>
      <c r="K991" s="96" t="inlineStr">
        <is>
          <t>6745 BEFAR GROUP</t>
        </is>
      </c>
    </row>
    <row r="992">
      <c r="A992" s="16" t="inlineStr">
        <is>
          <t>Safewell Equipment Limited</t>
        </is>
      </c>
      <c r="B992" s="89" t="n">
        <v>1</v>
      </c>
      <c r="C992" s="94" t="n">
        <v>0</v>
      </c>
      <c r="D992" s="95" t="n">
        <v>-18.7</v>
      </c>
      <c r="E992" s="95" t="n">
        <v>-13.2</v>
      </c>
      <c r="F992" s="95" t="n">
        <v>-3.2</v>
      </c>
      <c r="G992" s="95" t="n"/>
      <c r="H992" s="95" t="n">
        <v>6.7</v>
      </c>
      <c r="I992" s="95" t="n">
        <v>19.1</v>
      </c>
      <c r="J992" s="95" t="n"/>
      <c r="K992" s="96" t="inlineStr">
        <is>
          <t>6745 BEFAR GROUP</t>
        </is>
      </c>
    </row>
    <row r="993">
      <c r="A993" s="16" t="inlineStr">
        <is>
          <t>Tianto Technology Limited</t>
        </is>
      </c>
      <c r="B993" s="89" t="n">
        <v>1</v>
      </c>
      <c r="C993" s="94" t="n">
        <v>0</v>
      </c>
      <c r="D993" s="95" t="n">
        <v>-18.7</v>
      </c>
      <c r="E993" s="95" t="n">
        <v>-13.2</v>
      </c>
      <c r="F993" s="95" t="n">
        <v>-3.2</v>
      </c>
      <c r="G993" s="95" t="n"/>
      <c r="H993" s="95" t="n">
        <v>6.7</v>
      </c>
      <c r="I993" s="95" t="n">
        <v>19.1</v>
      </c>
      <c r="J993" s="95" t="n"/>
      <c r="K993" s="96" t="inlineStr">
        <is>
          <t>6745 BEFAR GROUP</t>
        </is>
      </c>
    </row>
    <row r="994">
      <c r="A994" s="16" t="inlineStr">
        <is>
          <t>Emerging Markets Healthcare Partners LLC</t>
        </is>
      </c>
      <c r="B994" s="89" t="n">
        <v>1</v>
      </c>
      <c r="C994" s="94" t="n">
        <v>0</v>
      </c>
      <c r="D994" s="95" t="n">
        <v>-19.8</v>
      </c>
      <c r="E994" s="95" t="n">
        <v>-27.8</v>
      </c>
      <c r="F994" s="95" t="n">
        <v>-39.6</v>
      </c>
      <c r="G994" s="95" t="n">
        <v>-56.7</v>
      </c>
      <c r="H994" s="95" t="n">
        <v>-10</v>
      </c>
      <c r="I994" s="95" t="n">
        <v>-24.7</v>
      </c>
      <c r="J994" s="95" t="n">
        <v>-46.1</v>
      </c>
      <c r="K994" s="96" t="inlineStr">
        <is>
          <t>2216 BRONCUS-B</t>
        </is>
      </c>
    </row>
    <row r="995">
      <c r="A995" s="16" t="inlineStr">
        <is>
          <t>Summer Healthcare Fund, L.P</t>
        </is>
      </c>
      <c r="B995" s="89" t="n">
        <v>1</v>
      </c>
      <c r="C995" s="94" t="n">
        <v>0</v>
      </c>
      <c r="D995" s="95" t="n">
        <v>-19.8</v>
      </c>
      <c r="E995" s="95" t="n">
        <v>-27.8</v>
      </c>
      <c r="F995" s="95" t="n">
        <v>-39.6</v>
      </c>
      <c r="G995" s="95" t="n">
        <v>-56.7</v>
      </c>
      <c r="H995" s="95" t="n">
        <v>-10</v>
      </c>
      <c r="I995" s="95" t="n">
        <v>-24.7</v>
      </c>
      <c r="J995" s="95" t="n">
        <v>-46.1</v>
      </c>
      <c r="K995" s="96" t="inlineStr">
        <is>
          <t>2216 BRONCUS-B</t>
        </is>
      </c>
    </row>
    <row r="996">
      <c r="A996" s="16" t="inlineStr">
        <is>
          <t>Danube Bridge Shipping Limited</t>
        </is>
      </c>
      <c r="B996" s="89" t="n">
        <v>1</v>
      </c>
      <c r="C996" s="94" t="n">
        <v>0</v>
      </c>
      <c r="D996" s="95" t="n">
        <v>-21.1</v>
      </c>
      <c r="E996" s="95" t="n">
        <v>-7.7</v>
      </c>
      <c r="F996" s="95" t="n">
        <v>-13.8</v>
      </c>
      <c r="G996" s="95" t="n">
        <v>-5.8</v>
      </c>
      <c r="H996" s="95" t="n">
        <v>17.1</v>
      </c>
      <c r="I996" s="95" t="n">
        <v>9.300000000000001</v>
      </c>
      <c r="J996" s="95" t="n">
        <v>19.4</v>
      </c>
      <c r="K996" s="96" t="inlineStr">
        <is>
          <t>2409 SEACON</t>
        </is>
      </c>
    </row>
    <row r="997">
      <c r="A997" s="16" t="inlineStr">
        <is>
          <t>Guodian Shipping (Hong Kong) Company Limited</t>
        </is>
      </c>
      <c r="B997" s="89" t="n">
        <v>1</v>
      </c>
      <c r="C997" s="94" t="n">
        <v>0</v>
      </c>
      <c r="D997" s="95" t="n">
        <v>-21.1</v>
      </c>
      <c r="E997" s="95" t="n">
        <v>-7.7</v>
      </c>
      <c r="F997" s="95" t="n">
        <v>-13.8</v>
      </c>
      <c r="G997" s="95" t="n">
        <v>-5.8</v>
      </c>
      <c r="H997" s="95" t="n">
        <v>17.1</v>
      </c>
      <c r="I997" s="95" t="n">
        <v>9.300000000000001</v>
      </c>
      <c r="J997" s="95" t="n">
        <v>19.4</v>
      </c>
      <c r="K997" s="96" t="inlineStr">
        <is>
          <t>2409 SEACON</t>
        </is>
      </c>
    </row>
    <row r="998">
      <c r="A998" s="16" t="inlineStr">
        <is>
          <t>BYD Company Limited –</t>
        </is>
      </c>
      <c r="B998" s="89" t="n">
        <v>1</v>
      </c>
      <c r="C998" s="94" t="n">
        <v>0</v>
      </c>
      <c r="D998" s="95" t="n">
        <v>-23</v>
      </c>
      <c r="E998" s="95" t="n">
        <v>-21.5</v>
      </c>
      <c r="F998" s="95" t="n">
        <v>-35.4</v>
      </c>
      <c r="G998" s="95" t="n">
        <v>-36.2</v>
      </c>
      <c r="H998" s="95" t="n">
        <v>1.9</v>
      </c>
      <c r="I998" s="95" t="n">
        <v>-16.2</v>
      </c>
      <c r="J998" s="95" t="n">
        <v>-17.2</v>
      </c>
      <c r="K998" s="96" t="inlineStr">
        <is>
          <t>9609 HAIWEI ELEC</t>
        </is>
      </c>
    </row>
    <row r="999">
      <c r="A999" s="16" t="inlineStr">
        <is>
          <t>Kobayashi Pharmaceutical Co., Ltd</t>
        </is>
      </c>
      <c r="B999" s="89" t="n">
        <v>1</v>
      </c>
      <c r="C999" s="94" t="n">
        <v>0</v>
      </c>
      <c r="D999" s="95" t="n">
        <v>-23.8</v>
      </c>
      <c r="E999" s="95" t="n">
        <v>-29.1</v>
      </c>
      <c r="F999" s="95" t="n">
        <v>-50.4</v>
      </c>
      <c r="G999" s="95" t="n">
        <v>-57</v>
      </c>
      <c r="H999" s="95" t="n">
        <v>-7</v>
      </c>
      <c r="I999" s="95" t="n">
        <v>-35</v>
      </c>
      <c r="J999" s="95" t="n">
        <v>-43.6</v>
      </c>
      <c r="K999" s="96" t="inlineStr">
        <is>
          <t>2177 UNQ HOLDINGS</t>
        </is>
      </c>
    </row>
    <row r="1000">
      <c r="A1000" s="16" t="inlineStr">
        <is>
          <t>Unicharm Corporation</t>
        </is>
      </c>
      <c r="B1000" s="89" t="n">
        <v>1</v>
      </c>
      <c r="C1000" s="94" t="n">
        <v>0</v>
      </c>
      <c r="D1000" s="95" t="n">
        <v>-23.8</v>
      </c>
      <c r="E1000" s="95" t="n">
        <v>-29.1</v>
      </c>
      <c r="F1000" s="95" t="n">
        <v>-50.4</v>
      </c>
      <c r="G1000" s="95" t="n">
        <v>-57</v>
      </c>
      <c r="H1000" s="95" t="n">
        <v>-7</v>
      </c>
      <c r="I1000" s="95" t="n">
        <v>-35</v>
      </c>
      <c r="J1000" s="95" t="n">
        <v>-43.6</v>
      </c>
      <c r="K1000" s="96" t="inlineStr">
        <is>
          <t>2177 UNQ HOLDINGS</t>
        </is>
      </c>
    </row>
    <row r="1001">
      <c r="A1001" s="16" t="inlineStr">
        <is>
          <t>Shenzhen Futian Guiding Fund Investment Co., Ltd</t>
        </is>
      </c>
      <c r="B1001" s="89" t="n">
        <v>1</v>
      </c>
      <c r="C1001" s="94" t="n">
        <v>0</v>
      </c>
      <c r="D1001" s="95" t="n">
        <v>-24.9</v>
      </c>
      <c r="E1001" s="95" t="n">
        <v>-38.5</v>
      </c>
      <c r="F1001" s="95" t="n">
        <v>-13.8</v>
      </c>
      <c r="G1001" s="95" t="n">
        <v>-20.1</v>
      </c>
      <c r="H1001" s="95" t="n">
        <v>-18</v>
      </c>
      <c r="I1001" s="95" t="n">
        <v>14.7</v>
      </c>
      <c r="J1001" s="95" t="n">
        <v>6.3</v>
      </c>
      <c r="K1001" s="96" t="inlineStr">
        <is>
          <t>1973 TIAN TU CAPITAL</t>
        </is>
      </c>
    </row>
    <row r="1002">
      <c r="A1002" s="16" t="inlineStr">
        <is>
          <t>SVF II Zeal</t>
        </is>
      </c>
      <c r="B1002" s="89" t="n">
        <v>1</v>
      </c>
      <c r="C1002" s="94" t="n">
        <v>0</v>
      </c>
      <c r="D1002" s="95" t="n">
        <v>-25.5</v>
      </c>
      <c r="E1002" s="95" t="n">
        <v>-34.4</v>
      </c>
      <c r="F1002" s="95" t="n">
        <v>-46.8</v>
      </c>
      <c r="G1002" s="95" t="n">
        <v>-24.1</v>
      </c>
      <c r="H1002" s="95" t="n">
        <v>-11.9</v>
      </c>
      <c r="I1002" s="95" t="n">
        <v>-28.6</v>
      </c>
      <c r="J1002" s="95" t="n">
        <v>1.8</v>
      </c>
      <c r="K1002" s="96" t="inlineStr">
        <is>
          <t>2121 AINNOVATION</t>
        </is>
      </c>
    </row>
    <row r="1003">
      <c r="A1003" s="16" t="inlineStr">
        <is>
          <t>Jinan Huaiyin Urban Construction Investment Group Co., Ltd</t>
        </is>
      </c>
      <c r="B1003" s="89" t="n">
        <v>1</v>
      </c>
      <c r="C1003" s="94" t="n">
        <v>0</v>
      </c>
      <c r="D1003" s="95" t="n">
        <v>-25.9</v>
      </c>
      <c r="E1003" s="95" t="n">
        <v>-23.5</v>
      </c>
      <c r="F1003" s="95" t="n">
        <v>-25.9</v>
      </c>
      <c r="G1003" s="95" t="n">
        <v>-20</v>
      </c>
      <c r="H1003" s="95" t="n">
        <v>3.2</v>
      </c>
      <c r="I1003" s="95" t="n">
        <v>0</v>
      </c>
      <c r="J1003" s="95" t="n">
        <v>7.9</v>
      </c>
      <c r="K1003" s="96" t="inlineStr">
        <is>
          <t>2455 RUNHUA SERVICE</t>
        </is>
      </c>
    </row>
    <row r="1004">
      <c r="A1004" s="16" t="inlineStr">
        <is>
          <t>Yizekangrui</t>
        </is>
      </c>
      <c r="B1004" s="89" t="n">
        <v>1</v>
      </c>
      <c r="C1004" s="94" t="n">
        <v>0</v>
      </c>
      <c r="D1004" s="95" t="n">
        <v>-25.9</v>
      </c>
      <c r="E1004" s="95" t="n">
        <v>-37.8</v>
      </c>
      <c r="F1004" s="95" t="n">
        <v>-42.3</v>
      </c>
      <c r="G1004" s="95" t="n">
        <v>118</v>
      </c>
      <c r="H1004" s="95" t="n">
        <v>-16.1</v>
      </c>
      <c r="I1004" s="95" t="n">
        <v>-22.1</v>
      </c>
      <c r="J1004" s="95" t="n">
        <v>194.1</v>
      </c>
      <c r="K1004" s="96" t="inlineStr">
        <is>
          <t>2565 PEGBIO CO-B</t>
        </is>
      </c>
    </row>
    <row r="1005">
      <c r="A1005" s="16" t="inlineStr">
        <is>
          <t>Unlisted Shares in issue</t>
        </is>
      </c>
      <c r="B1005" s="89" t="n">
        <v>1</v>
      </c>
      <c r="C1005" s="94" t="n">
        <v>0</v>
      </c>
      <c r="D1005" s="95" t="n">
        <v>-25.9</v>
      </c>
      <c r="E1005" s="95" t="n">
        <v>-37.8</v>
      </c>
      <c r="F1005" s="95" t="n">
        <v>-42.3</v>
      </c>
      <c r="G1005" s="95" t="n">
        <v>118</v>
      </c>
      <c r="H1005" s="95" t="n">
        <v>-16.1</v>
      </c>
      <c r="I1005" s="95" t="n">
        <v>-22.1</v>
      </c>
      <c r="J1005" s="95" t="n">
        <v>194.1</v>
      </c>
      <c r="K1005" s="96" t="inlineStr">
        <is>
          <t>2565 PEGBIO CO-B</t>
        </is>
      </c>
    </row>
    <row r="1006">
      <c r="A1006" s="16" t="inlineStr">
        <is>
          <t>H Share to be converted from Unlisted Shares</t>
        </is>
      </c>
      <c r="B1006" s="89" t="n">
        <v>1</v>
      </c>
      <c r="C1006" s="94" t="n">
        <v>0</v>
      </c>
      <c r="D1006" s="95" t="n">
        <v>-25.9</v>
      </c>
      <c r="E1006" s="95" t="n">
        <v>-37.8</v>
      </c>
      <c r="F1006" s="95" t="n">
        <v>-42.3</v>
      </c>
      <c r="G1006" s="95" t="n">
        <v>118</v>
      </c>
      <c r="H1006" s="95" t="n">
        <v>-16.1</v>
      </c>
      <c r="I1006" s="95" t="n">
        <v>-22.1</v>
      </c>
      <c r="J1006" s="95" t="n">
        <v>194.1</v>
      </c>
      <c r="K1006" s="96" t="inlineStr">
        <is>
          <t>2565 PEGBIO CO-B</t>
        </is>
      </c>
    </row>
    <row r="1007">
      <c r="A1007" s="16" t="inlineStr">
        <is>
          <t>Daguan International Limited</t>
        </is>
      </c>
      <c r="B1007" s="89" t="n">
        <v>1</v>
      </c>
      <c r="C1007" s="94" t="n">
        <v>0</v>
      </c>
      <c r="D1007" s="95" t="n">
        <v>-26.1</v>
      </c>
      <c r="E1007" s="95" t="n">
        <v>-26.9</v>
      </c>
      <c r="F1007" s="95" t="n">
        <v>-37.9</v>
      </c>
      <c r="G1007" s="95" t="n">
        <v>-41</v>
      </c>
      <c r="H1007" s="95" t="n">
        <v>-1.1</v>
      </c>
      <c r="I1007" s="95" t="n">
        <v>-16</v>
      </c>
      <c r="J1007" s="95" t="n">
        <v>-20.2</v>
      </c>
      <c r="K1007" s="96" t="inlineStr">
        <is>
          <t>6669 ACOTEC-B</t>
        </is>
      </c>
    </row>
    <row r="1008">
      <c r="A1008" s="16" t="inlineStr">
        <is>
          <t>New Journey Hospital Group Ltd</t>
        </is>
      </c>
      <c r="B1008" s="89" t="n">
        <v>1</v>
      </c>
      <c r="C1008" s="94" t="n">
        <v>0</v>
      </c>
      <c r="D1008" s="95" t="n">
        <v>-26.1</v>
      </c>
      <c r="E1008" s="95" t="n">
        <v>-26.9</v>
      </c>
      <c r="F1008" s="95" t="n">
        <v>-37.9</v>
      </c>
      <c r="G1008" s="95" t="n">
        <v>-41</v>
      </c>
      <c r="H1008" s="95" t="n">
        <v>-1.1</v>
      </c>
      <c r="I1008" s="95" t="n">
        <v>-16</v>
      </c>
      <c r="J1008" s="95" t="n">
        <v>-20.2</v>
      </c>
      <c r="K1008" s="96" t="inlineStr">
        <is>
          <t>6669 ACOTEC-B</t>
        </is>
      </c>
    </row>
    <row r="1009">
      <c r="A1009" s="16" t="inlineStr">
        <is>
          <t>PRIMEONE LUCK LIMITED</t>
        </is>
      </c>
      <c r="B1009" s="89" t="n">
        <v>1</v>
      </c>
      <c r="C1009" s="94" t="n">
        <v>0</v>
      </c>
      <c r="D1009" s="95" t="n">
        <v>-26.1</v>
      </c>
      <c r="E1009" s="95" t="n">
        <v>-26.9</v>
      </c>
      <c r="F1009" s="95" t="n">
        <v>-37.9</v>
      </c>
      <c r="G1009" s="95" t="n">
        <v>-41</v>
      </c>
      <c r="H1009" s="95" t="n">
        <v>-1.1</v>
      </c>
      <c r="I1009" s="95" t="n">
        <v>-16</v>
      </c>
      <c r="J1009" s="95" t="n">
        <v>-20.2</v>
      </c>
      <c r="K1009" s="96" t="inlineStr">
        <is>
          <t>6669 ACOTEC-B</t>
        </is>
      </c>
    </row>
    <row r="1010">
      <c r="A1010" s="16" t="inlineStr">
        <is>
          <t>Belinda A. Termeer</t>
        </is>
      </c>
      <c r="B1010" s="89" t="n">
        <v>1</v>
      </c>
      <c r="C1010" s="94" t="n">
        <v>0</v>
      </c>
      <c r="D1010" s="95" t="n">
        <v>-26.9</v>
      </c>
      <c r="E1010" s="95" t="n">
        <v>-30.1</v>
      </c>
      <c r="F1010" s="95" t="n">
        <v>-32.8</v>
      </c>
      <c r="G1010" s="95" t="n">
        <v>-64.40000000000001</v>
      </c>
      <c r="H1010" s="95" t="n">
        <v>-4.4</v>
      </c>
      <c r="I1010" s="95" t="n">
        <v>-8.1</v>
      </c>
      <c r="J1010" s="95" t="n">
        <v>-51.2</v>
      </c>
      <c r="K1010" s="96" t="inlineStr">
        <is>
          <t>1228 CANBRIDGE-B</t>
        </is>
      </c>
    </row>
    <row r="1011">
      <c r="A1011" s="16" t="inlineStr">
        <is>
          <t>RA Capital Healthcare Fund, L.P</t>
        </is>
      </c>
      <c r="B1011" s="89" t="n">
        <v>1</v>
      </c>
      <c r="C1011" s="94" t="n">
        <v>0</v>
      </c>
      <c r="D1011" s="95" t="n">
        <v>-26.9</v>
      </c>
      <c r="E1011" s="95" t="n">
        <v>-30.1</v>
      </c>
      <c r="F1011" s="95" t="n">
        <v>-32.8</v>
      </c>
      <c r="G1011" s="95" t="n">
        <v>-64.40000000000001</v>
      </c>
      <c r="H1011" s="95" t="n">
        <v>-4.4</v>
      </c>
      <c r="I1011" s="95" t="n">
        <v>-8.1</v>
      </c>
      <c r="J1011" s="95" t="n">
        <v>-51.2</v>
      </c>
      <c r="K1011" s="96" t="inlineStr">
        <is>
          <t>1228 CANBRIDGE-B</t>
        </is>
      </c>
    </row>
    <row r="1012">
      <c r="A1012" s="16" t="inlineStr">
        <is>
          <t>Gardex Development Limited</t>
        </is>
      </c>
      <c r="B1012" s="89" t="n">
        <v>1</v>
      </c>
      <c r="C1012" s="94" t="n">
        <v>0</v>
      </c>
      <c r="D1012" s="95" t="n">
        <v>-27</v>
      </c>
      <c r="E1012" s="95" t="n">
        <v>-28</v>
      </c>
      <c r="F1012" s="95" t="n">
        <v>-23.6</v>
      </c>
      <c r="G1012" s="95" t="n">
        <v>-7.7</v>
      </c>
      <c r="H1012" s="95" t="n">
        <v>-1.5</v>
      </c>
      <c r="I1012" s="95" t="n">
        <v>4.6</v>
      </c>
      <c r="J1012" s="95" t="n">
        <v>26.4</v>
      </c>
      <c r="K1012" s="96" t="inlineStr">
        <is>
          <t>2533 BLACK SESAME</t>
        </is>
      </c>
    </row>
    <row r="1013">
      <c r="A1013" s="16" t="inlineStr">
        <is>
          <t>Joyson Electronic USA LLC</t>
        </is>
      </c>
      <c r="B1013" s="89" t="n">
        <v>1</v>
      </c>
      <c r="C1013" s="94" t="n">
        <v>0</v>
      </c>
      <c r="D1013" s="95" t="n">
        <v>-27</v>
      </c>
      <c r="E1013" s="95" t="n">
        <v>-28</v>
      </c>
      <c r="F1013" s="95" t="n">
        <v>-23.6</v>
      </c>
      <c r="G1013" s="95" t="n">
        <v>-7.7</v>
      </c>
      <c r="H1013" s="95" t="n">
        <v>-1.5</v>
      </c>
      <c r="I1013" s="95" t="n">
        <v>4.6</v>
      </c>
      <c r="J1013" s="95" t="n">
        <v>26.4</v>
      </c>
      <c r="K1013" s="96" t="inlineStr">
        <is>
          <t>2533 BLACK SESAME</t>
        </is>
      </c>
    </row>
    <row r="1014">
      <c r="A1014" s="16" t="inlineStr">
        <is>
          <t>ATNT Group Management Limited</t>
        </is>
      </c>
      <c r="B1014" s="89" t="n">
        <v>1</v>
      </c>
      <c r="C1014" s="94" t="n">
        <v>0</v>
      </c>
      <c r="D1014" s="95" t="n">
        <v>-27.1</v>
      </c>
      <c r="E1014" s="95" t="n">
        <v>-34.1</v>
      </c>
      <c r="F1014" s="95" t="n">
        <v>-41.2</v>
      </c>
      <c r="G1014" s="95" t="n">
        <v>-54.1</v>
      </c>
      <c r="H1014" s="95" t="n">
        <v>-9.699999999999999</v>
      </c>
      <c r="I1014" s="95" t="n">
        <v>-19.4</v>
      </c>
      <c r="J1014" s="95" t="n">
        <v>-37.1</v>
      </c>
      <c r="K1014" s="96" t="inlineStr">
        <is>
          <t>2350 MTT GROUP</t>
        </is>
      </c>
    </row>
    <row r="1015">
      <c r="A1015" s="16" t="inlineStr">
        <is>
          <t>EC InfoTech Limited</t>
        </is>
      </c>
      <c r="B1015" s="89" t="n">
        <v>1</v>
      </c>
      <c r="C1015" s="94" t="n">
        <v>0</v>
      </c>
      <c r="D1015" s="95" t="n">
        <v>-27.1</v>
      </c>
      <c r="E1015" s="95" t="n">
        <v>-34.1</v>
      </c>
      <c r="F1015" s="95" t="n">
        <v>-41.2</v>
      </c>
      <c r="G1015" s="95" t="n">
        <v>-54.1</v>
      </c>
      <c r="H1015" s="95" t="n">
        <v>-9.699999999999999</v>
      </c>
      <c r="I1015" s="95" t="n">
        <v>-19.4</v>
      </c>
      <c r="J1015" s="95" t="n">
        <v>-37.1</v>
      </c>
      <c r="K1015" s="96" t="inlineStr">
        <is>
          <t>2350 MTT GROUP</t>
        </is>
      </c>
    </row>
    <row r="1016">
      <c r="A1016" s="16" t="inlineStr">
        <is>
          <t>Mr. Hung Kwong Yee</t>
        </is>
      </c>
      <c r="B1016" s="89" t="n">
        <v>1</v>
      </c>
      <c r="C1016" s="94" t="n">
        <v>0</v>
      </c>
      <c r="D1016" s="95" t="n">
        <v>-27.1</v>
      </c>
      <c r="E1016" s="95" t="n">
        <v>-34.1</v>
      </c>
      <c r="F1016" s="95" t="n">
        <v>-41.2</v>
      </c>
      <c r="G1016" s="95" t="n">
        <v>-54.1</v>
      </c>
      <c r="H1016" s="95" t="n">
        <v>-9.699999999999999</v>
      </c>
      <c r="I1016" s="95" t="n">
        <v>-19.4</v>
      </c>
      <c r="J1016" s="95" t="n">
        <v>-37.1</v>
      </c>
      <c r="K1016" s="96" t="inlineStr">
        <is>
          <t>2350 MTT GROUP</t>
        </is>
      </c>
    </row>
    <row r="1017">
      <c r="A1017" s="16" t="inlineStr">
        <is>
          <t>Genesis M Co., Limited</t>
        </is>
      </c>
      <c r="B1017" s="89" t="n">
        <v>1</v>
      </c>
      <c r="C1017" s="94" t="n">
        <v>0</v>
      </c>
      <c r="D1017" s="95" t="n">
        <v>-27.5</v>
      </c>
      <c r="E1017" s="95" t="n">
        <v>-20.8</v>
      </c>
      <c r="F1017" s="95" t="n">
        <v>-28.3</v>
      </c>
      <c r="G1017" s="95" t="n">
        <v>-37.5</v>
      </c>
      <c r="H1017" s="95" t="n">
        <v>9.199999999999999</v>
      </c>
      <c r="I1017" s="95" t="n">
        <v>-1.1</v>
      </c>
      <c r="J1017" s="95" t="n">
        <v>-13.8</v>
      </c>
      <c r="K1017" s="96" t="inlineStr">
        <is>
          <t>2502 JINYUAN HCHEM</t>
        </is>
      </c>
    </row>
    <row r="1018">
      <c r="A1018" s="16" t="inlineStr">
        <is>
          <t>Max Success Group Holdings Limited</t>
        </is>
      </c>
      <c r="B1018" s="89" t="n">
        <v>1</v>
      </c>
      <c r="C1018" s="94" t="n">
        <v>0</v>
      </c>
      <c r="D1018" s="95" t="n">
        <v>-27.5</v>
      </c>
      <c r="E1018" s="95" t="n">
        <v>-20.8</v>
      </c>
      <c r="F1018" s="95" t="n">
        <v>-28.3</v>
      </c>
      <c r="G1018" s="95" t="n">
        <v>-37.5</v>
      </c>
      <c r="H1018" s="95" t="n">
        <v>9.199999999999999</v>
      </c>
      <c r="I1018" s="95" t="n">
        <v>-1.1</v>
      </c>
      <c r="J1018" s="95" t="n">
        <v>-13.8</v>
      </c>
      <c r="K1018" s="96" t="inlineStr">
        <is>
          <t>2502 JINYUAN HCHEM</t>
        </is>
      </c>
    </row>
    <row r="1019">
      <c r="A1019" s="16" t="inlineStr">
        <is>
          <t>Prosperity Steel United Singapore Pte. Ltd</t>
        </is>
      </c>
      <c r="B1019" s="89" t="n">
        <v>1</v>
      </c>
      <c r="C1019" s="94" t="n">
        <v>0</v>
      </c>
      <c r="D1019" s="95" t="n">
        <v>-27.5</v>
      </c>
      <c r="E1019" s="95" t="n">
        <v>-20.8</v>
      </c>
      <c r="F1019" s="95" t="n">
        <v>-28.3</v>
      </c>
      <c r="G1019" s="95" t="n">
        <v>-37.5</v>
      </c>
      <c r="H1019" s="95" t="n">
        <v>9.199999999999999</v>
      </c>
      <c r="I1019" s="95" t="n">
        <v>-1.1</v>
      </c>
      <c r="J1019" s="95" t="n">
        <v>-13.8</v>
      </c>
      <c r="K1019" s="96" t="inlineStr">
        <is>
          <t>2502 JINYUAN HCHEM</t>
        </is>
      </c>
    </row>
    <row r="1020">
      <c r="A1020" s="16" t="inlineStr">
        <is>
          <t>Zhongsheng Holdings Company Limited</t>
        </is>
      </c>
      <c r="B1020" s="89" t="n">
        <v>1</v>
      </c>
      <c r="C1020" s="94" t="n">
        <v>0</v>
      </c>
      <c r="D1020" s="95" t="n">
        <v>-27.5</v>
      </c>
      <c r="E1020" s="95" t="n">
        <v>-20.8</v>
      </c>
      <c r="F1020" s="95" t="n">
        <v>-28.3</v>
      </c>
      <c r="G1020" s="95" t="n">
        <v>-37.5</v>
      </c>
      <c r="H1020" s="95" t="n">
        <v>9.199999999999999</v>
      </c>
      <c r="I1020" s="95" t="n">
        <v>-1.1</v>
      </c>
      <c r="J1020" s="95" t="n">
        <v>-13.8</v>
      </c>
      <c r="K1020" s="96" t="inlineStr">
        <is>
          <t>2502 JINYUAN HCHEM</t>
        </is>
      </c>
    </row>
    <row r="1021">
      <c r="A1021" s="16" t="inlineStr">
        <is>
          <t>Qingcong Capital</t>
        </is>
      </c>
      <c r="B1021" s="89" t="n">
        <v>1</v>
      </c>
      <c r="C1021" s="94" t="n">
        <v>0</v>
      </c>
      <c r="D1021" s="95" t="n">
        <v>-27.8</v>
      </c>
      <c r="E1021" s="95" t="n">
        <v>-28.7</v>
      </c>
      <c r="F1021" s="95" t="n">
        <v>-37.2</v>
      </c>
      <c r="G1021" s="95" t="n">
        <v>-33.7</v>
      </c>
      <c r="H1021" s="95" t="n">
        <v>-1.2</v>
      </c>
      <c r="I1021" s="95" t="n">
        <v>-13</v>
      </c>
      <c r="J1021" s="95" t="n">
        <v>-8.1</v>
      </c>
      <c r="K1021" s="96" t="inlineStr">
        <is>
          <t>2408 XIAO NOODLES</t>
        </is>
      </c>
    </row>
    <row r="1022">
      <c r="A1022" s="16" t="inlineStr">
        <is>
          <t>Mr. Gao Defu</t>
        </is>
      </c>
      <c r="B1022" s="89" t="n">
        <v>1</v>
      </c>
      <c r="C1022" s="94" t="n">
        <v>0</v>
      </c>
      <c r="D1022" s="95" t="n">
        <v>-27.8</v>
      </c>
      <c r="E1022" s="95" t="n">
        <v>-28.7</v>
      </c>
      <c r="F1022" s="95" t="n">
        <v>-37.2</v>
      </c>
      <c r="G1022" s="95" t="n">
        <v>-33.7</v>
      </c>
      <c r="H1022" s="95" t="n">
        <v>-1.2</v>
      </c>
      <c r="I1022" s="95" t="n">
        <v>-13</v>
      </c>
      <c r="J1022" s="95" t="n">
        <v>-8.1</v>
      </c>
      <c r="K1022" s="96" t="inlineStr">
        <is>
          <t>2408 XIAO NOODLES</t>
        </is>
      </c>
    </row>
    <row r="1023">
      <c r="A1023" s="16" t="inlineStr">
        <is>
          <t>Hong Kong Shengying Investment Limited</t>
        </is>
      </c>
      <c r="B1023" s="89" t="n">
        <v>1</v>
      </c>
      <c r="C1023" s="94" t="n">
        <v>0</v>
      </c>
      <c r="D1023" s="95" t="n">
        <v>-27.8</v>
      </c>
      <c r="E1023" s="95" t="n">
        <v>-28.7</v>
      </c>
      <c r="F1023" s="95" t="n">
        <v>-37.2</v>
      </c>
      <c r="G1023" s="95" t="n">
        <v>-33.7</v>
      </c>
      <c r="H1023" s="95" t="n">
        <v>-1.2</v>
      </c>
      <c r="I1023" s="95" t="n">
        <v>-13</v>
      </c>
      <c r="J1023" s="95" t="n">
        <v>-8.1</v>
      </c>
      <c r="K1023" s="96" t="inlineStr">
        <is>
          <t>2408 XIAO NOODLES</t>
        </is>
      </c>
    </row>
    <row r="1024">
      <c r="A1024" s="16" t="inlineStr">
        <is>
          <t>Hai Di Lao Holdings Pte. Ltd</t>
        </is>
      </c>
      <c r="B1024" s="89" t="n">
        <v>1</v>
      </c>
      <c r="C1024" s="94" t="n">
        <v>0</v>
      </c>
      <c r="D1024" s="95" t="n">
        <v>-27.8</v>
      </c>
      <c r="E1024" s="95" t="n">
        <v>-28.7</v>
      </c>
      <c r="F1024" s="95" t="n">
        <v>-37.2</v>
      </c>
      <c r="G1024" s="95" t="n">
        <v>-33.7</v>
      </c>
      <c r="H1024" s="95" t="n">
        <v>-1.2</v>
      </c>
      <c r="I1024" s="95" t="n">
        <v>-13</v>
      </c>
      <c r="J1024" s="95" t="n">
        <v>-8.1</v>
      </c>
      <c r="K1024" s="96" t="inlineStr">
        <is>
          <t>2408 XIAO NOODLES</t>
        </is>
      </c>
    </row>
    <row r="1025">
      <c r="A1025" s="16" t="inlineStr">
        <is>
          <t>Pusheng Fund</t>
        </is>
      </c>
      <c r="B1025" s="89" t="n">
        <v>1</v>
      </c>
      <c r="C1025" s="94" t="n">
        <v>0</v>
      </c>
      <c r="D1025" s="95" t="n">
        <v>-27.8</v>
      </c>
      <c r="E1025" s="95" t="n">
        <v>-28.7</v>
      </c>
      <c r="F1025" s="95" t="n">
        <v>-37.2</v>
      </c>
      <c r="G1025" s="95" t="n">
        <v>-33.7</v>
      </c>
      <c r="H1025" s="95" t="n">
        <v>-1.2</v>
      </c>
      <c r="I1025" s="95" t="n">
        <v>-13</v>
      </c>
      <c r="J1025" s="95" t="n">
        <v>-8.1</v>
      </c>
      <c r="K1025" s="96" t="inlineStr">
        <is>
          <t>2408 XIAO NOODLES</t>
        </is>
      </c>
    </row>
    <row r="1026">
      <c r="A1026" s="16" t="inlineStr">
        <is>
          <t>HK Dongbin Joint Victory Development Co. Limited</t>
        </is>
      </c>
      <c r="B1026" s="89" t="n">
        <v>1</v>
      </c>
      <c r="C1026" s="94" t="n">
        <v>0</v>
      </c>
      <c r="D1026" s="95" t="n">
        <v>-29</v>
      </c>
      <c r="E1026" s="95" t="n">
        <v>-41.4</v>
      </c>
      <c r="F1026" s="95" t="n">
        <v>-44.7</v>
      </c>
      <c r="G1026" s="95" t="n">
        <v>-37</v>
      </c>
      <c r="H1026" s="95" t="n">
        <v>-17.4</v>
      </c>
      <c r="I1026" s="95" t="n">
        <v>-22.1</v>
      </c>
      <c r="J1026" s="95" t="n">
        <v>-11.2</v>
      </c>
      <c r="K1026" s="96" t="inlineStr">
        <is>
          <t>9930 HORIZON CD</t>
        </is>
      </c>
    </row>
    <row r="1027">
      <c r="A1027" s="16" t="inlineStr">
        <is>
          <t>LGMG International Limited</t>
        </is>
      </c>
      <c r="B1027" s="89" t="n">
        <v>1</v>
      </c>
      <c r="C1027" s="94" t="n">
        <v>0</v>
      </c>
      <c r="D1027" s="95" t="n">
        <v>-29</v>
      </c>
      <c r="E1027" s="95" t="n">
        <v>-41.4</v>
      </c>
      <c r="F1027" s="95" t="n">
        <v>-44.7</v>
      </c>
      <c r="G1027" s="95" t="n">
        <v>-37</v>
      </c>
      <c r="H1027" s="95" t="n">
        <v>-17.4</v>
      </c>
      <c r="I1027" s="95" t="n">
        <v>-22.1</v>
      </c>
      <c r="J1027" s="95" t="n">
        <v>-11.2</v>
      </c>
      <c r="K1027" s="96" t="inlineStr">
        <is>
          <t>9930 HORIZON CD</t>
        </is>
      </c>
    </row>
    <row r="1028">
      <c r="A1028" s="16" t="inlineStr">
        <is>
          <t>Shanghai Gold Ring Enterprise Group Co., Ltd</t>
        </is>
      </c>
      <c r="B1028" s="89" t="n">
        <v>1</v>
      </c>
      <c r="C1028" s="94" t="n">
        <v>0</v>
      </c>
      <c r="D1028" s="95" t="n">
        <v>-29</v>
      </c>
      <c r="E1028" s="95" t="n">
        <v>-41.4</v>
      </c>
      <c r="F1028" s="95" t="n">
        <v>-44.7</v>
      </c>
      <c r="G1028" s="95" t="n">
        <v>-37</v>
      </c>
      <c r="H1028" s="95" t="n">
        <v>-17.4</v>
      </c>
      <c r="I1028" s="95" t="n">
        <v>-22.1</v>
      </c>
      <c r="J1028" s="95" t="n">
        <v>-11.2</v>
      </c>
      <c r="K1028" s="96" t="inlineStr">
        <is>
          <t>9930 HORIZON CD</t>
        </is>
      </c>
    </row>
    <row r="1029">
      <c r="A1029" s="16" t="inlineStr">
        <is>
          <t>Shanghai Putuo Science and Technology Investment Co., Ltd</t>
        </is>
      </c>
      <c r="B1029" s="89" t="n">
        <v>1</v>
      </c>
      <c r="C1029" s="94" t="n">
        <v>0</v>
      </c>
      <c r="D1029" s="95" t="n">
        <v>-29</v>
      </c>
      <c r="E1029" s="95" t="n">
        <v>-41.4</v>
      </c>
      <c r="F1029" s="95" t="n">
        <v>-44.7</v>
      </c>
      <c r="G1029" s="95" t="n">
        <v>-37</v>
      </c>
      <c r="H1029" s="95" t="n">
        <v>-17.4</v>
      </c>
      <c r="I1029" s="95" t="n">
        <v>-22.1</v>
      </c>
      <c r="J1029" s="95" t="n">
        <v>-11.2</v>
      </c>
      <c r="K1029" s="96" t="inlineStr">
        <is>
          <t>9930 HORIZON CD</t>
        </is>
      </c>
    </row>
    <row r="1030">
      <c r="A1030" s="16" t="inlineStr">
        <is>
          <t>Xinheng Holding Limited</t>
        </is>
      </c>
      <c r="B1030" s="89" t="n">
        <v>1</v>
      </c>
      <c r="C1030" s="94" t="n">
        <v>0</v>
      </c>
      <c r="D1030" s="95" t="n">
        <v>-29</v>
      </c>
      <c r="E1030" s="95" t="n">
        <v>-41.4</v>
      </c>
      <c r="F1030" s="95" t="n">
        <v>-44.7</v>
      </c>
      <c r="G1030" s="95" t="n">
        <v>-37</v>
      </c>
      <c r="H1030" s="95" t="n">
        <v>-17.4</v>
      </c>
      <c r="I1030" s="95" t="n">
        <v>-22.1</v>
      </c>
      <c r="J1030" s="95" t="n">
        <v>-11.2</v>
      </c>
      <c r="K1030" s="96" t="inlineStr">
        <is>
          <t>9930 HORIZON CD</t>
        </is>
      </c>
    </row>
    <row r="1031">
      <c r="A1031" s="16" t="inlineStr">
        <is>
          <t>Tenancy Co., Limited</t>
        </is>
      </c>
      <c r="B1031" s="89" t="n">
        <v>1</v>
      </c>
      <c r="C1031" s="94" t="n">
        <v>0</v>
      </c>
      <c r="D1031" s="95" t="n">
        <v>-29.3</v>
      </c>
      <c r="E1031" s="95" t="n">
        <v>-30</v>
      </c>
      <c r="F1031" s="95" t="n">
        <v>-23.3</v>
      </c>
      <c r="G1031" s="95" t="n">
        <v>-16</v>
      </c>
      <c r="H1031" s="95" t="n">
        <v>-0.9</v>
      </c>
      <c r="I1031" s="95" t="n">
        <v>8.5</v>
      </c>
      <c r="J1031" s="95" t="n">
        <v>18.9</v>
      </c>
      <c r="K1031" s="96" t="inlineStr">
        <is>
          <t>2187 ZHIXIN GP HLDG</t>
        </is>
      </c>
    </row>
    <row r="1032">
      <c r="A1032" s="16" t="inlineStr">
        <is>
          <t>Wang Miao</t>
        </is>
      </c>
      <c r="B1032" s="89" t="n">
        <v>1</v>
      </c>
      <c r="C1032" s="94" t="n">
        <v>0</v>
      </c>
      <c r="D1032" s="95" t="n">
        <v>-29.3</v>
      </c>
      <c r="E1032" s="95" t="n">
        <v>-30</v>
      </c>
      <c r="F1032" s="95" t="n">
        <v>-23.3</v>
      </c>
      <c r="G1032" s="95" t="n">
        <v>-16</v>
      </c>
      <c r="H1032" s="95" t="n">
        <v>-0.9</v>
      </c>
      <c r="I1032" s="95" t="n">
        <v>8.5</v>
      </c>
      <c r="J1032" s="95" t="n">
        <v>18.9</v>
      </c>
      <c r="K1032" s="96" t="inlineStr">
        <is>
          <t>2187 ZHIXIN GP HLDG</t>
        </is>
      </c>
    </row>
    <row r="1033">
      <c r="A1033" s="16" t="inlineStr">
        <is>
          <t>Mr. Mao Xiangyu</t>
        </is>
      </c>
      <c r="B1033" s="89" t="n">
        <v>1</v>
      </c>
      <c r="C1033" s="94" t="n">
        <v>0</v>
      </c>
      <c r="D1033" s="95" t="n">
        <v>-30.2</v>
      </c>
      <c r="E1033" s="95" t="n">
        <v>-21.7</v>
      </c>
      <c r="F1033" s="95" t="n">
        <v>-17.8</v>
      </c>
      <c r="G1033" s="95" t="n">
        <v>-17.9</v>
      </c>
      <c r="H1033" s="95" t="n">
        <v>12.1</v>
      </c>
      <c r="I1033" s="95" t="n">
        <v>17.7</v>
      </c>
      <c r="J1033" s="95" t="n">
        <v>17.5</v>
      </c>
      <c r="K1033" s="96" t="inlineStr">
        <is>
          <t>2658 TIANYU SEMI</t>
        </is>
      </c>
    </row>
    <row r="1034">
      <c r="A1034" s="16" t="inlineStr">
        <is>
          <t>Kwok Tai East International Group Limited</t>
        </is>
      </c>
      <c r="B1034" s="89" t="n">
        <v>1</v>
      </c>
      <c r="C1034" s="94" t="n">
        <v>0</v>
      </c>
      <c r="D1034" s="95" t="n">
        <v>-33.5</v>
      </c>
      <c r="E1034" s="95" t="n">
        <v>-48.3</v>
      </c>
      <c r="F1034" s="95" t="n">
        <v>-62.2</v>
      </c>
      <c r="G1034" s="95" t="n">
        <v>-37.1</v>
      </c>
      <c r="H1034" s="95" t="n">
        <v>-22.2</v>
      </c>
      <c r="I1034" s="95" t="n">
        <v>-43.1</v>
      </c>
      <c r="J1034" s="95" t="n">
        <v>-5.3</v>
      </c>
      <c r="K1034" s="96" t="inlineStr">
        <is>
          <t>9863 LEAPMOTOR</t>
        </is>
      </c>
    </row>
    <row r="1035">
      <c r="A1035" s="16" t="inlineStr">
        <is>
          <t>ZhongBaoNew materials. Ltd</t>
        </is>
      </c>
      <c r="B1035" s="89" t="n">
        <v>1</v>
      </c>
      <c r="C1035" s="94" t="n">
        <v>0</v>
      </c>
      <c r="D1035" s="95" t="n">
        <v>-35.2</v>
      </c>
      <c r="E1035" s="95" t="n">
        <v>-36.2</v>
      </c>
      <c r="F1035" s="95" t="n">
        <v>-39</v>
      </c>
      <c r="G1035" s="95" t="n">
        <v>-50.5</v>
      </c>
      <c r="H1035" s="95" t="n">
        <v>-1.5</v>
      </c>
      <c r="I1035" s="95" t="n">
        <v>-5.9</v>
      </c>
      <c r="J1035" s="95" t="n">
        <v>-23.5</v>
      </c>
      <c r="K1035" s="96" t="inlineStr">
        <is>
          <t>2439 CH TREASURES NM</t>
        </is>
      </c>
    </row>
    <row r="1036">
      <c r="A1036" s="16" t="inlineStr">
        <is>
          <t>Jiu Rong Holdings Limited</t>
        </is>
      </c>
      <c r="B1036" s="89" t="n">
        <v>1</v>
      </c>
      <c r="C1036" s="94" t="n">
        <v>0</v>
      </c>
      <c r="D1036" s="95" t="n">
        <v>-36</v>
      </c>
      <c r="E1036" s="95" t="n">
        <v>-48</v>
      </c>
      <c r="F1036" s="95" t="n">
        <v>-50.4</v>
      </c>
      <c r="G1036" s="95" t="n">
        <v>-52.4</v>
      </c>
      <c r="H1036" s="95" t="n">
        <v>-18.8</v>
      </c>
      <c r="I1036" s="95" t="n">
        <v>-22.5</v>
      </c>
      <c r="J1036" s="95" t="n">
        <v>-25.6</v>
      </c>
      <c r="K1036" s="96" t="inlineStr">
        <is>
          <t>9608 SUNDY SERVICE</t>
        </is>
      </c>
    </row>
    <row r="1037">
      <c r="A1037" s="16" t="inlineStr">
        <is>
          <t>Yingke No.1 (Hongkong) Limited</t>
        </is>
      </c>
      <c r="B1037" s="89" t="n">
        <v>1</v>
      </c>
      <c r="C1037" s="94" t="n">
        <v>0</v>
      </c>
      <c r="D1037" s="95" t="n">
        <v>-36.9</v>
      </c>
      <c r="E1037" s="95" t="n">
        <v>1.8</v>
      </c>
      <c r="F1037" s="95" t="n">
        <v>94.09999999999999</v>
      </c>
      <c r="G1037" s="95" t="n">
        <v>149.1</v>
      </c>
      <c r="H1037" s="95" t="n">
        <v>61.4</v>
      </c>
      <c r="I1037" s="95" t="n">
        <v>207.7</v>
      </c>
      <c r="J1037" s="95" t="n">
        <v>294.9</v>
      </c>
      <c r="K1037" s="96" t="inlineStr">
        <is>
          <t>2632 NEW VISION CO</t>
        </is>
      </c>
    </row>
    <row r="1038">
      <c r="A1038" s="16" t="inlineStr">
        <is>
          <t>Purple Diamond Ltd</t>
        </is>
      </c>
      <c r="B1038" s="89" t="n">
        <v>1</v>
      </c>
      <c r="C1038" s="94" t="n">
        <v>0</v>
      </c>
      <c r="D1038" s="95" t="n">
        <v>-37.4</v>
      </c>
      <c r="E1038" s="95" t="n">
        <v>-44.3</v>
      </c>
      <c r="F1038" s="95" t="n">
        <v>-45.1</v>
      </c>
      <c r="G1038" s="95" t="n"/>
      <c r="H1038" s="95" t="n">
        <v>-11.1</v>
      </c>
      <c r="I1038" s="95" t="n">
        <v>-12.3</v>
      </c>
      <c r="J1038" s="95" t="n"/>
      <c r="K1038" s="96" t="inlineStr">
        <is>
          <t>0537 RIGOL</t>
        </is>
      </c>
    </row>
    <row r="1039">
      <c r="A1039" s="16" t="inlineStr">
        <is>
          <t>Heda Jinyuan (HK)</t>
        </is>
      </c>
      <c r="B1039" s="89" t="n">
        <v>1</v>
      </c>
      <c r="C1039" s="94" t="n">
        <v>0</v>
      </c>
      <c r="D1039" s="95" t="n">
        <v>-38.4</v>
      </c>
      <c r="E1039" s="95" t="n">
        <v>-35.4</v>
      </c>
      <c r="F1039" s="95" t="n">
        <v>-46.9</v>
      </c>
      <c r="G1039" s="95" t="n">
        <v>-47.4</v>
      </c>
      <c r="H1039" s="95" t="n">
        <v>5</v>
      </c>
      <c r="I1039" s="95" t="n">
        <v>-13.7</v>
      </c>
      <c r="J1039" s="95" t="n">
        <v>-14.6</v>
      </c>
      <c r="K1039" s="96" t="inlineStr">
        <is>
          <t>2566 JIUYUAN GENE</t>
        </is>
      </c>
    </row>
    <row r="1040">
      <c r="A1040" s="16" t="inlineStr">
        <is>
          <t>Delta Capital Hong Kong</t>
        </is>
      </c>
      <c r="B1040" s="89" t="n">
        <v>1</v>
      </c>
      <c r="C1040" s="94" t="n">
        <v>0</v>
      </c>
      <c r="D1040" s="95" t="n">
        <v>-38.4</v>
      </c>
      <c r="E1040" s="95" t="n">
        <v>-35.4</v>
      </c>
      <c r="F1040" s="95" t="n">
        <v>-46.9</v>
      </c>
      <c r="G1040" s="95" t="n">
        <v>-47.4</v>
      </c>
      <c r="H1040" s="95" t="n">
        <v>5</v>
      </c>
      <c r="I1040" s="95" t="n">
        <v>-13.7</v>
      </c>
      <c r="J1040" s="95" t="n">
        <v>-14.6</v>
      </c>
      <c r="K1040" s="96" t="inlineStr">
        <is>
          <t>2566 JIUYUAN GENE</t>
        </is>
      </c>
    </row>
    <row r="1041">
      <c r="A1041" s="16" t="inlineStr">
        <is>
          <t>Offering WSH</t>
        </is>
      </c>
      <c r="B1041" s="89" t="n">
        <v>1</v>
      </c>
      <c r="C1041" s="94" t="n">
        <v>0</v>
      </c>
      <c r="D1041" s="95" t="n">
        <v>-38.6</v>
      </c>
      <c r="E1041" s="95" t="n">
        <v>-42.6</v>
      </c>
      <c r="F1041" s="95" t="n">
        <v>-49.5</v>
      </c>
      <c r="G1041" s="95" t="n">
        <v>-55.4</v>
      </c>
      <c r="H1041" s="95" t="n">
        <v>-6.5</v>
      </c>
      <c r="I1041" s="95" t="n">
        <v>-17.7</v>
      </c>
      <c r="J1041" s="95" t="n">
        <v>-27.3</v>
      </c>
      <c r="K1041" s="96" t="inlineStr">
        <is>
          <t>2592 CLOUDBREAK-B</t>
        </is>
      </c>
    </row>
    <row r="1042">
      <c r="A1042" s="16" t="inlineStr">
        <is>
          <t>AIRPORT TECHNOLOGY CAPITAL (HONG KONG) CO., LIMITED</t>
        </is>
      </c>
      <c r="B1042" s="89" t="n">
        <v>1</v>
      </c>
      <c r="C1042" s="94" t="n">
        <v>0</v>
      </c>
      <c r="D1042" s="95" t="n">
        <v>-39.1</v>
      </c>
      <c r="E1042" s="95" t="n">
        <v>-44.7</v>
      </c>
      <c r="F1042" s="95" t="n">
        <v>-49.1</v>
      </c>
      <c r="G1042" s="95" t="n"/>
      <c r="H1042" s="95" t="n">
        <v>-9.300000000000001</v>
      </c>
      <c r="I1042" s="95" t="n">
        <v>-16.4</v>
      </c>
      <c r="J1042" s="95" t="n"/>
      <c r="K1042" s="96" t="inlineStr">
        <is>
          <t>2667 TONGRENTANGCARE</t>
        </is>
      </c>
    </row>
    <row r="1043">
      <c r="A1043" s="16" t="inlineStr">
        <is>
          <t>Ms. Dou</t>
        </is>
      </c>
      <c r="B1043" s="89" t="n">
        <v>1</v>
      </c>
      <c r="C1043" s="94" t="n">
        <v>0</v>
      </c>
      <c r="D1043" s="95" t="n">
        <v>-39.2</v>
      </c>
      <c r="E1043" s="95" t="n">
        <v>-39.2</v>
      </c>
      <c r="F1043" s="95" t="n">
        <v>-50</v>
      </c>
      <c r="G1043" s="95" t="n">
        <v>-52.4</v>
      </c>
      <c r="H1043" s="95" t="n">
        <v>0</v>
      </c>
      <c r="I1043" s="95" t="n">
        <v>-17.8</v>
      </c>
      <c r="J1043" s="95" t="n">
        <v>-21.7</v>
      </c>
      <c r="K1043" s="96" t="inlineStr">
        <is>
          <t>2515 TJCD</t>
        </is>
      </c>
    </row>
    <row r="1044">
      <c r="A1044" s="16" t="inlineStr">
        <is>
          <t>Arda (HK) Investment Co., Limited</t>
        </is>
      </c>
      <c r="B1044" s="89" t="n">
        <v>1</v>
      </c>
      <c r="C1044" s="94" t="n">
        <v>0</v>
      </c>
      <c r="D1044" s="95" t="n">
        <v>-40</v>
      </c>
      <c r="E1044" s="95" t="n">
        <v>-25</v>
      </c>
      <c r="F1044" s="95" t="n">
        <v>-15</v>
      </c>
      <c r="G1044" s="95" t="n">
        <v>-31</v>
      </c>
      <c r="H1044" s="95" t="n">
        <v>25</v>
      </c>
      <c r="I1044" s="95" t="n">
        <v>41.7</v>
      </c>
      <c r="J1044" s="95" t="n">
        <v>15</v>
      </c>
      <c r="K1044" s="96" t="inlineStr">
        <is>
          <t>2457 BUYANG INTL</t>
        </is>
      </c>
    </row>
    <row r="1045">
      <c r="A1045" s="16" t="inlineStr">
        <is>
          <t>INFO EXPERT SERVICES LIMITED</t>
        </is>
      </c>
      <c r="B1045" s="89" t="n">
        <v>1</v>
      </c>
      <c r="C1045" s="94" t="n">
        <v>0</v>
      </c>
      <c r="D1045" s="95" t="n">
        <v>-42.9</v>
      </c>
      <c r="E1045" s="95" t="n">
        <v>-51.3</v>
      </c>
      <c r="F1045" s="95" t="n">
        <v>-66.40000000000001</v>
      </c>
      <c r="G1045" s="95" t="n">
        <v>-70.2</v>
      </c>
      <c r="H1045" s="95" t="n">
        <v>-14.7</v>
      </c>
      <c r="I1045" s="95" t="n">
        <v>-41.2</v>
      </c>
      <c r="J1045" s="95" t="n">
        <v>-47.8</v>
      </c>
      <c r="K1045" s="96" t="inlineStr">
        <is>
          <t>9686 NEUSOFT XIKANG</t>
        </is>
      </c>
    </row>
    <row r="1046">
      <c r="A1046" s="16" t="inlineStr">
        <is>
          <t>Anhui Shengchang</t>
        </is>
      </c>
      <c r="B1046" s="89" t="n">
        <v>1</v>
      </c>
      <c r="C1046" s="94" t="n">
        <v>0</v>
      </c>
      <c r="D1046" s="95" t="n">
        <v>-47.7</v>
      </c>
      <c r="E1046" s="95" t="n">
        <v>-51.7</v>
      </c>
      <c r="F1046" s="95" t="n">
        <v>-54.7</v>
      </c>
      <c r="G1046" s="95" t="n">
        <v>-41.3</v>
      </c>
      <c r="H1046" s="95" t="n">
        <v>-7.6</v>
      </c>
      <c r="I1046" s="95" t="n">
        <v>-13.4</v>
      </c>
      <c r="J1046" s="95" t="n">
        <v>12.1</v>
      </c>
      <c r="K1046" s="96" t="inlineStr">
        <is>
          <t>2560 CONCH MAT TECH</t>
        </is>
      </c>
    </row>
    <row r="1047">
      <c r="A1047" s="16" t="inlineStr">
        <is>
          <t>Wuhu Artec</t>
        </is>
      </c>
      <c r="B1047" s="89" t="n">
        <v>1</v>
      </c>
      <c r="C1047" s="94" t="n">
        <v>0</v>
      </c>
      <c r="D1047" s="95" t="n">
        <v>-47.7</v>
      </c>
      <c r="E1047" s="95" t="n">
        <v>-51.7</v>
      </c>
      <c r="F1047" s="95" t="n">
        <v>-54.7</v>
      </c>
      <c r="G1047" s="95" t="n">
        <v>-41.3</v>
      </c>
      <c r="H1047" s="95" t="n">
        <v>-7.6</v>
      </c>
      <c r="I1047" s="95" t="n">
        <v>-13.4</v>
      </c>
      <c r="J1047" s="95" t="n">
        <v>12.1</v>
      </c>
      <c r="K1047" s="96" t="inlineStr">
        <is>
          <t>2560 CONCH MAT TECH</t>
        </is>
      </c>
    </row>
    <row r="1048">
      <c r="A1048" s="16" t="inlineStr">
        <is>
          <t>Guangdong Zongxing</t>
        </is>
      </c>
      <c r="B1048" s="89" t="n">
        <v>1</v>
      </c>
      <c r="C1048" s="94" t="n">
        <v>0</v>
      </c>
      <c r="D1048" s="95" t="n">
        <v>-47.7</v>
      </c>
      <c r="E1048" s="95" t="n">
        <v>-51.7</v>
      </c>
      <c r="F1048" s="95" t="n">
        <v>-54.7</v>
      </c>
      <c r="G1048" s="95" t="n">
        <v>-41.3</v>
      </c>
      <c r="H1048" s="95" t="n">
        <v>-7.6</v>
      </c>
      <c r="I1048" s="95" t="n">
        <v>-13.4</v>
      </c>
      <c r="J1048" s="95" t="n">
        <v>12.1</v>
      </c>
      <c r="K1048" s="96" t="inlineStr">
        <is>
          <t>2560 CONCH MAT TECH</t>
        </is>
      </c>
    </row>
    <row r="1049">
      <c r="A1049" s="16" t="inlineStr">
        <is>
          <t>Shenzhen Gaodeng</t>
        </is>
      </c>
      <c r="B1049" s="89" t="n">
        <v>1</v>
      </c>
      <c r="C1049" s="94" t="n">
        <v>0</v>
      </c>
      <c r="D1049" s="95" t="n">
        <v>-47.7</v>
      </c>
      <c r="E1049" s="95" t="n">
        <v>-51.7</v>
      </c>
      <c r="F1049" s="95" t="n">
        <v>-54.7</v>
      </c>
      <c r="G1049" s="95" t="n">
        <v>-41.3</v>
      </c>
      <c r="H1049" s="95" t="n">
        <v>-7.6</v>
      </c>
      <c r="I1049" s="95" t="n">
        <v>-13.4</v>
      </c>
      <c r="J1049" s="95" t="n">
        <v>12.1</v>
      </c>
      <c r="K1049" s="96" t="inlineStr">
        <is>
          <t>2560 CONCH MAT TECH</t>
        </is>
      </c>
    </row>
    <row r="1050">
      <c r="A1050" s="16" t="inlineStr">
        <is>
          <t>Jiantou International (Hong Kong) Co., Limited</t>
        </is>
      </c>
      <c r="B1050" s="89" t="n">
        <v>1</v>
      </c>
      <c r="C1050" s="94" t="n">
        <v>0</v>
      </c>
      <c r="D1050" s="95" t="n">
        <v>-49.2</v>
      </c>
      <c r="E1050" s="95" t="n">
        <v>-53.2</v>
      </c>
      <c r="F1050" s="95" t="n">
        <v>-62.3</v>
      </c>
      <c r="G1050" s="95" t="n">
        <v>-74.8</v>
      </c>
      <c r="H1050" s="95" t="n">
        <v>-7.9</v>
      </c>
      <c r="I1050" s="95" t="n">
        <v>-25.8</v>
      </c>
      <c r="J1050" s="95" t="n">
        <v>-50.5</v>
      </c>
      <c r="K1050" s="96" t="inlineStr">
        <is>
          <t>0664 TONGSHIFU</t>
        </is>
      </c>
    </row>
    <row r="1051">
      <c r="A1051" s="16" t="inlineStr">
        <is>
          <t>Heron Neutron Medical</t>
        </is>
      </c>
      <c r="B1051" s="89" t="n">
        <v>1</v>
      </c>
      <c r="C1051" s="94" t="n">
        <v>0</v>
      </c>
      <c r="D1051" s="95" t="n">
        <v>-49.5</v>
      </c>
      <c r="E1051" s="95" t="n">
        <v>-56</v>
      </c>
      <c r="F1051" s="95" t="n">
        <v>-56.2</v>
      </c>
      <c r="G1051" s="95" t="n">
        <v>-63.1</v>
      </c>
      <c r="H1051" s="95" t="n">
        <v>-12.9</v>
      </c>
      <c r="I1051" s="95" t="n">
        <v>-13.4</v>
      </c>
      <c r="J1051" s="95" t="n">
        <v>-26.9</v>
      </c>
      <c r="K1051" s="96" t="inlineStr">
        <is>
          <t>2581 BENQ HOLDING</t>
        </is>
      </c>
    </row>
    <row r="1052">
      <c r="A1052" s="16" t="inlineStr">
        <is>
          <t>Cowealth (China)</t>
        </is>
      </c>
      <c r="B1052" s="89" t="n">
        <v>1</v>
      </c>
      <c r="C1052" s="94" t="n">
        <v>0</v>
      </c>
      <c r="D1052" s="95" t="n">
        <v>-49.5</v>
      </c>
      <c r="E1052" s="95" t="n">
        <v>-56</v>
      </c>
      <c r="F1052" s="95" t="n">
        <v>-56.2</v>
      </c>
      <c r="G1052" s="95" t="n">
        <v>-63.1</v>
      </c>
      <c r="H1052" s="95" t="n">
        <v>-12.9</v>
      </c>
      <c r="I1052" s="95" t="n">
        <v>-13.4</v>
      </c>
      <c r="J1052" s="95" t="n">
        <v>-26.9</v>
      </c>
      <c r="K1052" s="96" t="inlineStr">
        <is>
          <t>2581 BENQ HOLDING</t>
        </is>
      </c>
    </row>
    <row r="1053">
      <c r="A1053" s="16" t="inlineStr">
        <is>
          <t>DFI Development Holdings Limited</t>
        </is>
      </c>
      <c r="B1053" s="89" t="n">
        <v>1</v>
      </c>
      <c r="C1053" s="94" t="n">
        <v>0</v>
      </c>
      <c r="D1053" s="95" t="n">
        <v>-54.3</v>
      </c>
      <c r="E1053" s="95" t="n">
        <v>-79.2</v>
      </c>
      <c r="F1053" s="95" t="n">
        <v>-80.2</v>
      </c>
      <c r="G1053" s="95" t="n">
        <v>-57</v>
      </c>
      <c r="H1053" s="95" t="n">
        <v>-54.4</v>
      </c>
      <c r="I1053" s="95" t="n">
        <v>-56.6</v>
      </c>
      <c r="J1053" s="95" t="n">
        <v>-5.8</v>
      </c>
      <c r="K1053" s="96" t="inlineStr">
        <is>
          <t>2586 DMALL</t>
        </is>
      </c>
    </row>
    <row r="1054">
      <c r="A1054" s="16" t="inlineStr">
        <is>
          <t>CAPRET (SG) PTE. LTD</t>
        </is>
      </c>
      <c r="B1054" s="89" t="n">
        <v>1</v>
      </c>
      <c r="C1054" s="94" t="n">
        <v>0</v>
      </c>
      <c r="D1054" s="95" t="n">
        <v>-54.3</v>
      </c>
      <c r="E1054" s="95" t="n">
        <v>-79.2</v>
      </c>
      <c r="F1054" s="95" t="n">
        <v>-80.2</v>
      </c>
      <c r="G1054" s="95" t="n">
        <v>-57</v>
      </c>
      <c r="H1054" s="95" t="n">
        <v>-54.4</v>
      </c>
      <c r="I1054" s="95" t="n">
        <v>-56.6</v>
      </c>
      <c r="J1054" s="95" t="n">
        <v>-5.8</v>
      </c>
      <c r="K1054" s="96" t="inlineStr">
        <is>
          <t>2586 DMALL</t>
        </is>
      </c>
    </row>
    <row r="1055">
      <c r="A1055" s="16" t="inlineStr">
        <is>
          <t>Odor Nice Limited</t>
        </is>
      </c>
      <c r="B1055" s="89" t="n">
        <v>1</v>
      </c>
      <c r="C1055" s="94" t="n">
        <v>0</v>
      </c>
      <c r="D1055" s="95" t="n">
        <v>-54.3</v>
      </c>
      <c r="E1055" s="95" t="n">
        <v>-79.2</v>
      </c>
      <c r="F1055" s="95" t="n">
        <v>-80.2</v>
      </c>
      <c r="G1055" s="95" t="n">
        <v>-57</v>
      </c>
      <c r="H1055" s="95" t="n">
        <v>-54.4</v>
      </c>
      <c r="I1055" s="95" t="n">
        <v>-56.6</v>
      </c>
      <c r="J1055" s="95" t="n">
        <v>-5.8</v>
      </c>
      <c r="K1055" s="96" t="inlineStr">
        <is>
          <t>2586 DMALL</t>
        </is>
      </c>
    </row>
    <row r="1056">
      <c r="A1056" s="16" t="inlineStr">
        <is>
          <t>Woseon Limited Partnership</t>
        </is>
      </c>
      <c r="B1056" s="89" t="n">
        <v>1</v>
      </c>
      <c r="C1056" s="94" t="n">
        <v>0</v>
      </c>
      <c r="D1056" s="95" t="n">
        <v>-56.7</v>
      </c>
      <c r="E1056" s="95" t="n">
        <v>-56.7</v>
      </c>
      <c r="F1056" s="95" t="n">
        <v>-62.5</v>
      </c>
      <c r="G1056" s="95" t="n">
        <v>-75.3</v>
      </c>
      <c r="H1056" s="95" t="n">
        <v>0</v>
      </c>
      <c r="I1056" s="95" t="n">
        <v>-13.4</v>
      </c>
      <c r="J1056" s="95" t="n">
        <v>-42.9</v>
      </c>
      <c r="K1056" s="96" t="inlineStr">
        <is>
          <t>2567 QINIU</t>
        </is>
      </c>
    </row>
    <row r="1057">
      <c r="A1057" s="16" t="inlineStr">
        <is>
          <t>Key Broad Future Limited</t>
        </is>
      </c>
      <c r="B1057" s="89" t="n">
        <v>1</v>
      </c>
      <c r="C1057" s="94" t="n">
        <v>0</v>
      </c>
      <c r="D1057" s="95" t="n">
        <v>-56.9</v>
      </c>
      <c r="E1057" s="95" t="n">
        <v>-56.1</v>
      </c>
      <c r="F1057" s="95" t="n">
        <v>-42.5</v>
      </c>
      <c r="G1057" s="95" t="n"/>
      <c r="H1057" s="95" t="n">
        <v>1.7</v>
      </c>
      <c r="I1057" s="95" t="n">
        <v>33.3</v>
      </c>
      <c r="J1057" s="95" t="n"/>
      <c r="K1057" s="96"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15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7" t="inlineStr">
        <is>
          <t>2021-01-18</t>
        </is>
      </c>
      <c r="D6" s="98"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7" t="inlineStr">
        <is>
          <t>2021-02-08</t>
        </is>
      </c>
      <c r="D7" s="98"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7" t="inlineStr">
        <is>
          <t>2021-03-15</t>
        </is>
      </c>
      <c r="D8" s="98"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7" t="inlineStr">
        <is>
          <t>2021-03-29</t>
        </is>
      </c>
      <c r="D9" s="98"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7" t="inlineStr">
        <is>
          <t>2021-04-19</t>
        </is>
      </c>
      <c r="D10" s="98"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7" t="inlineStr">
        <is>
          <t>2021-05-17</t>
        </is>
      </c>
      <c r="D11" s="98"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7" t="inlineStr">
        <is>
          <t>2021-05-31</t>
        </is>
      </c>
      <c r="D12" s="98"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7" t="inlineStr">
        <is>
          <t>2021-06-28</t>
        </is>
      </c>
      <c r="D13" s="98"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7" t="inlineStr">
        <is>
          <t>2021-06-28</t>
        </is>
      </c>
      <c r="D14" s="98"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7" t="inlineStr">
        <is>
          <t>2021-07-02</t>
        </is>
      </c>
      <c r="D15" s="98"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7" t="inlineStr">
        <is>
          <t>2021-07-05</t>
        </is>
      </c>
      <c r="D16" s="98"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7" t="inlineStr">
        <is>
          <t>2021-07-12</t>
        </is>
      </c>
      <c r="D17" s="98"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7" t="inlineStr">
        <is>
          <t>2021-07-12</t>
        </is>
      </c>
      <c r="D18" s="98"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7" t="inlineStr">
        <is>
          <t>2021-07-19</t>
        </is>
      </c>
      <c r="D19" s="98"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7" t="inlineStr">
        <is>
          <t>2021-10-04</t>
        </is>
      </c>
      <c r="D20" s="98"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7" t="inlineStr">
        <is>
          <t>2021-11-08</t>
        </is>
      </c>
      <c r="D21" s="98"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7" t="inlineStr">
        <is>
          <t>2021-12-13</t>
        </is>
      </c>
      <c r="D22" s="98"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7" t="inlineStr">
        <is>
          <t>2022-01-17</t>
        </is>
      </c>
      <c r="D23" s="98"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7" t="inlineStr">
        <is>
          <t>2022-07-18</t>
        </is>
      </c>
      <c r="D24" s="98"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7" t="inlineStr">
        <is>
          <t>2022-09-26</t>
        </is>
      </c>
      <c r="D25" s="98"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7" t="inlineStr">
        <is>
          <t>2022-10-10</t>
        </is>
      </c>
      <c r="D26" s="98"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7" t="inlineStr">
        <is>
          <t>2022-10-10</t>
        </is>
      </c>
      <c r="D27" s="98"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7" t="inlineStr">
        <is>
          <t>2022-10-17</t>
        </is>
      </c>
      <c r="D28" s="98"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7" t="inlineStr">
        <is>
          <t>2022-12-12</t>
        </is>
      </c>
      <c r="D29" s="98"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7" t="inlineStr">
        <is>
          <t>2022-12-12</t>
        </is>
      </c>
      <c r="D30" s="98"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7" t="inlineStr">
        <is>
          <t>2023-01-09</t>
        </is>
      </c>
      <c r="D31" s="98"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7" t="inlineStr">
        <is>
          <t>2023-01-16</t>
        </is>
      </c>
      <c r="D32" s="98"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7" t="inlineStr">
        <is>
          <t>2023-01-16</t>
        </is>
      </c>
      <c r="D33" s="98"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7" t="inlineStr">
        <is>
          <t>2023-01-16</t>
        </is>
      </c>
      <c r="D34" s="98"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7" t="inlineStr">
        <is>
          <t>2023-05-08</t>
        </is>
      </c>
      <c r="D35" s="98"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7" t="inlineStr">
        <is>
          <t>2023-06-12</t>
        </is>
      </c>
      <c r="D36" s="98"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7" t="inlineStr">
        <is>
          <t>2023-07-10</t>
        </is>
      </c>
      <c r="D37" s="98"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7" t="inlineStr">
        <is>
          <t>2023-07-18</t>
        </is>
      </c>
      <c r="D38" s="98"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7" t="inlineStr">
        <is>
          <t>2023-09-25</t>
        </is>
      </c>
      <c r="D39" s="98"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7" t="inlineStr">
        <is>
          <t>2023-09-25</t>
        </is>
      </c>
      <c r="D40" s="98"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7" t="inlineStr">
        <is>
          <t>2023-12-18</t>
        </is>
      </c>
      <c r="D41" s="98"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7" t="inlineStr">
        <is>
          <t>2024-05-16</t>
        </is>
      </c>
      <c r="D42" s="98"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7" t="inlineStr">
        <is>
          <t>2024-05-27</t>
        </is>
      </c>
      <c r="D43" s="98"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7" t="inlineStr">
        <is>
          <t>2024-07-15</t>
        </is>
      </c>
      <c r="D44" s="98"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7" t="inlineStr">
        <is>
          <t>2024-10-02</t>
        </is>
      </c>
      <c r="D45" s="98"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7" t="inlineStr">
        <is>
          <t>2024-12-23</t>
        </is>
      </c>
      <c r="D46" s="98"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7" t="inlineStr">
        <is>
          <t>2024-12-27</t>
        </is>
      </c>
      <c r="D47" s="98"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7" t="inlineStr">
        <is>
          <t>2024-12-30</t>
        </is>
      </c>
      <c r="D48" s="98"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7" t="inlineStr">
        <is>
          <t>2024-12-30</t>
        </is>
      </c>
      <c r="D49" s="98"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7" t="inlineStr">
        <is>
          <t>2024-12-30</t>
        </is>
      </c>
      <c r="D50" s="98"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7" t="inlineStr">
        <is>
          <t>2025-01-13</t>
        </is>
      </c>
      <c r="D51" s="98"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7" t="inlineStr">
        <is>
          <t>2025-03-03</t>
        </is>
      </c>
      <c r="D52" s="98"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7" t="inlineStr">
        <is>
          <t>2025-03-10</t>
        </is>
      </c>
      <c r="D53" s="98"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7" t="inlineStr">
        <is>
          <t>2025-03-31</t>
        </is>
      </c>
      <c r="D54" s="98"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7" t="inlineStr">
        <is>
          <t>2025-04-14</t>
        </is>
      </c>
      <c r="D55" s="98"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7" t="inlineStr">
        <is>
          <t>2025-06-23</t>
        </is>
      </c>
      <c r="D56" s="98"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7" t="inlineStr">
        <is>
          <t>2025-06-23</t>
        </is>
      </c>
      <c r="D57" s="98"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7" t="inlineStr">
        <is>
          <t>2025-06-23</t>
        </is>
      </c>
      <c r="D58" s="98"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7" t="inlineStr">
        <is>
          <t>2025-06-26</t>
        </is>
      </c>
      <c r="D59" s="98"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7" t="inlineStr">
        <is>
          <t>2025-06-30</t>
        </is>
      </c>
      <c r="D60" s="98"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7" t="inlineStr">
        <is>
          <t>2025-06-30</t>
        </is>
      </c>
      <c r="D61" s="98"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7" t="inlineStr">
        <is>
          <t>2025-06-30</t>
        </is>
      </c>
      <c r="D62" s="98"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7" t="inlineStr">
        <is>
          <t>2025-07-07</t>
        </is>
      </c>
      <c r="D63" s="98"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7" t="inlineStr">
        <is>
          <t>2025-08-11</t>
        </is>
      </c>
      <c r="D64" s="98"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7" t="inlineStr">
        <is>
          <t>2025-10-08</t>
        </is>
      </c>
      <c r="D65" s="98"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7" t="inlineStr">
        <is>
          <t>2025-10-20</t>
        </is>
      </c>
      <c r="D66" s="98"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7" t="inlineStr">
        <is>
          <t>2025-11-03</t>
        </is>
      </c>
      <c r="D67" s="98"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7" t="inlineStr">
        <is>
          <t>2025-11-10</t>
        </is>
      </c>
      <c r="D68" s="98"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7" t="inlineStr">
        <is>
          <t>2025-11-24</t>
        </is>
      </c>
      <c r="D69" s="98"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7" t="inlineStr">
        <is>
          <t>2025-12-08</t>
        </is>
      </c>
      <c r="D70" s="98"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7" t="inlineStr">
        <is>
          <t>2025-12-08</t>
        </is>
      </c>
      <c r="D71" s="98"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7" t="inlineStr">
        <is>
          <t>2025-12-22</t>
        </is>
      </c>
      <c r="D72" s="98"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7" t="inlineStr">
        <is>
          <t>2025-12-22</t>
        </is>
      </c>
      <c r="D73" s="98"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7" t="inlineStr">
        <is>
          <t>2025-12-22</t>
        </is>
      </c>
      <c r="D74" s="98"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7" t="inlineStr">
        <is>
          <t>2025-12-22</t>
        </is>
      </c>
      <c r="D75" s="98"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7" t="inlineStr">
        <is>
          <t>2026-01-02</t>
        </is>
      </c>
      <c r="D76" s="98"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7" t="inlineStr">
        <is>
          <t>2026-01-12</t>
        </is>
      </c>
      <c r="D77" s="98"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7" t="inlineStr">
        <is>
          <t>2026-02-09</t>
        </is>
      </c>
      <c r="D78" s="98"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7" t="inlineStr">
        <is>
          <t>2026-03-09</t>
        </is>
      </c>
      <c r="D79" s="98"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7" t="inlineStr">
        <is>
          <t>2026-03-09</t>
        </is>
      </c>
      <c r="D80" s="98"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7" t="inlineStr">
        <is>
          <t>2026-03-09</t>
        </is>
      </c>
      <c r="D81" s="98"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7" t="inlineStr">
        <is>
          <t>2026-03-23</t>
        </is>
      </c>
      <c r="D82" s="98"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7" t="inlineStr">
        <is>
          <t>2026-03-23</t>
        </is>
      </c>
      <c r="D83" s="98"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7" t="inlineStr">
        <is>
          <t>2026-03-30</t>
        </is>
      </c>
      <c r="D84" s="98"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7" t="inlineStr">
        <is>
          <t>2026-03-30</t>
        </is>
      </c>
      <c r="D85" s="98"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7" t="inlineStr">
        <is>
          <t>2026-03-30</t>
        </is>
      </c>
      <c r="D86" s="98"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7" t="inlineStr">
        <is>
          <t>2026-03-30</t>
        </is>
      </c>
      <c r="D87" s="98"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7" t="inlineStr">
        <is>
          <t>2026-05-11</t>
        </is>
      </c>
      <c r="D88" s="98"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7" t="inlineStr">
        <is>
          <t>2026-05-18</t>
        </is>
      </c>
      <c r="D89" s="98"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7" t="inlineStr">
        <is>
          <t>2026-06-15</t>
        </is>
      </c>
      <c r="D90" s="98"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7" t="inlineStr">
        <is>
          <t>2026-06-22</t>
        </is>
      </c>
      <c r="D91" s="98"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7" t="inlineStr">
        <is>
          <t>2026-06-29</t>
        </is>
      </c>
      <c r="D92" s="98"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7" t="inlineStr">
        <is>
          <t>2026-06-29</t>
        </is>
      </c>
      <c r="D93" s="98"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7" t="inlineStr">
        <is>
          <t>2026-06-29</t>
        </is>
      </c>
      <c r="D94" s="98"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7" t="inlineStr">
        <is>
          <t>2026-07-02</t>
        </is>
      </c>
      <c r="D95" s="98"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(8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8"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8"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8"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8"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8"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8"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2392</t>
        </is>
      </c>
      <c r="B105" s="16" t="inlineStr">
        <is>
          <t>XUANWU CLOUD</t>
        </is>
      </c>
      <c r="C105" s="98" t="n">
        <v>6.24</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 xml:space="preserve">filing parse returned 6.91 = EXACTLY the stated Maximum Offer Price (the known bad-anchor line, wrong 6/6 in the v20 price research). AAStocks prints </t>
        </is>
      </c>
    </row>
    <row r="106">
      <c r="A106" s="91" t="inlineStr">
        <is>
          <t>9877</t>
        </is>
      </c>
      <c r="B106" s="16" t="inlineStr">
        <is>
          <t>JENSCARE-B</t>
        </is>
      </c>
      <c r="C106" s="98" t="n">
        <v>27.8</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filing parse returned 28.80 = EXACTLY the stated Maximum Offer Price. AAStocks prints 27.80, and the ingested day-1 (+1.62%) matches 28.25/27.80-1 exa</t>
        </is>
      </c>
    </row>
    <row r="107"/>
    <row r="108">
      <c r="A108" s="14" t="inlineStr">
        <is>
          <t>C · CORPORATE ACTIONS  (26 deals — Bloomberg's history is ADJUSTED, ours is raw-plus-correction, so our day-1 close divided by the cumulative factor must equal Bloomberg's print for that day)</t>
        </is>
      </c>
    </row>
    <row r="109">
      <c r="A109" s="12" t="inlineStr">
        <is>
          <t>Code</t>
        </is>
      </c>
      <c r="B109" s="12" t="inlineStr">
        <is>
          <t>Name</t>
        </is>
      </c>
      <c r="C109" s="12" t="inlineStr">
        <is>
          <t>Listing date</t>
        </is>
      </c>
      <c r="D109" s="12" t="inlineStr">
        <is>
          <t>Our day-1 close</t>
        </is>
      </c>
      <c r="E109" s="12" t="inlineStr">
        <is>
          <t>÷ factor = expected</t>
        </is>
      </c>
      <c r="F109" s="12" t="inlineStr">
        <is>
          <t>BBG close that day</t>
        </is>
      </c>
      <c r="G109" s="12" t="inlineStr">
        <is>
          <t>VERDICT</t>
        </is>
      </c>
      <c r="H109" s="12" t="inlineStr">
        <is>
          <t>Action applied</t>
        </is>
      </c>
    </row>
    <row r="110">
      <c r="A110" s="91" t="inlineStr">
        <is>
          <t>1413</t>
        </is>
      </c>
      <c r="B110" s="16" t="inlineStr">
        <is>
          <t>KWONG LUEN ENG</t>
        </is>
      </c>
      <c r="C110" s="97" t="inlineStr">
        <is>
          <t>2021-03-11</t>
        </is>
      </c>
      <c r="D110" s="98" t="n">
        <v>0.42</v>
      </c>
      <c r="E110" s="40">
        <f>IFERROR($D110/0.2,"")</f>
        <v/>
      </c>
      <c r="F110" s="40">
        <f>IFERROR(BDH(TEXT(N($A110),"0")&amp;" HK Equity","PX_LAST",$C110,$C110),"run on terminal")</f>
        <v/>
      </c>
      <c r="G110" s="10">
        <f>IF(NOT(ISNUMBER($F110)),"run on terminal",IF(ABS($F110/$E110-1)&lt;0.02,"MATCH","CHECK — BBG "&amp;TEXT($F110,"0.000")))</f>
        <v/>
      </c>
      <c r="H110" s="96" t="inlineStr">
        <is>
          <t>2025-12-16 x0.2  (cumulative x0.2)</t>
        </is>
      </c>
    </row>
    <row r="111">
      <c r="A111" s="91" t="inlineStr">
        <is>
          <t>1855</t>
        </is>
      </c>
      <c r="B111" s="16" t="inlineStr">
        <is>
          <t>ZONBONG ENVIRO</t>
        </is>
      </c>
      <c r="C111" s="97" t="inlineStr">
        <is>
          <t>2021-01-06</t>
        </is>
      </c>
      <c r="D111" s="98" t="n">
        <v>2.05</v>
      </c>
      <c r="E111" s="40">
        <f>IFERROR($D111/3.0,"")</f>
        <v/>
      </c>
      <c r="F111" s="40">
        <f>IFERROR(BDH(TEXT(N($A111),"0")&amp;" HK Equity","PX_LAST",$C111,$C111),"run on terminal")</f>
        <v/>
      </c>
      <c r="G111" s="10">
        <f>IF(NOT(ISNUMBER($F111)),"run on terminal",IF(ABS($F111/$E111-1)&lt;0.02,"MATCH","CHECK — BBG "&amp;TEXT($F111,"0.000")))</f>
        <v/>
      </c>
      <c r="H111" s="96" t="inlineStr">
        <is>
          <t>2024-08-01 x3  (cumulative x3)</t>
        </is>
      </c>
    </row>
    <row r="112">
      <c r="A112" s="91" t="inlineStr">
        <is>
          <t>2147</t>
        </is>
      </c>
      <c r="B112" s="16" t="inlineStr">
        <is>
          <t>ZHENGWEI GROUP</t>
        </is>
      </c>
      <c r="C112" s="97" t="inlineStr">
        <is>
          <t>2023-01-13</t>
        </is>
      </c>
      <c r="D112" s="98" t="n">
        <v>0.5600000000000001</v>
      </c>
      <c r="E112" s="40">
        <f>IFERROR($D112/0.05,"")</f>
        <v/>
      </c>
      <c r="F112" s="40">
        <f>IFERROR(BDH(TEXT(N($A112),"0")&amp;" HK Equity","PX_LAST",$C112,$C112),"run on terminal")</f>
        <v/>
      </c>
      <c r="G112" s="10">
        <f>IF(NOT(ISNUMBER($F112)),"run on terminal",IF(ABS($F112/$E112-1)&lt;0.02,"MATCH","CHECK — BBG "&amp;TEXT($F112,"0.000")))</f>
        <v/>
      </c>
      <c r="H112" s="96" t="inlineStr">
        <is>
          <t>2025-12-30 x0.05  (cumulative x0.05)</t>
        </is>
      </c>
    </row>
    <row r="113">
      <c r="A113" s="91" t="inlineStr">
        <is>
          <t>2160</t>
        </is>
      </c>
      <c r="B113" s="16" t="inlineStr">
        <is>
          <t>CARDIOFLOW-B</t>
        </is>
      </c>
      <c r="C113" s="97" t="inlineStr">
        <is>
          <t>2021-02-04</t>
        </is>
      </c>
      <c r="D113" s="98" t="n">
        <v>18.82</v>
      </c>
      <c r="E113" s="40">
        <f>IFERROR($D113/0.2,"")</f>
        <v/>
      </c>
      <c r="F113" s="40">
        <f>IFERROR(BDH(TEXT(N($A113),"0")&amp;" HK Equity","PX_LAST",$C113,$C113),"run on terminal")</f>
        <v/>
      </c>
      <c r="G113" s="10">
        <f>IF(NOT(ISNUMBER($F113)),"run on terminal",IF(ABS($F113/$E113-1)&lt;0.02,"MATCH","CHECK — BBG "&amp;TEXT($F113,"0.000")))</f>
        <v/>
      </c>
      <c r="H113" s="96" t="inlineStr">
        <is>
          <t>2026-02-24 x0.2  (cumulative x0.2)</t>
        </is>
      </c>
    </row>
    <row r="114">
      <c r="A114" s="91" t="inlineStr">
        <is>
          <t>2195</t>
        </is>
      </c>
      <c r="B114" s="16" t="inlineStr">
        <is>
          <t>UNITY ENT</t>
        </is>
      </c>
      <c r="C114" s="97" t="inlineStr">
        <is>
          <t>2021-03-31</t>
        </is>
      </c>
      <c r="D114" s="98" t="n">
        <v>0.33</v>
      </c>
      <c r="E114" s="40">
        <f>IFERROR($D114/0.1,"")</f>
        <v/>
      </c>
      <c r="F114" s="40">
        <f>IFERROR(BDH(TEXT(N($A114),"0")&amp;" HK Equity","PX_LAST",$C114,$C114),"run on terminal")</f>
        <v/>
      </c>
      <c r="G114" s="10">
        <f>IF(NOT(ISNUMBER($F114)),"run on terminal",IF(ABS($F114/$E114-1)&lt;0.02,"MATCH","CHECK — BBG "&amp;TEXT($F114,"0.000")))</f>
        <v/>
      </c>
      <c r="H114" s="96" t="inlineStr">
        <is>
          <t>2025-10-30 x0.1  (cumulative x0.1)</t>
        </is>
      </c>
    </row>
    <row r="115">
      <c r="A115" s="91" t="inlineStr">
        <is>
          <t>2246</t>
        </is>
      </c>
      <c r="B115" s="16" t="inlineStr">
        <is>
          <t>GOGOX</t>
        </is>
      </c>
      <c r="C115" s="97" t="inlineStr">
        <is>
          <t>2022-06-24</t>
        </is>
      </c>
      <c r="D115" s="98" t="n">
        <v>16.721</v>
      </c>
      <c r="E115" s="40">
        <f>IFERROR($D115/0.1,"")</f>
        <v/>
      </c>
      <c r="F115" s="40">
        <f>IFERROR(BDH(TEXT(N($A115),"0")&amp;" HK Equity","PX_LAST",$C115,$C115),"run on terminal")</f>
        <v/>
      </c>
      <c r="G115" s="10">
        <f>IF(NOT(ISNUMBER($F115)),"run on terminal",IF(ABS($F115/$E115-1)&lt;0.02,"MATCH","CHECK — BBG "&amp;TEXT($F115,"0.000")))</f>
        <v/>
      </c>
      <c r="H115" s="96" t="inlineStr">
        <is>
          <t>2025-04-25 x0.1  (cumulative x0.1)</t>
        </is>
      </c>
    </row>
    <row r="116">
      <c r="A116" s="91" t="inlineStr">
        <is>
          <t>2402</t>
        </is>
      </c>
      <c r="B116" s="16" t="inlineStr">
        <is>
          <t>SINOHYTEC</t>
        </is>
      </c>
      <c r="C116" s="97" t="inlineStr">
        <is>
          <t>2023-01-12</t>
        </is>
      </c>
      <c r="D116" s="98" t="n">
        <v>60</v>
      </c>
      <c r="E116" s="40">
        <f>IFERROR($D116/1.9599999999999997,"")</f>
        <v/>
      </c>
      <c r="F116" s="40">
        <f>IFERROR(BDH(TEXT(N($A116),"0")&amp;" HK Equity","PX_LAST",$C116,$C116),"run on terminal")</f>
        <v/>
      </c>
      <c r="G116" s="10">
        <f>IF(NOT(ISNUMBER($F116)),"run on terminal",IF(ABS($F116/$E116-1)&lt;0.02,"MATCH","CHECK — BBG "&amp;TEXT($F116,"0.000")))</f>
        <v/>
      </c>
      <c r="H116" s="96" t="inlineStr">
        <is>
          <t>2023-06-21 x1.4; 2024-07-04 x1.4  (cumulative x1.96)</t>
        </is>
      </c>
    </row>
    <row r="117">
      <c r="A117" s="91" t="inlineStr">
        <is>
          <t>2459</t>
        </is>
      </c>
      <c r="B117" s="16" t="inlineStr">
        <is>
          <t>SANERGY GROUP</t>
        </is>
      </c>
      <c r="C117" s="97" t="inlineStr">
        <is>
          <t>2023-01-17</t>
        </is>
      </c>
      <c r="D117" s="98" t="n">
        <v>1.78</v>
      </c>
      <c r="E117" s="40">
        <f>IFERROR($D117/0.1,"")</f>
        <v/>
      </c>
      <c r="F117" s="40">
        <f>IFERROR(BDH(TEXT(N($A117),"0")&amp;" HK Equity","PX_LAST",$C117,$C117),"run on terminal")</f>
        <v/>
      </c>
      <c r="G117" s="10">
        <f>IF(NOT(ISNUMBER($F117)),"run on terminal",IF(ABS($F117/$E117-1)&lt;0.02,"MATCH","CHECK — BBG "&amp;TEXT($F117,"0.000")))</f>
        <v/>
      </c>
      <c r="H117" s="96" t="inlineStr">
        <is>
          <t>2026-05-14 x0.1  (cumulative x0.1)</t>
        </is>
      </c>
    </row>
    <row r="118">
      <c r="A118" s="91" t="inlineStr">
        <is>
          <t>2473</t>
        </is>
      </c>
      <c r="B118" s="16" t="inlineStr">
        <is>
          <t>XXF</t>
        </is>
      </c>
      <c r="C118" s="97" t="inlineStr">
        <is>
          <t>2023-11-09</t>
        </is>
      </c>
      <c r="D118" s="98" t="n">
        <v>1.64</v>
      </c>
      <c r="E118" s="40">
        <f>IFERROR($D118/3.0,"")</f>
        <v/>
      </c>
      <c r="F118" s="40">
        <f>IFERROR(BDH(TEXT(N($A118),"0")&amp;" HK Equity","PX_LAST",$C118,$C118),"run on terminal")</f>
        <v/>
      </c>
      <c r="G118" s="10">
        <f>IF(NOT(ISNUMBER($F118)),"run on terminal",IF(ABS($F118/$E118-1)&lt;0.02,"MATCH","CHECK — BBG "&amp;TEXT($F118,"0.000")))</f>
        <v/>
      </c>
      <c r="H118" s="96" t="inlineStr">
        <is>
          <t>2024-12-06 x3  (cumulative x3)</t>
        </is>
      </c>
    </row>
    <row r="119">
      <c r="A119" s="91" t="inlineStr">
        <is>
          <t>2477</t>
        </is>
      </c>
      <c r="B119" s="16" t="inlineStr">
        <is>
          <t>WELLCELL HOLD</t>
        </is>
      </c>
      <c r="C119" s="97" t="inlineStr">
        <is>
          <t>2024-01-12</t>
        </is>
      </c>
      <c r="D119" s="98" t="n">
        <v>2.64</v>
      </c>
      <c r="E119" s="40">
        <f>IFERROR($D119/4.0,"")</f>
        <v/>
      </c>
      <c r="F119" s="40">
        <f>IFERROR(BDH(TEXT(N($A119),"0")&amp;" HK Equity","PX_LAST",$C119,$C119),"run on terminal")</f>
        <v/>
      </c>
      <c r="G119" s="10">
        <f>IF(NOT(ISNUMBER($F119)),"run on terminal",IF(ABS($F119/$E119-1)&lt;0.02,"MATCH","CHECK — BBG "&amp;TEXT($F119,"0.000")))</f>
        <v/>
      </c>
      <c r="H119" s="96" t="inlineStr">
        <is>
          <t>2026-04-21 x4  (cumulative x4)</t>
        </is>
      </c>
    </row>
    <row r="120">
      <c r="A120" s="91" t="inlineStr">
        <is>
          <t>2490</t>
        </is>
      </c>
      <c r="B120" s="16" t="inlineStr">
        <is>
          <t>LC LOGISTICS</t>
        </is>
      </c>
      <c r="C120" s="97" t="inlineStr">
        <is>
          <t>2023-09-25</t>
        </is>
      </c>
      <c r="D120" s="98" t="n">
        <v>5.1</v>
      </c>
      <c r="E120" s="40">
        <f>IFERROR($D120/2.0,"")</f>
        <v/>
      </c>
      <c r="F120" s="40">
        <f>IFERROR(BDH(TEXT(N($A120),"0")&amp;" HK Equity","PX_LAST",$C120,$C120),"run on terminal")</f>
        <v/>
      </c>
      <c r="G120" s="10">
        <f>IF(NOT(ISNUMBER($F120)),"run on terminal",IF(ABS($F120/$E120-1)&lt;0.02,"MATCH","CHECK — BBG "&amp;TEXT($F120,"0.000")))</f>
        <v/>
      </c>
      <c r="H120" s="96" t="inlineStr">
        <is>
          <t>2025-07-28 x2  (cumulative x2)</t>
        </is>
      </c>
    </row>
    <row r="121">
      <c r="A121" s="91" t="inlineStr">
        <is>
          <t>2525</t>
        </is>
      </c>
      <c r="B121" s="16" t="inlineStr">
        <is>
          <t>HESAI-W</t>
        </is>
      </c>
      <c r="C121" s="97" t="inlineStr">
        <is>
          <t>2025-09-16</t>
        </is>
      </c>
      <c r="D121" s="98" t="n">
        <v>233.995</v>
      </c>
      <c r="E121" s="40">
        <f>IFERROR($D121/8.0,"")</f>
        <v/>
      </c>
      <c r="F121" s="40">
        <f>IFERROR(BDH(TEXT(N($A121),"0")&amp;" HK Equity","PX_LAST",$C121,$C121),"run on terminal")</f>
        <v/>
      </c>
      <c r="G121" s="10">
        <f>IF(NOT(ISNUMBER($F121)),"run on terminal",IF(ABS($F121/$E121-1)&lt;0.02,"MATCH","CHECK — BBG "&amp;TEXT($F121,"0.000")))</f>
        <v/>
      </c>
      <c r="H121" s="96" t="inlineStr">
        <is>
          <t>2026-07-10 x8  (cumulative x8)</t>
        </is>
      </c>
    </row>
    <row r="122">
      <c r="A122" s="91" t="inlineStr">
        <is>
          <t>2635</t>
        </is>
      </c>
      <c r="B122" s="16" t="inlineStr">
        <is>
          <t>NUOBIKAN</t>
        </is>
      </c>
      <c r="C122" s="97" t="inlineStr">
        <is>
          <t>2025-12-23</t>
        </is>
      </c>
      <c r="D122" s="98" t="n">
        <v>371</v>
      </c>
      <c r="E122" s="40">
        <f>IFERROR($D122/10.0,"")</f>
        <v/>
      </c>
      <c r="F122" s="40">
        <f>IFERROR(BDH(TEXT(N($A122),"0")&amp;" HK Equity","PX_LAST",$C122,$C122),"run on terminal")</f>
        <v/>
      </c>
      <c r="G122" s="10">
        <f>IF(NOT(ISNUMBER($F122)),"run on terminal",IF(ABS($F122/$E122-1)&lt;0.02,"MATCH","CHECK — BBG "&amp;TEXT($F122,"0.000")))</f>
        <v/>
      </c>
      <c r="H122" s="96" t="inlineStr">
        <is>
          <t>2026-03-11 x10  (cumulative x10)</t>
        </is>
      </c>
    </row>
    <row r="123">
      <c r="A123" s="91" t="inlineStr">
        <is>
          <t>2650</t>
        </is>
      </c>
      <c r="B123" s="16" t="inlineStr">
        <is>
          <t>ZHIDA TECH</t>
        </is>
      </c>
      <c r="C123" s="97" t="inlineStr">
        <is>
          <t>2025-10-10</t>
        </is>
      </c>
      <c r="D123" s="98" t="n">
        <v>195.5</v>
      </c>
      <c r="E123" s="40">
        <f>IFERROR($D123/5.0,"")</f>
        <v/>
      </c>
      <c r="F123" s="40">
        <f>IFERROR(BDH(TEXT(N($A123),"0")&amp;" HK Equity","PX_LAST",$C123,$C123),"run on terminal")</f>
        <v/>
      </c>
      <c r="G123" s="10">
        <f>IF(NOT(ISNUMBER($F123)),"run on terminal",IF(ABS($F123/$E123-1)&lt;0.02,"MATCH","CHECK — BBG "&amp;TEXT($F123,"0.000")))</f>
        <v/>
      </c>
      <c r="H123" s="96" t="inlineStr">
        <is>
          <t>2026-03-03 x5  (cumulative x5)</t>
        </is>
      </c>
    </row>
    <row r="124">
      <c r="A124" s="91" t="inlineStr">
        <is>
          <t>2691</t>
        </is>
      </c>
      <c r="B124" s="16" t="inlineStr">
        <is>
          <t>NANHUA FUTURES</t>
        </is>
      </c>
      <c r="C124" s="97" t="inlineStr">
        <is>
          <t>2025-12-22</t>
        </is>
      </c>
      <c r="D124" s="98" t="n">
        <v>9.1</v>
      </c>
      <c r="E124" s="40">
        <f>IFERROR($D124/1.45,"")</f>
        <v/>
      </c>
      <c r="F124" s="40">
        <f>IFERROR(BDH(TEXT(N($A124),"0")&amp;" HK Equity","PX_LAST",$C124,$C124),"run on terminal")</f>
        <v/>
      </c>
      <c r="G124" s="10">
        <f>IF(NOT(ISNUMBER($F124)),"run on terminal",IF(ABS($F124/$E124-1)&lt;0.02,"MATCH","CHECK — BBG "&amp;TEXT($F124,"0.000")))</f>
        <v/>
      </c>
      <c r="H124" s="96" t="inlineStr">
        <is>
          <t>2026-06-17 x1.45  (cumulative x1.45)</t>
        </is>
      </c>
    </row>
    <row r="125">
      <c r="A125" s="91" t="inlineStr">
        <is>
          <t>2768</t>
        </is>
      </c>
      <c r="B125" s="16" t="inlineStr">
        <is>
          <t>GON TECHNOLOGY</t>
        </is>
      </c>
      <c r="C125" s="97" t="inlineStr">
        <is>
          <t>2026-02-04</t>
        </is>
      </c>
      <c r="D125" s="98" t="n">
        <v>40.162</v>
      </c>
      <c r="E125" s="40">
        <f>IFERROR($D125/1.48,"")</f>
        <v/>
      </c>
      <c r="F125" s="40">
        <f>IFERROR(BDH(TEXT(N($A125),"0")&amp;" HK Equity","PX_LAST",$C125,$C125),"run on terminal")</f>
        <v/>
      </c>
      <c r="G125" s="10">
        <f>IF(NOT(ISNUMBER($F125)),"run on terminal",IF(ABS($F125/$E125-1)&lt;0.02,"MATCH","CHECK — BBG "&amp;TEXT($F125,"0.000")))</f>
        <v/>
      </c>
      <c r="H125" s="96" t="inlineStr">
        <is>
          <t>2026-06-17 x1.48  (cumulative x1.48)</t>
        </is>
      </c>
    </row>
    <row r="126">
      <c r="A126" s="91" t="inlineStr">
        <is>
          <t>3296</t>
        </is>
      </c>
      <c r="B126" s="16" t="inlineStr">
        <is>
          <t>HUAQIN</t>
        </is>
      </c>
      <c r="C126" s="97" t="inlineStr">
        <is>
          <t>2026-04-23</t>
        </is>
      </c>
      <c r="D126" s="98" t="n">
        <v>88.003</v>
      </c>
      <c r="E126" s="40">
        <f>IFERROR($D126/1.4,"")</f>
        <v/>
      </c>
      <c r="F126" s="40">
        <f>IFERROR(BDH(TEXT(N($A126),"0")&amp;" HK Equity","PX_LAST",$C126,$C126),"run on terminal")</f>
        <v/>
      </c>
      <c r="G126" s="10">
        <f>IF(NOT(ISNUMBER($F126)),"run on terminal",IF(ABS($F126/$E126-1)&lt;0.02,"MATCH","CHECK — BBG "&amp;TEXT($F126,"0.000")))</f>
        <v/>
      </c>
      <c r="H126" s="96" t="inlineStr">
        <is>
          <t>2026-05-22 x1.4  (cumulative x1.4)</t>
        </is>
      </c>
    </row>
    <row r="127">
      <c r="A127" s="91" t="inlineStr">
        <is>
          <t>3881</t>
        </is>
      </c>
      <c r="B127" s="16" t="inlineStr">
        <is>
          <t>CIDI</t>
        </is>
      </c>
      <c r="C127" s="97" t="inlineStr">
        <is>
          <t>2025-12-19</t>
        </is>
      </c>
      <c r="D127" s="98" t="n">
        <v>226.995</v>
      </c>
      <c r="E127" s="40">
        <f>IFERROR($D127/10.0,"")</f>
        <v/>
      </c>
      <c r="F127" s="40">
        <f>IFERROR(BDH(TEXT(N($A127),"0")&amp;" HK Equity","PX_LAST",$C127,$C127),"run on terminal")</f>
        <v/>
      </c>
      <c r="G127" s="10">
        <f>IF(NOT(ISNUMBER($F127)),"run on terminal",IF(ABS($F127/$E127-1)&lt;0.02,"MATCH","CHECK — BBG "&amp;TEXT($F127,"0.000")))</f>
        <v/>
      </c>
      <c r="H127" s="96" t="inlineStr">
        <is>
          <t>2026-03-02 x10  (cumulative x10)</t>
        </is>
      </c>
    </row>
    <row r="128">
      <c r="A128" s="91" t="inlineStr">
        <is>
          <t>6127</t>
        </is>
      </c>
      <c r="B128" s="16" t="inlineStr">
        <is>
          <t>JOINN</t>
        </is>
      </c>
      <c r="C128" s="97" t="inlineStr">
        <is>
          <t>2021-02-26</t>
        </is>
      </c>
      <c r="D128" s="98" t="n">
        <v>137.999</v>
      </c>
      <c r="E128" s="40">
        <f>IFERROR($D128/2.7439999999999993,"")</f>
        <v/>
      </c>
      <c r="F128" s="40">
        <f>IFERROR(BDH(TEXT(N($A128),"0")&amp;" HK Equity","PX_LAST",$C128,$C128),"run on terminal")</f>
        <v/>
      </c>
      <c r="G128" s="10">
        <f>IF(NOT(ISNUMBER($F128)),"run on terminal",IF(ABS($F128/$E128-1)&lt;0.02,"MATCH","CHECK — BBG "&amp;TEXT($F128,"0.000")))</f>
        <v/>
      </c>
      <c r="H128" s="96" t="inlineStr">
        <is>
          <t>2021-06-23 x1.4; 2022-07-28 x1.4; 2023-06-20 x1.4  (cumulative x2.744)</t>
        </is>
      </c>
    </row>
    <row r="129">
      <c r="A129" s="91" t="inlineStr">
        <is>
          <t>6610</t>
        </is>
      </c>
      <c r="B129" s="16" t="inlineStr">
        <is>
          <t>FLOWING CLOUD</t>
        </is>
      </c>
      <c r="C129" s="97" t="inlineStr">
        <is>
          <t>2022-10-18</t>
        </is>
      </c>
      <c r="D129" s="98" t="n">
        <v>2.12</v>
      </c>
      <c r="E129" s="40">
        <f>IFERROR($D129/0.05,"")</f>
        <v/>
      </c>
      <c r="F129" s="40">
        <f>IFERROR(BDH(TEXT(N($A129),"0")&amp;" HK Equity","PX_LAST",$C129,$C129),"run on terminal")</f>
        <v/>
      </c>
      <c r="G129" s="10">
        <f>IF(NOT(ISNUMBER($F129)),"run on terminal",IF(ABS($F129/$E129-1)&lt;0.02,"MATCH","CHECK — BBG "&amp;TEXT($F129,"0.000")))</f>
        <v/>
      </c>
      <c r="H129" s="96" t="inlineStr">
        <is>
          <t>2025-12-05 x0.05  (cumulative x0.05)</t>
        </is>
      </c>
    </row>
    <row r="130">
      <c r="A130" s="91" t="inlineStr">
        <is>
          <t>6680</t>
        </is>
      </c>
      <c r="B130" s="16" t="inlineStr">
        <is>
          <t>JLMAG</t>
        </is>
      </c>
      <c r="C130" s="97" t="inlineStr">
        <is>
          <t>2022-01-14</t>
        </is>
      </c>
      <c r="D130" s="98" t="n">
        <v>28.199</v>
      </c>
      <c r="E130" s="40">
        <f>IFERROR($D130/1.6,"")</f>
        <v/>
      </c>
      <c r="F130" s="40">
        <f>IFERROR(BDH(TEXT(N($A130),"0")&amp;" HK Equity","PX_LAST",$C130,$C130),"run on terminal")</f>
        <v/>
      </c>
      <c r="G130" s="10">
        <f>IF(NOT(ISNUMBER($F130)),"run on terminal",IF(ABS($F130/$E130-1)&lt;0.02,"MATCH","CHECK — BBG "&amp;TEXT($F130,"0.000")))</f>
        <v/>
      </c>
      <c r="H130" s="96" t="inlineStr">
        <is>
          <t>2023-06-26 x1.6  (cumulative x1.6)</t>
        </is>
      </c>
    </row>
    <row r="131">
      <c r="A131" s="91" t="inlineStr">
        <is>
          <t>6686</t>
        </is>
      </c>
      <c r="B131" s="16" t="inlineStr">
        <is>
          <t>NOAH HOLDINGS-S</t>
        </is>
      </c>
      <c r="C131" s="97" t="inlineStr">
        <is>
          <t>2022-07-13</t>
        </is>
      </c>
      <c r="D131" s="98" t="n">
        <v>279.006</v>
      </c>
      <c r="E131" s="40">
        <f>IFERROR($D131/10.0,"")</f>
        <v/>
      </c>
      <c r="F131" s="40">
        <f>IFERROR(BDH(TEXT(N($A131),"0")&amp;" HK Equity","PX_LAST",$C131,$C131),"run on terminal")</f>
        <v/>
      </c>
      <c r="G131" s="10">
        <f>IF(NOT(ISNUMBER($F131)),"run on terminal",IF(ABS($F131/$E131-1)&lt;0.02,"MATCH","CHECK — BBG "&amp;TEXT($F131,"0.000")))</f>
        <v/>
      </c>
      <c r="H131" s="96" t="inlineStr">
        <is>
          <t>2023-10-30 x10  (cumulative x10)</t>
        </is>
      </c>
    </row>
    <row r="132">
      <c r="A132" s="91" t="inlineStr">
        <is>
          <t>6696</t>
        </is>
      </c>
      <c r="B132" s="16" t="inlineStr">
        <is>
          <t>MANY IDEA CLOUD</t>
        </is>
      </c>
      <c r="C132" s="97" t="inlineStr">
        <is>
          <t>2022-11-09</t>
        </is>
      </c>
      <c r="D132" s="98" t="n">
        <v>2</v>
      </c>
      <c r="E132" s="40">
        <f>IFERROR($D132/0.05,"")</f>
        <v/>
      </c>
      <c r="F132" s="40">
        <f>IFERROR(BDH(TEXT(N($A132),"0")&amp;" HK Equity","PX_LAST",$C132,$C132),"run on terminal")</f>
        <v/>
      </c>
      <c r="G132" s="10">
        <f>IF(NOT(ISNUMBER($F132)),"run on terminal",IF(ABS($F132/$E132-1)&lt;0.02,"MATCH","CHECK — BBG "&amp;TEXT($F132,"0.000")))</f>
        <v/>
      </c>
      <c r="H132" s="96" t="inlineStr">
        <is>
          <t>2025-02-12 x0.05  (cumulative x0.05)</t>
        </is>
      </c>
    </row>
    <row r="133">
      <c r="A133" s="91" t="inlineStr">
        <is>
          <t>6821</t>
        </is>
      </c>
      <c r="B133" s="16" t="inlineStr">
        <is>
          <t>ASYMCHEM</t>
        </is>
      </c>
      <c r="C133" s="97" t="inlineStr">
        <is>
          <t>2021-12-10</t>
        </is>
      </c>
      <c r="D133" s="98" t="n">
        <v>369.997</v>
      </c>
      <c r="E133" s="40">
        <f>IFERROR($D133/1.4,"")</f>
        <v/>
      </c>
      <c r="F133" s="40">
        <f>IFERROR(BDH(TEXT(N($A133),"0")&amp;" HK Equity","PX_LAST",$C133,$C133),"run on terminal")</f>
        <v/>
      </c>
      <c r="G133" s="10">
        <f>IF(NOT(ISNUMBER($F133)),"run on terminal",IF(ABS($F133/$E133-1)&lt;0.02,"MATCH","CHECK — BBG "&amp;TEXT($F133,"0.000")))</f>
        <v/>
      </c>
      <c r="H133" s="96" t="inlineStr">
        <is>
          <t>2022-07-11 x1.4  (cumulative x1.4)</t>
        </is>
      </c>
    </row>
    <row r="134">
      <c r="A134" s="91" t="inlineStr">
        <is>
          <t>6911</t>
        </is>
      </c>
      <c r="B134" s="16" t="inlineStr">
        <is>
          <t>LANCANG TEA</t>
        </is>
      </c>
      <c r="C134" s="97" t="inlineStr">
        <is>
          <t>2023-12-22</t>
        </is>
      </c>
      <c r="D134" s="98" t="n">
        <v>8.699999999999999</v>
      </c>
      <c r="E134" s="40">
        <f>IFERROR($D134/1.5,"")</f>
        <v/>
      </c>
      <c r="F134" s="40">
        <f>IFERROR(BDH(TEXT(N($A134),"0")&amp;" HK Equity","PX_LAST",$C134,$C134),"run on terminal")</f>
        <v/>
      </c>
      <c r="G134" s="10">
        <f>IF(NOT(ISNUMBER($F134)),"run on terminal",IF(ABS($F134/$E134-1)&lt;0.02,"MATCH","CHECK — BBG "&amp;TEXT($F134,"0.000")))</f>
        <v/>
      </c>
      <c r="H134" s="96" t="inlineStr">
        <is>
          <t>2024-06-11 x1.5  (cumulative x1.5)</t>
        </is>
      </c>
    </row>
    <row r="135">
      <c r="A135" s="91" t="inlineStr">
        <is>
          <t>9980</t>
        </is>
      </c>
      <c r="B135" s="16" t="inlineStr">
        <is>
          <t>EASTROC</t>
        </is>
      </c>
      <c r="C135" s="97" t="inlineStr">
        <is>
          <t>2026-02-03</t>
        </is>
      </c>
      <c r="D135" s="98" t="n">
        <v>251.794</v>
      </c>
      <c r="E135" s="40">
        <f>IFERROR($D135/1.3,"")</f>
        <v/>
      </c>
      <c r="F135" s="40">
        <f>IFERROR(BDH(TEXT(N($A135),"0")&amp;" HK Equity","PX_LAST",$C135,$C135),"run on terminal")</f>
        <v/>
      </c>
      <c r="G135" s="10">
        <f>IF(NOT(ISNUMBER($F135)),"run on terminal",IF(ABS($F135/$E135-1)&lt;0.02,"MATCH","CHECK — BBG "&amp;TEXT($F135,"0.000")))</f>
        <v/>
      </c>
      <c r="H135" s="96" t="inlineStr">
        <is>
          <t>2026-05-05 x1.3  (cumulative x1.3)</t>
        </is>
      </c>
    </row>
    <row r="136"/>
    <row r="137">
      <c r="A137" s="14" t="inlineStr">
        <is>
          <t>D · DEAL SIZE  (18 deals — the stated gross was smaller than the deal's own net proceeds, which cannot happen)</t>
        </is>
      </c>
    </row>
    <row r="138">
      <c r="A138" s="12" t="inlineStr">
        <is>
          <t>Code</t>
        </is>
      </c>
      <c r="B138" s="12" t="inlineStr">
        <is>
          <t>Name</t>
        </is>
      </c>
      <c r="C138" s="12" t="inlineStr">
        <is>
          <t>Our deal size (HK$m)</t>
        </is>
      </c>
      <c r="D138" s="12" t="inlineStr">
        <is>
          <t>Basis</t>
        </is>
      </c>
      <c r="E138" s="12" t="inlineStr"/>
      <c r="F138" s="12" t="inlineStr">
        <is>
          <t>BBG offering size</t>
        </is>
      </c>
      <c r="G138" s="12" t="inlineStr">
        <is>
          <t>VERDICT</t>
        </is>
      </c>
      <c r="H138" s="12" t="inlineStr">
        <is>
          <t>What we relied on</t>
        </is>
      </c>
    </row>
    <row r="139">
      <c r="A139" s="91" t="inlineStr">
        <is>
          <t>2209</t>
        </is>
      </c>
      <c r="B139" s="16" t="inlineStr">
        <is>
          <t>YESASIA HLDGS</t>
        </is>
      </c>
      <c r="C139" s="99" t="n">
        <v>116.7</v>
      </c>
      <c r="D139" s="96" t="inlineStr">
        <is>
          <t>gross (price x shares)</t>
        </is>
      </c>
      <c r="F139" s="96" t="inlineStr">
        <is>
          <t>no BDP field for offering size (EQUITY_OFFERINGS is a BDS order-book function) — check CACS / the IPO screen</t>
        </is>
      </c>
      <c r="G139" s="10" t="inlineStr">
        <is>
          <t>"check on CACS — the stated gross was arithmetically impossible (below net), so the rebuilt figure is shares x price or net proceeds"</t>
        </is>
      </c>
      <c r="H139" s="96" t="inlineStr">
        <is>
          <t>stated gross HK$4.5m rejected — below the deal's own net proceeds HK$91.0m, which cannot happen</t>
        </is>
      </c>
    </row>
    <row r="140">
      <c r="A140" s="91" t="inlineStr">
        <is>
          <t>2235</t>
        </is>
      </c>
      <c r="B140" s="16" t="inlineStr">
        <is>
          <t>MICROTECH MED-B</t>
        </is>
      </c>
      <c r="C140" s="99" t="n">
        <v>1937.6</v>
      </c>
      <c r="D140" s="96" t="inlineStr">
        <is>
          <t>gross (price x shares)</t>
        </is>
      </c>
      <c r="F140" s="96" t="inlineStr">
        <is>
          <t>no BDP field for offering size (EQUITY_OFFERINGS is a BDS order-book function) — check CACS / the IPO screen</t>
        </is>
      </c>
      <c r="G140" s="10" t="inlineStr">
        <is>
          <t>"check on CACS — the stated gross was arithmetically impossible (below net), so the rebuilt figure is shares x price or net proceeds"</t>
        </is>
      </c>
      <c r="H140" s="96" t="inlineStr">
        <is>
          <t>stated gross HK$75.7m rejected — below the deal's own net proceeds HK$1,815.1m, which cannot happen</t>
        </is>
      </c>
    </row>
    <row r="141">
      <c r="A141" s="91" t="inlineStr">
        <is>
          <t>2185</t>
        </is>
      </c>
      <c r="B141" s="16" t="inlineStr">
        <is>
          <t>BIOHEART-B</t>
        </is>
      </c>
      <c r="C141" s="99" t="n">
        <v>508.7</v>
      </c>
      <c r="D141" s="96" t="inlineStr">
        <is>
          <t>gross (price x shares)</t>
        </is>
      </c>
      <c r="F141" s="96" t="inlineStr">
        <is>
          <t>no BDP field for offering size (EQUITY_OFFERINGS is a BDS order-book function) — check CACS / the IPO screen</t>
        </is>
      </c>
      <c r="G141" s="10" t="inlineStr">
        <is>
          <t>"check on CACS — the stated gross was arithmetically impossible (below net), so the rebuilt figure is shares x price or net proceeds"</t>
        </is>
      </c>
      <c r="H141" s="96" t="inlineStr">
        <is>
          <t>stated gross HK$26.5m rejected — below the deal's own net proceeds HK$441.7m, which cannot happen</t>
        </is>
      </c>
    </row>
    <row r="142">
      <c r="A142" s="91" t="inlineStr">
        <is>
          <t>2157</t>
        </is>
      </c>
      <c r="B142" s="16" t="inlineStr">
        <is>
          <t>LEPU BIO-B</t>
        </is>
      </c>
      <c r="C142" s="99" t="n">
        <v>904.6</v>
      </c>
      <c r="D142" s="96" t="inlineStr">
        <is>
          <t>gross (price x shares)</t>
        </is>
      </c>
      <c r="F142" s="96" t="inlineStr">
        <is>
          <t>no BDP field for offering size (EQUITY_OFFERINGS is a BDS order-book function) — check CACS / the IPO screen</t>
        </is>
      </c>
      <c r="G142" s="10" t="inlineStr">
        <is>
          <t>"check on CACS — the stated gross was arithmetically impossible (below net), so the rebuilt figure is shares x price or net proceeds"</t>
        </is>
      </c>
      <c r="H142" s="96" t="inlineStr">
        <is>
          <t>stated gross HK$36.2m rejected — below the deal's own net proceeds HK$804.2m, which cannot happen</t>
        </is>
      </c>
    </row>
    <row r="143">
      <c r="A143" s="91" t="inlineStr">
        <is>
          <t>2179</t>
        </is>
      </c>
      <c r="B143" s="16" t="inlineStr">
        <is>
          <t>RECBIO-B</t>
        </is>
      </c>
      <c r="C143" s="99" t="n">
        <v>672.4</v>
      </c>
      <c r="D143" s="96" t="inlineStr">
        <is>
          <t>net proceeds</t>
        </is>
      </c>
      <c r="F143" s="96" t="inlineStr">
        <is>
          <t>no BDP field for offering size (EQUITY_OFFERINGS is a BDS order-book function) — check CACS / the IPO screen</t>
        </is>
      </c>
      <c r="G143" s="10" t="inlineStr">
        <is>
          <t>"check on CACS — the stated gross was arithmetically impossible (below net), so the rebuilt figure is shares x price or net proceeds"</t>
        </is>
      </c>
      <c r="H143" s="96" t="inlineStr">
        <is>
          <t>stated gross HK$32.5m rejected — below the deal's own net proceeds HK$672.4m, which cannot happen</t>
        </is>
      </c>
    </row>
    <row r="144">
      <c r="A144" s="91" t="inlineStr">
        <is>
          <t>2315</t>
        </is>
      </c>
      <c r="B144" s="16" t="inlineStr">
        <is>
          <t>BIOCYTOGEN-B</t>
        </is>
      </c>
      <c r="C144" s="99" t="n">
        <v>548.7</v>
      </c>
      <c r="D144" s="96" t="inlineStr">
        <is>
          <t>gross (price x shares)</t>
        </is>
      </c>
      <c r="F144" s="96" t="inlineStr">
        <is>
          <t>no BDP field for offering size (EQUITY_OFFERINGS is a BDS order-book function) — check CACS / the IPO screen</t>
        </is>
      </c>
      <c r="G144" s="10" t="inlineStr">
        <is>
          <t>"check on CACS — the stated gross was arithmetically impossible (below net), so the rebuilt figure is shares x price or net proceeds"</t>
        </is>
      </c>
      <c r="H144" s="96" t="inlineStr">
        <is>
          <t>stated gross HK$16.9m rejected — below the deal's own net proceeds HK$471.1m, which cannot happen</t>
        </is>
      </c>
    </row>
    <row r="145">
      <c r="A145" s="91" t="inlineStr">
        <is>
          <t>9877</t>
        </is>
      </c>
      <c r="B145" s="16" t="inlineStr">
        <is>
          <t>JENSCARE-B</t>
        </is>
      </c>
      <c r="C145" s="99" t="n">
        <v>32</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HK$11.2m rejected — below the deal's own net proceeds HK$32.0m, which cannot happen</t>
        </is>
      </c>
    </row>
    <row r="146">
      <c r="A146" s="91" t="inlineStr">
        <is>
          <t>6979</t>
        </is>
      </c>
      <c r="B146" s="16" t="inlineStr">
        <is>
          <t>ZJLD</t>
        </is>
      </c>
      <c r="C146" s="99" t="n">
        <v>5309.4</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HK$795.0m rejected — below the deal's own net proceeds HK$4,990.0m, which cannot happen</t>
        </is>
      </c>
    </row>
    <row r="147">
      <c r="A147" s="91" t="inlineStr">
        <is>
          <t>2415</t>
        </is>
      </c>
      <c r="B147" s="16" t="inlineStr">
        <is>
          <t>MEDSCI</t>
        </is>
      </c>
      <c r="C147" s="99" t="n">
        <v>607.8</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HK$18.2m rejected — below the deal's own net proceeds HK$538.2m, which cannot happen</t>
        </is>
      </c>
    </row>
    <row r="148">
      <c r="A148" s="91" t="inlineStr">
        <is>
          <t>2480</t>
        </is>
      </c>
      <c r="B148" s="16" t="inlineStr">
        <is>
          <t>LUZHU BIOTECH-B</t>
        </is>
      </c>
      <c r="C148" s="99" t="n">
        <v>51.1</v>
      </c>
      <c r="D148" s="96" t="inlineStr">
        <is>
          <t>net proceeds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HK$39.5m rejected — below the deal's own net proceeds HK$51.1m, which cannot happen</t>
        </is>
      </c>
    </row>
    <row r="149">
      <c r="A149" s="91" t="inlineStr">
        <is>
          <t>2487</t>
        </is>
      </c>
      <c r="B149" s="16" t="inlineStr">
        <is>
          <t>CUTIA-B</t>
        </is>
      </c>
      <c r="C149" s="99" t="n">
        <v>465</v>
      </c>
      <c r="D149" s="96" t="inlineStr">
        <is>
          <t>gross (price x shares)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HK$23.9m rejected — below the deal's own net proceeds HK$392.7m, which cannot happen</t>
        </is>
      </c>
    </row>
    <row r="150">
      <c r="A150" s="91" t="inlineStr">
        <is>
          <t>6990</t>
        </is>
      </c>
      <c r="B150" s="16" t="inlineStr">
        <is>
          <t>SKB BIO-B</t>
        </is>
      </c>
      <c r="C150" s="99" t="n">
        <v>1360.2</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HK$54.5m rejected — below the deal's own net proceeds HK$1,258.9m, which cannot happen</t>
        </is>
      </c>
    </row>
    <row r="151">
      <c r="A151" s="91" t="inlineStr">
        <is>
          <t>2490</t>
        </is>
      </c>
      <c r="B151" s="16" t="inlineStr">
        <is>
          <t>LC LOGISTICS</t>
        </is>
      </c>
      <c r="C151" s="99" t="n">
        <v>145.6</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HK$5.9m rejected — below the deal's own net proceeds HK$83.5m, which cannot happen</t>
        </is>
      </c>
    </row>
    <row r="152">
      <c r="A152" s="91" t="inlineStr">
        <is>
          <t>9686</t>
        </is>
      </c>
      <c r="B152" s="16" t="inlineStr">
        <is>
          <t>NEUSOFT XIKANG</t>
        </is>
      </c>
      <c r="C152" s="99" t="n">
        <v>636.9</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HK$21.6m rejected — below the deal's own net proceeds HK$554.5m, which cannot happen</t>
        </is>
      </c>
    </row>
    <row r="153">
      <c r="A153" s="91" t="inlineStr">
        <is>
          <t>9890</t>
        </is>
      </c>
      <c r="B153" s="16" t="inlineStr">
        <is>
          <t>ZX INC</t>
        </is>
      </c>
      <c r="C153" s="99" t="n">
        <v>265.7</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HK$29.5m rejected — below the deal's own net proceeds HK$138.1m, which cannot happen</t>
        </is>
      </c>
    </row>
    <row r="154">
      <c r="A154" s="91" t="inlineStr">
        <is>
          <t>2451</t>
        </is>
      </c>
      <c r="B154" s="16" t="inlineStr">
        <is>
          <t>LUYUAN GP HLDG</t>
        </is>
      </c>
      <c r="C154" s="99" t="n">
        <v>786.1</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HK$31.5m rejected — below the deal's own net proceeds HK$706.4m, which cannot happen</t>
        </is>
      </c>
    </row>
    <row r="155">
      <c r="A155" s="91" t="inlineStr">
        <is>
          <t>2517</t>
        </is>
      </c>
      <c r="B155" s="16" t="inlineStr">
        <is>
          <t>GUOQUAN</t>
        </is>
      </c>
      <c r="C155" s="99" t="n">
        <v>411.4</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HK$16.5m rejected — below the deal's own net proceeds HK$356.5m, which cannot happen</t>
        </is>
      </c>
    </row>
    <row r="156">
      <c r="A156" s="91" t="inlineStr">
        <is>
          <t>1111</t>
        </is>
      </c>
      <c r="B156" s="16" t="inlineStr">
        <is>
          <t>HUASHI GROUP</t>
        </is>
      </c>
      <c r="C156" s="99" t="n">
        <v>130</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HK$7.8m rejected — below the deal's own net proceeds HK$72.1m, which cannot happen</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165</v>
      </c>
      <c r="C6" s="100" t="n">
        <v>0</v>
      </c>
      <c r="D6" s="94" t="n">
        <v>41</v>
      </c>
      <c r="E6" s="100" t="n">
        <v>-5.4</v>
      </c>
      <c r="F6" s="100" t="n">
        <v>3.1</v>
      </c>
    </row>
    <row r="7">
      <c r="A7" s="16" t="inlineStr">
        <is>
          <t>10-100x</t>
        </is>
      </c>
      <c r="B7" s="89" t="n">
        <v>124</v>
      </c>
      <c r="C7" s="100" t="n">
        <v>0.8</v>
      </c>
      <c r="D7" s="94" t="n">
        <v>53</v>
      </c>
      <c r="E7" s="100" t="n">
        <v>-13.7</v>
      </c>
      <c r="F7" s="100" t="n">
        <v>15.7</v>
      </c>
    </row>
    <row r="8">
      <c r="A8" s="16" t="inlineStr">
        <is>
          <t>100-1000x</t>
        </is>
      </c>
      <c r="B8" s="89" t="n">
        <v>117</v>
      </c>
      <c r="C8" s="100" t="n">
        <v>3.3</v>
      </c>
      <c r="D8" s="94" t="n">
        <v>58</v>
      </c>
      <c r="E8" s="100" t="n">
        <v>-8.6</v>
      </c>
      <c r="F8" s="100" t="n">
        <v>26.9</v>
      </c>
    </row>
    <row r="9">
      <c r="A9" s="16" t="inlineStr">
        <is>
          <t>&gt;=1000x</t>
        </is>
      </c>
      <c r="B9" s="89" t="n">
        <v>105</v>
      </c>
      <c r="C9" s="100" t="n">
        <v>76.2</v>
      </c>
      <c r="D9" s="94"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8</v>
      </c>
      <c r="D18" s="100" t="n">
        <v>12.2</v>
      </c>
      <c r="E18" s="94" t="n">
        <v>75</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1</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7</v>
      </c>
      <c r="D125" s="100" t="n">
        <v>26.1</v>
      </c>
      <c r="E125" s="94" t="n">
        <v>86</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57.8</v>
      </c>
      <c r="F145" s="101" t="n">
        <v>14.1</v>
      </c>
      <c r="G145" s="89" t="n">
        <v>3</v>
      </c>
      <c r="H145" s="89" t="n">
        <v>15</v>
      </c>
    </row>
    <row r="146">
      <c r="A146" s="16" t="inlineStr">
        <is>
          <t>AI chips &amp; semis</t>
        </is>
      </c>
      <c r="B146" s="89" t="n">
        <v>26</v>
      </c>
      <c r="C146" s="100" t="n">
        <v>12.2</v>
      </c>
      <c r="D146" s="94" t="n">
        <v>77</v>
      </c>
      <c r="E146" s="101" t="n">
        <v>83.7</v>
      </c>
      <c r="F146" s="101" t="n">
        <v>12.3</v>
      </c>
      <c r="G146" s="89" t="n">
        <v>13</v>
      </c>
      <c r="H146" s="89" t="n">
        <v>23</v>
      </c>
    </row>
    <row r="147">
      <c r="A147" s="16" t="inlineStr">
        <is>
          <t>Apparel / luxury</t>
        </is>
      </c>
      <c r="B147" s="89" t="n">
        <v>5</v>
      </c>
      <c r="C147" s="100" t="n">
        <v>25</v>
      </c>
      <c r="D147" s="94" t="n">
        <v>80</v>
      </c>
      <c r="E147" s="101" t="n">
        <v>18</v>
      </c>
      <c r="F147" s="101" t="n">
        <v>1.9</v>
      </c>
      <c r="G147" s="89" t="n">
        <v>5</v>
      </c>
      <c r="H147" s="89" t="n">
        <v>3</v>
      </c>
    </row>
    <row r="148">
      <c r="A148" s="16" t="inlineStr">
        <is>
          <t>Auto parts / supply chain</t>
        </is>
      </c>
      <c r="B148" s="89" t="n">
        <v>9</v>
      </c>
      <c r="C148" s="100" t="n">
        <v>2.1</v>
      </c>
      <c r="D148" s="94" t="n">
        <v>56</v>
      </c>
      <c r="E148" s="101" t="n">
        <v>18.3</v>
      </c>
      <c r="F148" s="101" t="n">
        <v>2.8</v>
      </c>
      <c r="G148" s="89" t="n">
        <v>5</v>
      </c>
      <c r="H148" s="89" t="n">
        <v>9</v>
      </c>
    </row>
    <row r="149">
      <c r="A149" s="16" t="inlineStr">
        <is>
          <t>Autos (NEV OEM)</t>
        </is>
      </c>
      <c r="B149" s="89" t="n">
        <v>6</v>
      </c>
      <c r="C149" s="100" t="n">
        <v>0</v>
      </c>
      <c r="D149" s="94" t="n">
        <v>33</v>
      </c>
      <c r="E149" s="101" t="n">
        <v>15</v>
      </c>
      <c r="F149" s="101" t="n">
        <v>1.4</v>
      </c>
      <c r="G149" s="89" t="n">
        <v>2</v>
      </c>
      <c r="H149" s="89" t="n">
        <v>5</v>
      </c>
    </row>
    <row r="150">
      <c r="A150" s="16" t="inlineStr">
        <is>
          <t>Banks</t>
        </is>
      </c>
      <c r="B150" s="89" t="n">
        <v>2</v>
      </c>
      <c r="C150" s="100" t="n">
        <v>2.5</v>
      </c>
      <c r="D150" s="94" t="n">
        <v>100</v>
      </c>
      <c r="E150" s="101" t="n">
        <v>20.1</v>
      </c>
      <c r="F150" s="101" t="n">
        <v>3.4</v>
      </c>
      <c r="G150" s="89" t="n">
        <v>1</v>
      </c>
      <c r="H150" s="89" t="n">
        <v>2</v>
      </c>
    </row>
    <row r="151">
      <c r="A151" s="16" t="inlineStr">
        <is>
          <t>Batteries / energy storage</t>
        </is>
      </c>
      <c r="B151" s="89" t="n">
        <v>13</v>
      </c>
      <c r="C151" s="100" t="n">
        <v>1.4</v>
      </c>
      <c r="D151" s="94" t="n">
        <v>69</v>
      </c>
      <c r="E151" s="101" t="n">
        <v>19.6</v>
      </c>
      <c r="F151" s="101" t="n">
        <v>4.5</v>
      </c>
      <c r="G151" s="89" t="n">
        <v>5</v>
      </c>
      <c r="H151" s="89" t="n">
        <v>13</v>
      </c>
    </row>
    <row r="152">
      <c r="A152" s="16" t="inlineStr">
        <is>
          <t>Beauty / personal care</t>
        </is>
      </c>
      <c r="B152" s="89" t="n">
        <v>7</v>
      </c>
      <c r="C152" s="100" t="n">
        <v>9.300000000000001</v>
      </c>
      <c r="D152" s="94" t="n">
        <v>57</v>
      </c>
      <c r="E152" s="101" t="n">
        <v>22.9</v>
      </c>
      <c r="F152" s="101" t="n">
        <v>4.4</v>
      </c>
      <c r="G152" s="89" t="n">
        <v>6</v>
      </c>
      <c r="H152" s="89" t="n">
        <v>7</v>
      </c>
    </row>
    <row r="153">
      <c r="A153" s="16" t="inlineStr">
        <is>
          <t>Beverages / packaged food</t>
        </is>
      </c>
      <c r="B153" s="89" t="n">
        <v>25</v>
      </c>
      <c r="C153" s="100" t="n">
        <v>1.5</v>
      </c>
      <c r="D153" s="94" t="n">
        <v>56</v>
      </c>
      <c r="E153" s="101" t="n">
        <v>19.3</v>
      </c>
      <c r="F153" s="101" t="n">
        <v>2.3</v>
      </c>
      <c r="G153" s="89" t="n">
        <v>24</v>
      </c>
      <c r="H153" s="89" t="n">
        <v>25</v>
      </c>
    </row>
    <row r="154">
      <c r="A154" s="16" t="inlineStr">
        <is>
          <t>Biopharma commercial</t>
        </is>
      </c>
      <c r="B154" s="89" t="n">
        <v>9</v>
      </c>
      <c r="C154" s="100" t="n">
        <v>25.2</v>
      </c>
      <c r="D154" s="94" t="n">
        <v>78</v>
      </c>
      <c r="E154" s="101" t="n">
        <v>28.6</v>
      </c>
      <c r="F154" s="101" t="n">
        <v>11.3</v>
      </c>
      <c r="G154" s="89" t="n">
        <v>6</v>
      </c>
      <c r="H154" s="89" t="n">
        <v>9</v>
      </c>
    </row>
    <row r="155">
      <c r="A155" s="16" t="inlineStr">
        <is>
          <t>Biotech pre-revenue (18A)</t>
        </is>
      </c>
      <c r="B155" s="89" t="n">
        <v>49</v>
      </c>
      <c r="C155" s="100" t="n">
        <v>7.7</v>
      </c>
      <c r="D155" s="94" t="n">
        <v>69</v>
      </c>
      <c r="E155" s="101" t="n"/>
      <c r="F155" s="101" t="n">
        <v>17</v>
      </c>
      <c r="G155" s="89" t="n">
        <v>0</v>
      </c>
      <c r="H155" s="89" t="n">
        <v>9</v>
      </c>
    </row>
    <row r="156">
      <c r="A156" s="16" t="inlineStr">
        <is>
          <t>Brokers / asset management</t>
        </is>
      </c>
      <c r="B156" s="89" t="n">
        <v>4</v>
      </c>
      <c r="C156" s="100" t="n">
        <v>-14.3</v>
      </c>
      <c r="D156" s="94" t="n">
        <v>25</v>
      </c>
      <c r="E156" s="101" t="n">
        <v>27.8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6.4</v>
      </c>
      <c r="G158" s="89" t="n">
        <v>13</v>
      </c>
      <c r="H158" s="89" t="n">
        <v>18</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15</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15</v>
      </c>
    </row>
    <row r="165">
      <c r="A165" s="16" t="inlineStr">
        <is>
          <t>F&amp;B chains / restaurants</t>
        </is>
      </c>
      <c r="B165" s="89" t="n">
        <v>10</v>
      </c>
      <c r="C165" s="100" t="n">
        <v>-3.3</v>
      </c>
      <c r="D165" s="94" t="n">
        <v>40</v>
      </c>
      <c r="E165" s="101" t="n">
        <v>19.4</v>
      </c>
      <c r="F165" s="101" t="n">
        <v>3</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4.8</v>
      </c>
      <c r="G169" s="89" t="n">
        <v>12</v>
      </c>
      <c r="H169" s="89" t="n">
        <v>22</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15</v>
      </c>
    </row>
    <row r="172">
      <c r="A172" s="16" t="inlineStr">
        <is>
          <t>Media / advertising</t>
        </is>
      </c>
      <c r="B172" s="89" t="n">
        <v>19</v>
      </c>
      <c r="C172" s="100" t="n">
        <v>16.6</v>
      </c>
      <c r="D172" s="94" t="n">
        <v>63</v>
      </c>
      <c r="E172" s="101" t="n">
        <v>28.3</v>
      </c>
      <c r="F172" s="101" t="n">
        <v>4.2</v>
      </c>
      <c r="G172" s="89" t="n">
        <v>17</v>
      </c>
      <c r="H172" s="89" t="n">
        <v>18</v>
      </c>
    </row>
    <row r="173">
      <c r="A173" s="16" t="inlineStr">
        <is>
          <t>Medical devices</t>
        </is>
      </c>
      <c r="B173" s="89" t="n">
        <v>25</v>
      </c>
      <c r="C173" s="100" t="n">
        <v>1.6</v>
      </c>
      <c r="D173" s="94" t="n">
        <v>56</v>
      </c>
      <c r="E173" s="101" t="n">
        <v>146.8</v>
      </c>
      <c r="F173" s="101" t="n">
        <v>12.2</v>
      </c>
      <c r="G173" s="89" t="n">
        <v>5</v>
      </c>
      <c r="H173" s="89" t="n">
        <v>9</v>
      </c>
    </row>
    <row r="174">
      <c r="A174" s="16" t="inlineStr">
        <is>
          <t>Mining / metals</t>
        </is>
      </c>
      <c r="B174" s="89" t="n">
        <v>13</v>
      </c>
      <c r="C174" s="100" t="n">
        <v>2.2</v>
      </c>
      <c r="D174" s="94" t="n">
        <v>62</v>
      </c>
      <c r="E174" s="101" t="n">
        <v>17.9</v>
      </c>
      <c r="F174" s="101" t="n">
        <v>2.9</v>
      </c>
      <c r="G174" s="89" t="n">
        <v>11</v>
      </c>
      <c r="H174" s="89" t="n">
        <v>12</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16.1</v>
      </c>
      <c r="F176" s="101" t="n">
        <v>2.6</v>
      </c>
      <c r="G176" s="89" t="n">
        <v>23</v>
      </c>
      <c r="H176" s="89" t="n">
        <v>24</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20.3</v>
      </c>
      <c r="F178" s="101" t="n">
        <v>1.8</v>
      </c>
      <c r="G178" s="89" t="n">
        <v>12</v>
      </c>
      <c r="H178" s="89" t="n">
        <v>17</v>
      </c>
    </row>
    <row r="179">
      <c r="A179" s="16" t="inlineStr">
        <is>
          <t>Robotics &amp; autonomous driving</t>
        </is>
      </c>
      <c r="B179" s="89" t="n">
        <v>21</v>
      </c>
      <c r="C179" s="100" t="n">
        <v>4.3</v>
      </c>
      <c r="D179" s="94" t="n">
        <v>67</v>
      </c>
      <c r="E179" s="101" t="n"/>
      <c r="F179" s="101" t="n">
        <v>18.9</v>
      </c>
      <c r="G179" s="89" t="n">
        <v>0</v>
      </c>
      <c r="H179" s="89" t="n">
        <v>18</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32.3</v>
      </c>
      <c r="F181" s="101" t="n">
        <v>2.5</v>
      </c>
      <c r="G181" s="89" t="n">
        <v>25</v>
      </c>
      <c r="H181" s="89" t="n">
        <v>24</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29</v>
      </c>
      <c r="D207" s="100" t="n">
        <v>4.2</v>
      </c>
      <c r="E207" s="94" t="n">
        <v>62</v>
      </c>
    </row>
    <row r="208">
      <c r="A208" s="16" t="inlineStr">
        <is>
          <t>2026</t>
        </is>
      </c>
      <c r="B208" s="16" t="inlineStr">
        <is>
          <t>&lt;10x</t>
        </is>
      </c>
      <c r="C208" s="89" t="n">
        <v>4</v>
      </c>
      <c r="D208" s="100" t="n">
        <v>1.2</v>
      </c>
      <c r="E208" s="94" t="n">
        <v>50</v>
      </c>
    </row>
    <row r="209">
      <c r="A209" s="16" t="inlineStr">
        <is>
          <t>2026</t>
        </is>
      </c>
      <c r="B209" s="16" t="inlineStr">
        <is>
          <t>&gt;=1000x</t>
        </is>
      </c>
      <c r="C209" s="89" t="n">
        <v>58</v>
      </c>
      <c r="D209" s="100" t="n">
        <v>78.09999999999999</v>
      </c>
      <c r="E209" s="94" t="n">
        <v>91</v>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COUNTIFS(Database!$H$5:$H$515,"&gt;="&amp;DATE(2021,1,1),Database!$H$5:$H$515,"&lt;="&amp;DATE(2021,12,31),Database!$I$5:$I$515,"&gt;="&amp;$B$5)</f>
        <v/>
      </c>
      <c r="F5" s="44">
        <f>COUNTIFS(Database!$H$5:$H$515,"&gt;="&amp;DATE(2021,1,1),Database!$H$5:$H$515,"&lt;="&amp;DATE(2021,12,31),Database!$I$5:$I$515,"&gt;="&amp;$B$6,Database!$I$5:$I$515,"&lt;"&amp;$B$5)</f>
        <v/>
      </c>
      <c r="G5" s="44">
        <f>COUNTIFS(Database!$H$5:$H$515,"&gt;="&amp;DATE(2021,1,1),Database!$H$5:$H$515,"&lt;="&amp;DATE(2021,12,31),Database!$I$5:$I$515,"&gt;="&amp;$B$7,Database!$I$5:$I$515,"&lt;"&amp;$B$6)</f>
        <v/>
      </c>
      <c r="H5" s="44">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4">
        <f>COUNTIFS(Database!$H$5:$H$515,"&gt;="&amp;DATE(2022,1,1),Database!$H$5:$H$515,"&lt;="&amp;DATE(2022,12,31),Database!$I$5:$I$515,"&gt;="&amp;$B$5)</f>
        <v/>
      </c>
      <c r="F6" s="44">
        <f>COUNTIFS(Database!$H$5:$H$515,"&gt;="&amp;DATE(2022,1,1),Database!$H$5:$H$515,"&lt;="&amp;DATE(2022,12,31),Database!$I$5:$I$515,"&gt;="&amp;$B$6,Database!$I$5:$I$515,"&lt;"&amp;$B$5)</f>
        <v/>
      </c>
      <c r="G6" s="44">
        <f>COUNTIFS(Database!$H$5:$H$515,"&gt;="&amp;DATE(2022,1,1),Database!$H$5:$H$515,"&lt;="&amp;DATE(2022,12,31),Database!$I$5:$I$515,"&gt;="&amp;$B$7,Database!$I$5:$I$515,"&lt;"&amp;$B$6)</f>
        <v/>
      </c>
      <c r="H6" s="44">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4">
        <f>COUNTIFS(Database!$H$5:$H$515,"&gt;="&amp;DATE(2023,1,1),Database!$H$5:$H$515,"&lt;="&amp;DATE(2023,12,31),Database!$I$5:$I$515,"&gt;="&amp;$B$5)</f>
        <v/>
      </c>
      <c r="F7" s="44">
        <f>COUNTIFS(Database!$H$5:$H$515,"&gt;="&amp;DATE(2023,1,1),Database!$H$5:$H$515,"&lt;="&amp;DATE(2023,12,31),Database!$I$5:$I$515,"&gt;="&amp;$B$6,Database!$I$5:$I$515,"&lt;"&amp;$B$5)</f>
        <v/>
      </c>
      <c r="G7" s="44">
        <f>COUNTIFS(Database!$H$5:$H$515,"&gt;="&amp;DATE(2023,1,1),Database!$H$5:$H$515,"&lt;="&amp;DATE(2023,12,31),Database!$I$5:$I$515,"&gt;="&amp;$B$7,Database!$I$5:$I$515,"&lt;"&amp;$B$6)</f>
        <v/>
      </c>
      <c r="H7" s="44">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4">
        <f>COUNTIFS(Database!$H$5:$H$515,"&gt;="&amp;DATE(2024,1,1),Database!$H$5:$H$515,"&lt;="&amp;DATE(2024,12,31),Database!$I$5:$I$515,"&gt;="&amp;$B$5)</f>
        <v/>
      </c>
      <c r="F8" s="44">
        <f>COUNTIFS(Database!$H$5:$H$515,"&gt;="&amp;DATE(2024,1,1),Database!$H$5:$H$515,"&lt;="&amp;DATE(2024,12,31),Database!$I$5:$I$515,"&gt;="&amp;$B$6,Database!$I$5:$I$515,"&lt;"&amp;$B$5)</f>
        <v/>
      </c>
      <c r="G8" s="44">
        <f>COUNTIFS(Database!$H$5:$H$515,"&gt;="&amp;DATE(2024,1,1),Database!$H$5:$H$515,"&lt;="&amp;DATE(2024,12,31),Database!$I$5:$I$515,"&gt;="&amp;$B$7,Database!$I$5:$I$515,"&lt;"&amp;$B$6)</f>
        <v/>
      </c>
      <c r="H8" s="44">
        <f>COUNTIFS(Database!$H$5:$H$515,"&gt;="&amp;DATE(2024,1,1),Database!$H$5:$H$515,"&lt;="&amp;DATE(2024,12,31),Database!$I$5:$I$515,"&gt;="&amp;$B$8,Database!$I$5:$I$515,"&lt;"&amp;$B$7)</f>
        <v/>
      </c>
      <c r="I8" s="26">
        <f>SUMIFS(Database!$I$5:$I$515,Database!$H$5:$H$515,"&gt;="&amp;DATE(2024,1,1),Database!$H$5:$H$515,"&lt;="&amp;DATE(2024,12,31))/1000</f>
        <v/>
      </c>
    </row>
    <row r="9">
      <c r="D9" s="102" t="inlineStr">
        <is>
          <t>2025</t>
        </is>
      </c>
      <c r="E9" s="44">
        <f>COUNTIFS(Database!$H$5:$H$515,"&gt;="&amp;DATE(2025,1,1),Database!$H$5:$H$515,"&lt;="&amp;DATE(2025,12,31),Database!$I$5:$I$515,"&gt;="&amp;$B$5)</f>
        <v/>
      </c>
      <c r="F9" s="44">
        <f>COUNTIFS(Database!$H$5:$H$515,"&gt;="&amp;DATE(2025,1,1),Database!$H$5:$H$515,"&lt;="&amp;DATE(2025,12,31),Database!$I$5:$I$515,"&gt;="&amp;$B$6,Database!$I$5:$I$515,"&lt;"&amp;$B$5)</f>
        <v/>
      </c>
      <c r="G9" s="44">
        <f>COUNTIFS(Database!$H$5:$H$515,"&gt;="&amp;DATE(2025,1,1),Database!$H$5:$H$515,"&lt;="&amp;DATE(2025,12,31),Database!$I$5:$I$515,"&gt;="&amp;$B$7,Database!$I$5:$I$515,"&lt;"&amp;$B$6)</f>
        <v/>
      </c>
      <c r="H9" s="44">
        <f>COUNTIFS(Database!$H$5:$H$515,"&gt;="&amp;DATE(2025,1,1),Database!$H$5:$H$515,"&lt;="&amp;DATE(2025,12,31),Database!$I$5:$I$515,"&gt;="&amp;$B$8,Database!$I$5:$I$515,"&lt;"&amp;$B$7)</f>
        <v/>
      </c>
      <c r="I9" s="26">
        <f>SUMIFS(Database!$I$5:$I$515,Database!$H$5:$H$515,"&gt;="&amp;DATE(2025,1,1),Database!$H$5:$H$515,"&lt;="&amp;DATE(2025,12,31))/1000</f>
        <v/>
      </c>
    </row>
    <row r="10">
      <c r="D10" s="102" t="inlineStr">
        <is>
          <t>2026</t>
        </is>
      </c>
      <c r="E10" s="44">
        <f>COUNTIFS(Database!$H$5:$H$515,"&gt;="&amp;DATE(2026,1,1),Database!$H$5:$H$515,"&lt;="&amp;DATE(2026,12,31),Database!$I$5:$I$515,"&gt;="&amp;$B$5)</f>
        <v/>
      </c>
      <c r="F10" s="44">
        <f>COUNTIFS(Database!$H$5:$H$515,"&gt;="&amp;DATE(2026,1,1),Database!$H$5:$H$515,"&lt;="&amp;DATE(2026,12,31),Database!$I$5:$I$515,"&gt;="&amp;$B$6,Database!$I$5:$I$515,"&lt;"&amp;$B$5)</f>
        <v/>
      </c>
      <c r="G10" s="44">
        <f>COUNTIFS(Database!$H$5:$H$515,"&gt;="&amp;DATE(2026,1,1),Database!$H$5:$H$515,"&lt;="&amp;DATE(2026,12,31),Database!$I$5:$I$515,"&gt;="&amp;$B$7,Database!$I$5:$I$515,"&lt;"&amp;$B$6)</f>
        <v/>
      </c>
      <c r="H10" s="44">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7" t="inlineStr">
        <is>
          <t>2026-07-30</t>
        </is>
      </c>
      <c r="D14" s="99" t="n">
        <v>53410</v>
      </c>
      <c r="E14" s="16" t="inlineStr">
        <is>
          <t>Smart hardware / consumer electronics</t>
        </is>
      </c>
    </row>
    <row r="15">
      <c r="A15" s="91" t="inlineStr">
        <is>
          <t>1024</t>
        </is>
      </c>
      <c r="B15" s="16" t="inlineStr">
        <is>
          <t>KUAISHOU-W</t>
        </is>
      </c>
      <c r="C15" s="97" t="inlineStr">
        <is>
          <t>2021-02-05</t>
        </is>
      </c>
      <c r="D15" s="99" t="n">
        <v>42000.1</v>
      </c>
      <c r="E15" s="16" t="inlineStr">
        <is>
          <t>Internet platform / e-commerce</t>
        </is>
      </c>
    </row>
    <row r="16">
      <c r="A16" s="91" t="inlineStr">
        <is>
          <t>3750</t>
        </is>
      </c>
      <c r="B16" s="16" t="inlineStr">
        <is>
          <t>CATL</t>
        </is>
      </c>
      <c r="C16" s="97" t="inlineStr">
        <is>
          <t>2025-05-20</t>
        </is>
      </c>
      <c r="D16" s="99" t="n">
        <v>35657.2</v>
      </c>
      <c r="E16" s="16" t="inlineStr">
        <is>
          <t>Batteries / energy storage</t>
        </is>
      </c>
    </row>
    <row r="17">
      <c r="A17" s="91" t="inlineStr">
        <is>
          <t>0300</t>
        </is>
      </c>
      <c r="B17" s="16" t="inlineStr">
        <is>
          <t>MIDEA GROUP</t>
        </is>
      </c>
      <c r="C17" s="97" t="inlineStr">
        <is>
          <t>2024-09-17</t>
        </is>
      </c>
      <c r="D17" s="99" t="n">
        <v>31014</v>
      </c>
      <c r="E17" s="16" t="inlineStr">
        <is>
          <t>Smart hardware / consumer electronics</t>
        </is>
      </c>
    </row>
    <row r="18">
      <c r="A18" s="91" t="inlineStr">
        <is>
          <t>2259</t>
        </is>
      </c>
      <c r="B18" s="16" t="inlineStr">
        <is>
          <t>ZIJIN GOLD INTL</t>
        </is>
      </c>
      <c r="C18" s="97" t="inlineStr">
        <is>
          <t>2025-09-30</t>
        </is>
      </c>
      <c r="D18" s="99" t="n">
        <v>24984.2</v>
      </c>
      <c r="E18" s="16" t="inlineStr">
        <is>
          <t>Mining / metals</t>
        </is>
      </c>
    </row>
    <row r="19">
      <c r="A19" s="91" t="inlineStr">
        <is>
          <t>2475</t>
        </is>
      </c>
      <c r="B19" s="16" t="inlineStr">
        <is>
          <t>LUXSHARE ICT</t>
        </is>
      </c>
      <c r="C19" s="97" t="inlineStr">
        <is>
          <t>2026-07-09</t>
        </is>
      </c>
      <c r="D19" s="99" t="n">
        <v>24266.2</v>
      </c>
      <c r="E19" s="16" t="inlineStr">
        <is>
          <t>Smart hardware / consumer electronics</t>
        </is>
      </c>
    </row>
    <row r="20">
      <c r="A20" s="91" t="inlineStr">
        <is>
          <t>9888</t>
        </is>
      </c>
      <c r="B20" s="16" t="inlineStr">
        <is>
          <t>BIDU-SW</t>
        </is>
      </c>
      <c r="C20" s="97" t="inlineStr">
        <is>
          <t>2021-03-23</t>
        </is>
      </c>
      <c r="D20" s="99" t="n">
        <v>23940</v>
      </c>
      <c r="E20" s="16" t="inlineStr">
        <is>
          <t>Internet platform / e-commerce</t>
        </is>
      </c>
    </row>
    <row r="21">
      <c r="A21" s="91" t="inlineStr">
        <is>
          <t>9626</t>
        </is>
      </c>
      <c r="B21" s="16" t="inlineStr">
        <is>
          <t>BILIBILI-SW</t>
        </is>
      </c>
      <c r="C21" s="97" t="inlineStr">
        <is>
          <t>2021-03-29</t>
        </is>
      </c>
      <c r="D21" s="99" t="n">
        <v>20200</v>
      </c>
      <c r="E21" s="16" t="inlineStr">
        <is>
          <t>Internet platform / e-commerce</t>
        </is>
      </c>
    </row>
    <row r="22">
      <c r="A22" s="91" t="inlineStr">
        <is>
          <t>2476</t>
        </is>
      </c>
      <c r="B22" s="16" t="inlineStr">
        <is>
          <t>VGT</t>
        </is>
      </c>
      <c r="C22" s="97" t="inlineStr">
        <is>
          <t>2026-04-21</t>
        </is>
      </c>
      <c r="D22" s="99" t="n">
        <v>20117</v>
      </c>
      <c r="E22" s="16" t="inlineStr">
        <is>
          <t>Smart hardware / consumer electronics</t>
        </is>
      </c>
    </row>
    <row r="23">
      <c r="A23" s="91" t="inlineStr">
        <is>
          <t>2378</t>
        </is>
      </c>
      <c r="B23" s="16" t="inlineStr">
        <is>
          <t>PRU</t>
        </is>
      </c>
      <c r="C23" s="97" t="inlineStr">
        <is>
          <t>2021-10-04</t>
        </is>
      </c>
      <c r="D23" s="99" t="n">
        <v>18500</v>
      </c>
      <c r="E23" s="16" t="inlineStr">
        <is>
          <t>Insurance</t>
        </is>
      </c>
    </row>
    <row r="24">
      <c r="A24" s="91" t="inlineStr">
        <is>
          <t>1880</t>
        </is>
      </c>
      <c r="B24" s="16" t="inlineStr">
        <is>
          <t>CTG DUTY-FREE</t>
        </is>
      </c>
      <c r="C24" s="97" t="inlineStr">
        <is>
          <t>2022-08-25</t>
        </is>
      </c>
      <c r="D24" s="99" t="n">
        <v>16236.4</v>
      </c>
      <c r="E24" s="16" t="inlineStr">
        <is>
          <t>Retail / distribution</t>
        </is>
      </c>
    </row>
    <row r="25">
      <c r="A25" s="91" t="inlineStr">
        <is>
          <t>9927</t>
        </is>
      </c>
      <c r="B25" s="16" t="inlineStr">
        <is>
          <t>SERES</t>
        </is>
      </c>
      <c r="C25" s="97" t="inlineStr">
        <is>
          <t>2025-11-05</t>
        </is>
      </c>
      <c r="D25" s="99" t="n">
        <v>14283.4</v>
      </c>
      <c r="E25" s="16" t="inlineStr">
        <is>
          <t>Autos (NEV OEM)</t>
        </is>
      </c>
    </row>
    <row r="26">
      <c r="A26" s="91" t="inlineStr">
        <is>
          <t>9868</t>
        </is>
      </c>
      <c r="B26" s="16" t="inlineStr">
        <is>
          <t>XPENG-W</t>
        </is>
      </c>
      <c r="C26" s="97" t="inlineStr">
        <is>
          <t>2021-07-07</t>
        </is>
      </c>
      <c r="D26" s="99" t="n">
        <v>14025</v>
      </c>
      <c r="E26" s="16" t="inlineStr">
        <is>
          <t>Autos (NEV OEM)</t>
        </is>
      </c>
    </row>
    <row r="27">
      <c r="A27" s="91" t="inlineStr">
        <is>
          <t>9696</t>
        </is>
      </c>
      <c r="B27" s="16" t="inlineStr">
        <is>
          <t>TIANQI LITHIUM</t>
        </is>
      </c>
      <c r="C27" s="97" t="inlineStr">
        <is>
          <t>2022-07-13</t>
        </is>
      </c>
      <c r="D27" s="99" t="n">
        <v>13458</v>
      </c>
      <c r="E27" s="16" t="inlineStr">
        <is>
          <t>Mining / metals</t>
        </is>
      </c>
    </row>
    <row r="28">
      <c r="A28" s="91" t="inlineStr">
        <is>
          <t>6031</t>
        </is>
      </c>
      <c r="B28" s="16" t="inlineStr">
        <is>
          <t>SANY HEAVY IND</t>
        </is>
      </c>
      <c r="C28" s="97" t="inlineStr">
        <is>
          <t>2025-10-28</t>
        </is>
      </c>
      <c r="D28" s="99" t="n">
        <v>13453.1</v>
      </c>
      <c r="E28" s="16" t="inlineStr">
        <is>
          <t>Capital goods / machinery</t>
        </is>
      </c>
    </row>
  </sheetData>
  <pageMargins left="0.75" right="0.75" top="1" bottom="1" header="0.5" footer="0.5"/>
</worksheet>
</file>

<file path=xl/worksheets/sheet9.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99">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99">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99">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99">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99">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99">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99">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99">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99">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99">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99">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99">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99">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99">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99">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99">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99">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99">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99">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99">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99">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99">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99">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99">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99">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99">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99">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99">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99">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99">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99">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99">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99">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99">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99">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99">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99">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99">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99">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99">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99">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99">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99">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99">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99">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99">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99">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99">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99">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99">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99">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99">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99">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99">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99">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99">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99">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99">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99">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99">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99">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99">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99">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99">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99">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99">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99">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99">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99">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99">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99">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99">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99">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99">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99">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99">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99">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99">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99">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99">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99">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99">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99">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99">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99">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99">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99">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99">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99">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99">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99">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99">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99">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99">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99">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99">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99">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99">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99">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99">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99">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99">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99">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99">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99">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99">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99">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99">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99">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99">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99">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99">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99">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99">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99">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99">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99">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99">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99">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99">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99">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99">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99">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99">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99">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99">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99">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99">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99">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99">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99">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99">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99">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99">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99">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99">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99">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99">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99">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99">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99">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99">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99">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99">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99">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99">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99">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99">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99">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99">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99">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99">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99">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99">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99">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99">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99">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99">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99">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99">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99">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99">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99">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99">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99">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99">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99">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99">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99">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99">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99">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99">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99">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99">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99">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99">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99">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99">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99">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99">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99">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99">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99">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99">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99">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99">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99">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99">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99">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99">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99">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99">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99">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99">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99">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99">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99">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99">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99">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99">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99">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99">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99">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99">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99">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99">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99">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99">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99">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99">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99">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99">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99">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99">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99">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99">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99">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99">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99">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99">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99">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99">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99">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99">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99">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99">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99">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99">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99">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99">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99">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99">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99">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99">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99">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99">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99">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99">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99">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99">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99">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99">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99">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99">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99">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99">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99">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99">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99">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99">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99">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99">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99">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99">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99">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99">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99">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99">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99">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99">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99">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99">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99">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99">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99">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99">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99">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99">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99">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99">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99">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99">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99">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99">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99">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99">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99">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99">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99">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99">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99">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99">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99">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99">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99">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99">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99">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99">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99">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99">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99">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99">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99">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99">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99">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99">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99">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99">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99">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99">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99">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99">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99">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99">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99">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99">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99">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99">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99">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99">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99">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99">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99">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99">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99">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99">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99">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99">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99">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99">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99">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99">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99">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99">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99">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99">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99">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99">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99">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99">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99">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99">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99">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99">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99">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99">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99">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99">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99">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99">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99">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99">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99">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99">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99">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99">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99">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99">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99">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99">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99">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99">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99">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99">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99">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99">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99">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99">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99">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99">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99">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99">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99">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99">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99">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99">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99">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99">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99">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99">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99">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99">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99">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99">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99">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99">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99">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99">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99">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99">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99">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99">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99">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99">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99">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99">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99">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99">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99">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99">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99">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99">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99">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99">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99">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99">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99">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99">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99">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99">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99">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99">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99">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99">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99">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99">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99">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99">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99">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99">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99">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99">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99">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99">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99">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99">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99">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99">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99">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99">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99">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99">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99">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99">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99">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99">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99">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99">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99">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99">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99">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99">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99">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99">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99">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99">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99">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99">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99">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99">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99">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99">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99">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99">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99">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99">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99">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99">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99">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99">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99">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99">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99">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99">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99">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99">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99">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99">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99">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99">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99">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99">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99">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99">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99">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99">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99">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99">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99">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99">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99">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99">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99">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99">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99">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99">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99">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99">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99">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99">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99">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99">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99">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99">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99">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99">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99">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99">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99">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99">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99">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99">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99">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99">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99">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99">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99">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99">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99">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99">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99">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99">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99">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99">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99">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99">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99">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99">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99">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99">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99">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6"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6"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6"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6"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6"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6"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6"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6" t="inlineStr">
        <is>
          <t>^HSI — Hang Seng Index</t>
        </is>
      </c>
    </row>
    <row r="50">
      <c r="B50" s="63" t="inlineStr">
        <is>
          <t>Telecom</t>
        </is>
      </c>
      <c r="C50" s="2" t="inlineStr"/>
    </row>
    <row r="51">
      <c r="B51" s="63" t="inlineStr">
        <is>
          <t>Media / advertising</t>
        </is>
      </c>
      <c r="C51" s="2" t="inlineStr"/>
    </row>
    <row r="52">
      <c r="A52" s="105" t="inlineStr">
        <is>
          <t>Other</t>
        </is>
      </c>
      <c r="D52" s="76"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COUNTIFS(Database!$H$5:$H$515,"&gt;="&amp;DATE(2021,1,1),Database!$H$5:$H$515,"&lt;="&amp;DATE(2021,12,31))</f>
        <v/>
      </c>
      <c r="C5" s="89" t="n"/>
      <c r="D5" s="44">
        <f>IF(C5="","n/a",C5-B5)</f>
        <v/>
      </c>
      <c r="E5" s="26">
        <f>SUMIFS(Database!$I$5:$I$515,Database!$H$5:$H$515,"&gt;="&amp;DATE(2021,1,1),Database!$H$5:$H$515,"&lt;="&amp;DATE(2021,12,31))/1000</f>
        <v/>
      </c>
      <c r="F5" s="106" t="n">
        <v>331.3</v>
      </c>
      <c r="G5" s="43">
        <f>IF(OR(F5="",E5=0),"n/a",F5/E5-1)</f>
        <v/>
      </c>
    </row>
    <row r="6">
      <c r="A6" s="102" t="inlineStr">
        <is>
          <t>2022</t>
        </is>
      </c>
      <c r="B6" s="44">
        <f>COUNTIFS(Database!$H$5:$H$515,"&gt;="&amp;DATE(2022,1,1),Database!$H$5:$H$515,"&lt;="&amp;DATE(2022,12,31))</f>
        <v/>
      </c>
      <c r="C6" s="89" t="n">
        <v>90</v>
      </c>
      <c r="D6" s="44">
        <f>IF(C6="","n/a",C6-B6)</f>
        <v/>
      </c>
      <c r="E6" s="26">
        <f>SUMIFS(Database!$I$5:$I$515,Database!$H$5:$H$515,"&gt;="&amp;DATE(2022,1,1),Database!$H$5:$H$515,"&lt;="&amp;DATE(2022,12,31))/1000</f>
        <v/>
      </c>
      <c r="F6" s="106" t="n">
        <v>104.6</v>
      </c>
      <c r="G6" s="43">
        <f>IF(OR(F6="",E6=0),"n/a",F6/E6-1)</f>
        <v/>
      </c>
    </row>
    <row r="7">
      <c r="A7" s="102" t="inlineStr">
        <is>
          <t>2023</t>
        </is>
      </c>
      <c r="B7" s="44">
        <f>COUNTIFS(Database!$H$5:$H$515,"&gt;="&amp;DATE(2023,1,1),Database!$H$5:$H$515,"&lt;="&amp;DATE(2023,12,31))</f>
        <v/>
      </c>
      <c r="C7" s="89" t="n">
        <v>73</v>
      </c>
      <c r="D7" s="44">
        <f>IF(C7="","n/a",C7-B7)</f>
        <v/>
      </c>
      <c r="E7" s="26">
        <f>SUMIFS(Database!$I$5:$I$515,Database!$H$5:$H$515,"&gt;="&amp;DATE(2023,1,1),Database!$H$5:$H$515,"&lt;="&amp;DATE(2023,12,31))/1000</f>
        <v/>
      </c>
      <c r="F7" s="106" t="n">
        <v>46.3</v>
      </c>
      <c r="G7" s="43">
        <f>IF(OR(F7="",E7=0),"n/a",F7/E7-1)</f>
        <v/>
      </c>
    </row>
    <row r="8">
      <c r="A8" s="102" t="inlineStr">
        <is>
          <t>2024</t>
        </is>
      </c>
      <c r="B8" s="44">
        <f>COUNTIFS(Database!$H$5:$H$515,"&gt;="&amp;DATE(2024,1,1),Database!$H$5:$H$515,"&lt;="&amp;DATE(2024,12,31))</f>
        <v/>
      </c>
      <c r="C8" s="89" t="n">
        <v>71</v>
      </c>
      <c r="D8" s="44">
        <f>IF(C8="","n/a",C8-B8)</f>
        <v/>
      </c>
      <c r="E8" s="26">
        <f>SUMIFS(Database!$I$5:$I$515,Database!$H$5:$H$515,"&gt;="&amp;DATE(2024,1,1),Database!$H$5:$H$515,"&lt;="&amp;DATE(2024,12,31))/1000</f>
        <v/>
      </c>
      <c r="F8" s="106" t="n">
        <v>87.5</v>
      </c>
      <c r="G8" s="43">
        <f>IF(OR(F8="",E8=0),"n/a",F8/E8-1)</f>
        <v/>
      </c>
    </row>
    <row r="9">
      <c r="A9" s="102" t="inlineStr">
        <is>
          <t>2025</t>
        </is>
      </c>
      <c r="B9" s="44">
        <f>COUNTIFS(Database!$H$5:$H$515,"&gt;="&amp;DATE(2025,1,1),Database!$H$5:$H$515,"&lt;="&amp;DATE(2025,12,31))</f>
        <v/>
      </c>
      <c r="C9" s="89" t="n"/>
      <c r="D9" s="44">
        <f>IF(C9="","n/a",C9-B9)</f>
        <v/>
      </c>
      <c r="E9" s="26">
        <f>SUMIFS(Database!$I$5:$I$515,Database!$H$5:$H$515,"&gt;="&amp;DATE(2025,1,1),Database!$H$5:$H$515,"&lt;="&amp;DATE(2025,12,31))/1000</f>
        <v/>
      </c>
      <c r="F9" s="106" t="n"/>
      <c r="G9" s="43">
        <f>IF(OR(F9="",E9=0),"n/a",F9/E9-1)</f>
        <v/>
      </c>
    </row>
    <row r="10">
      <c r="A10" s="102" t="inlineStr">
        <is>
          <t>2026</t>
        </is>
      </c>
      <c r="B10" s="44">
        <f>COUNTIFS(Database!$H$5:$H$515,"&gt;="&amp;DATE(2026,1,1),Database!$H$5:$H$515,"&lt;="&amp;DATE(2026,12,31))</f>
        <v/>
      </c>
      <c r="C10" s="89" t="n"/>
      <c r="D10" s="44">
        <f>IF(C10="","n/a",C10-B10)</f>
        <v/>
      </c>
      <c r="E10" s="26">
        <f>SUMIFS(Database!$I$5:$I$515,Database!$H$5:$H$515,"&gt;="&amp;DATE(2026,1,1),Database!$H$5:$H$515,"&lt;="&amp;DATE(2026,12,31))/1000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8" t="n">
        <v>115</v>
      </c>
      <c r="E14" s="40">
        <f>INDEX(Database!$M$5:$M$515,MATCH("1024",Database!$A$5:$A$515,0))</f>
        <v/>
      </c>
      <c r="F14" s="10">
        <f>IF(E14="","MISSING",IF(ABS(E14-D14)/D14&lt;0.02,"OK","CHECK"))</f>
        <v/>
      </c>
    </row>
    <row r="15">
      <c r="A15" s="91" t="inlineStr">
        <is>
          <t>3750</t>
        </is>
      </c>
      <c r="B15" s="16" t="inlineStr">
        <is>
          <t>CATL (H)</t>
        </is>
      </c>
      <c r="C15" s="16" t="inlineStr">
        <is>
          <t>final_price</t>
        </is>
      </c>
      <c r="D15" s="98" t="n">
        <v>263</v>
      </c>
      <c r="E15" s="40">
        <f>INDEX(Database!$M$5:$M$515,MATCH("3750",Database!$A$5:$A$515,0))</f>
        <v/>
      </c>
      <c r="F15" s="10">
        <f>IF(E15="","MISSING",IF(ABS(E15-D15)/D15&lt;0.02,"OK","CHECK"))</f>
        <v/>
      </c>
    </row>
    <row r="16">
      <c r="A16" s="91" t="inlineStr">
        <is>
          <t>0300</t>
        </is>
      </c>
      <c r="B16" s="16" t="inlineStr">
        <is>
          <t>Midea Group (H)</t>
        </is>
      </c>
      <c r="C16" s="16" t="inlineStr">
        <is>
          <t>final_price</t>
        </is>
      </c>
      <c r="D16" s="98" t="n">
        <v>54.8</v>
      </c>
      <c r="E16" s="40">
        <f>INDEX(Database!$M$5:$M$515,MATCH("0300",Database!$A$5:$A$515,0))</f>
        <v/>
      </c>
      <c r="F16" s="10">
        <f>IF(E16="","MISSING",IF(ABS(E16-D16)/D16&lt;0.02,"OK","CHECK"))</f>
        <v/>
      </c>
    </row>
    <row r="17">
      <c r="A17" s="91" t="inlineStr">
        <is>
          <t>9660</t>
        </is>
      </c>
      <c r="B17" s="16" t="inlineStr">
        <is>
          <t>Horizon Robotics</t>
        </is>
      </c>
      <c r="C17" s="16" t="inlineStr">
        <is>
          <t>final_price</t>
        </is>
      </c>
      <c r="D17" s="98" t="n">
        <v>3.99</v>
      </c>
      <c r="E17" s="40">
        <f>INDEX(Database!$M$5:$M$515,MATCH("9660",Database!$A$5:$A$515,0))</f>
        <v/>
      </c>
      <c r="F17" s="10">
        <f>IF(E17="","MISSING",IF(ABS(E17-D17)/D17&lt;0.02,"OK","CHECK"))</f>
        <v/>
      </c>
    </row>
    <row r="18">
      <c r="A18" s="91" t="inlineStr">
        <is>
          <t>2097</t>
        </is>
      </c>
      <c r="B18" s="16" t="inlineStr">
        <is>
          <t>Mixue Group</t>
        </is>
      </c>
      <c r="C18" s="16" t="inlineStr">
        <is>
          <t>final_price</t>
        </is>
      </c>
      <c r="D18" s="98" t="n">
        <v>202.5</v>
      </c>
      <c r="E18" s="40">
        <f>INDEX(Database!$M$5:$M$515,MATCH("2097",Database!$A$5:$A$515,0))</f>
        <v/>
      </c>
      <c r="F18" s="10">
        <f>IF(E18="","MISSING",IF(ABS(E18-D18)/D18&lt;0.02,"OK","CHECK"))</f>
        <v/>
      </c>
    </row>
    <row r="19">
      <c r="A19" s="91" t="inlineStr">
        <is>
          <t>9696</t>
        </is>
      </c>
      <c r="B19" s="16" t="inlineStr">
        <is>
          <t>Tianqi Lithium (H)</t>
        </is>
      </c>
      <c r="C19" s="16" t="inlineStr">
        <is>
          <t>final_price</t>
        </is>
      </c>
      <c r="D19" s="98" t="n">
        <v>82</v>
      </c>
      <c r="E19" s="40">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IF(Database!$B5=Screener!$B$5,-999999,IF(ISNUMBER(SEARCH(","&amp;Database!$A5&amp;",",","&amp;SUBSTITUTE(Screener!$D$17," ","")&amp;",")),2000000,IF(IF(OR(Screener!$B$18="All",AND(Screener!$B$18="With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IF(Database!$B6=Screener!$B$5,-999999,IF(ISNUMBER(SEARCH(","&amp;Database!$A6&amp;",",","&amp;SUBSTITUTE(Screener!$D$17," ","")&amp;",")),2000000,IF(IF(OR(Screener!$B$18="All",AND(Screener!$B$18="With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IF(Database!$B7=Screener!$B$5,-999999,IF(ISNUMBER(SEARCH(","&amp;Database!$A7&amp;",",","&amp;SUBSTITUTE(Screener!$D$17," ","")&amp;",")),2000000,IF(IF(OR(Screener!$B$18="All",AND(Screener!$B$18="With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IF(Database!$B8=Screener!$B$5,-999999,IF(ISNUMBER(SEARCH(","&amp;Database!$A8&amp;",",","&amp;SUBSTITUTE(Screener!$D$17," ","")&amp;",")),2000000,IF(IF(OR(Screener!$B$18="All",AND(Screener!$B$18="With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IF(Database!$B9=Screener!$B$5,-999999,IF(ISNUMBER(SEARCH(","&amp;Database!$A9&amp;",",","&amp;SUBSTITUTE(Screener!$D$17," ","")&amp;",")),2000000,IF(IF(OR(Screener!$B$18="All",AND(Screener!$B$18="With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IF(Database!$B10=Screener!$B$5,-999999,IF(ISNUMBER(SEARCH(","&amp;Database!$A10&amp;",",","&amp;SUBSTITUTE(Screener!$D$17," ","")&amp;",")),2000000,IF(IF(OR(Screener!$B$18="All",AND(Screener!$B$18="With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IF(Database!$B11=Screener!$B$5,-999999,IF(ISNUMBER(SEARCH(","&amp;Database!$A11&amp;",",","&amp;SUBSTITUTE(Screener!$D$17," ","")&amp;",")),2000000,IF(IF(OR(Screener!$B$18="All",AND(Screener!$B$18="With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IF(Database!$B12=Screener!$B$5,-999999,IF(ISNUMBER(SEARCH(","&amp;Database!$A12&amp;",",","&amp;SUBSTITUTE(Screener!$D$17," ","")&amp;",")),2000000,IF(IF(OR(Screener!$B$18="All",AND(Screener!$B$18="With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IF(Database!$B13=Screener!$B$5,-999999,IF(ISNUMBER(SEARCH(","&amp;Database!$A13&amp;",",","&amp;SUBSTITUTE(Screener!$D$17," ","")&amp;",")),2000000,IF(IF(OR(Screener!$B$18="All",AND(Screener!$B$18="With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IF(Database!$B14=Screener!$B$5,-999999,IF(ISNUMBER(SEARCH(","&amp;Database!$A14&amp;",",","&amp;SUBSTITUTE(Screener!$D$17," ","")&amp;",")),2000000,IF(IF(OR(Screener!$B$18="All",AND(Screener!$B$18="With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IF(Database!$B15=Screener!$B$5,-999999,IF(ISNUMBER(SEARCH(","&amp;Database!$A15&amp;",",","&amp;SUBSTITUTE(Screener!$D$17," ","")&amp;",")),2000000,IF(IF(OR(Screener!$B$18="All",AND(Screener!$B$18="With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IF(Database!$B16=Screener!$B$5,-999999,IF(ISNUMBER(SEARCH(","&amp;Database!$A16&amp;",",","&amp;SUBSTITUTE(Screener!$D$17," ","")&amp;",")),2000000,IF(IF(OR(Screener!$B$18="All",AND(Screener!$B$18="With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IF(Database!$B17=Screener!$B$5,-999999,IF(ISNUMBER(SEARCH(","&amp;Database!$A17&amp;",",","&amp;SUBSTITUTE(Screener!$D$17," ","")&amp;",")),2000000,IF(IF(OR(Screener!$B$18="All",AND(Screener!$B$18="With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IF(Database!$B18=Screener!$B$5,-999999,IF(ISNUMBER(SEARCH(","&amp;Database!$A18&amp;",",","&amp;SUBSTITUTE(Screener!$D$17," ","")&amp;",")),2000000,IF(IF(OR(Screener!$B$18="All",AND(Screener!$B$18="With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IF(Database!$B19=Screener!$B$5,-999999,IF(ISNUMBER(SEARCH(","&amp;Database!$A19&amp;",",","&amp;SUBSTITUTE(Screener!$D$17," ","")&amp;",")),2000000,IF(IF(OR(Screener!$B$18="All",AND(Screener!$B$18="With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IF(Database!$B20=Screener!$B$5,-999999,IF(ISNUMBER(SEARCH(","&amp;Database!$A20&amp;",",","&amp;SUBSTITUTE(Screener!$D$17," ","")&amp;",")),2000000,IF(IF(OR(Screener!$B$18="All",AND(Screener!$B$18="With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IF(Database!$B21=Screener!$B$5,-999999,IF(ISNUMBER(SEARCH(","&amp;Database!$A21&amp;",",","&amp;SUBSTITUTE(Screener!$D$17," ","")&amp;",")),2000000,IF(IF(OR(Screener!$B$18="All",AND(Screener!$B$18="With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IF(Database!$B22=Screener!$B$5,-999999,IF(ISNUMBER(SEARCH(","&amp;Database!$A22&amp;",",","&amp;SUBSTITUTE(Screener!$D$17," ","")&amp;",")),2000000,IF(IF(OR(Screener!$B$18="All",AND(Screener!$B$18="With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IF(Database!$B23=Screener!$B$5,-999999,IF(ISNUMBER(SEARCH(","&amp;Database!$A23&amp;",",","&amp;SUBSTITUTE(Screener!$D$17," ","")&amp;",")),2000000,IF(IF(OR(Screener!$B$18="All",AND(Screener!$B$18="With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IF(Database!$B24=Screener!$B$5,-999999,IF(ISNUMBER(SEARCH(","&amp;Database!$A24&amp;",",","&amp;SUBSTITUTE(Screener!$D$17," ","")&amp;",")),2000000,IF(IF(OR(Screener!$B$18="All",AND(Screener!$B$18="With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IF(Database!$B25=Screener!$B$5,-999999,IF(ISNUMBER(SEARCH(","&amp;Database!$A25&amp;",",","&amp;SUBSTITUTE(Screener!$D$17," ","")&amp;",")),2000000,IF(IF(OR(Screener!$B$18="All",AND(Screener!$B$18="With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IF(Database!$B26=Screener!$B$5,-999999,IF(ISNUMBER(SEARCH(","&amp;Database!$A26&amp;",",","&amp;SUBSTITUTE(Screener!$D$17," ","")&amp;",")),2000000,IF(IF(OR(Screener!$B$18="All",AND(Screener!$B$18="With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IF(Database!$B27=Screener!$B$5,-999999,IF(ISNUMBER(SEARCH(","&amp;Database!$A27&amp;",",","&amp;SUBSTITUTE(Screener!$D$17," ","")&amp;",")),2000000,IF(IF(OR(Screener!$B$18="All",AND(Screener!$B$18="With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IF(Database!$B28=Screener!$B$5,-999999,IF(ISNUMBER(SEARCH(","&amp;Database!$A28&amp;",",","&amp;SUBSTITUTE(Screener!$D$17," ","")&amp;",")),2000000,IF(IF(OR(Screener!$B$18="All",AND(Screener!$B$18="With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IF(Database!$B29=Screener!$B$5,-999999,IF(ISNUMBER(SEARCH(","&amp;Database!$A29&amp;",",","&amp;SUBSTITUTE(Screener!$D$17," ","")&amp;",")),2000000,IF(IF(OR(Screener!$B$18="All",AND(Screener!$B$18="With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IF(Database!$B30=Screener!$B$5,-999999,IF(ISNUMBER(SEARCH(","&amp;Database!$A30&amp;",",","&amp;SUBSTITUTE(Screener!$D$17," ","")&amp;",")),2000000,IF(IF(OR(Screener!$B$18="All",AND(Screener!$B$18="With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IF(Database!$B31=Screener!$B$5,-999999,IF(ISNUMBER(SEARCH(","&amp;Database!$A31&amp;",",","&amp;SUBSTITUTE(Screener!$D$17," ","")&amp;",")),2000000,IF(IF(OR(Screener!$B$18="All",AND(Screener!$B$18="With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IF(Database!$B32=Screener!$B$5,-999999,IF(ISNUMBER(SEARCH(","&amp;Database!$A32&amp;",",","&amp;SUBSTITUTE(Screener!$D$17," ","")&amp;",")),2000000,IF(IF(OR(Screener!$B$18="All",AND(Screener!$B$18="With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IF(Database!$B33=Screener!$B$5,-999999,IF(ISNUMBER(SEARCH(","&amp;Database!$A33&amp;",",","&amp;SUBSTITUTE(Screener!$D$17," ","")&amp;",")),2000000,IF(IF(OR(Screener!$B$18="All",AND(Screener!$B$18="With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IF(Database!$B34=Screener!$B$5,-999999,IF(ISNUMBER(SEARCH(","&amp;Database!$A34&amp;",",","&amp;SUBSTITUTE(Screener!$D$17," ","")&amp;",")),2000000,IF(IF(OR(Screener!$B$18="All",AND(Screener!$B$18="With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IF(Database!$B35=Screener!$B$5,-999999,IF(ISNUMBER(SEARCH(","&amp;Database!$A35&amp;",",","&amp;SUBSTITUTE(Screener!$D$17," ","")&amp;",")),2000000,IF(IF(OR(Screener!$B$18="All",AND(Screener!$B$18="With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IF(Database!$B36=Screener!$B$5,-999999,IF(ISNUMBER(SEARCH(","&amp;Database!$A36&amp;",",","&amp;SUBSTITUTE(Screener!$D$17," ","")&amp;",")),2000000,IF(IF(OR(Screener!$B$18="All",AND(Screener!$B$18="With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IF(Database!$B37=Screener!$B$5,-999999,IF(ISNUMBER(SEARCH(","&amp;Database!$A37&amp;",",","&amp;SUBSTITUTE(Screener!$D$17," ","")&amp;",")),2000000,IF(IF(OR(Screener!$B$18="All",AND(Screener!$B$18="With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IF(Database!$B38=Screener!$B$5,-999999,IF(ISNUMBER(SEARCH(","&amp;Database!$A38&amp;",",","&amp;SUBSTITUTE(Screener!$D$17," ","")&amp;",")),2000000,IF(IF(OR(Screener!$B$18="All",AND(Screener!$B$18="With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IF(Database!$B39=Screener!$B$5,-999999,IF(ISNUMBER(SEARCH(","&amp;Database!$A39&amp;",",","&amp;SUBSTITUTE(Screener!$D$17," ","")&amp;",")),2000000,IF(IF(OR(Screener!$B$18="All",AND(Screener!$B$18="With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IF(Database!$B40=Screener!$B$5,-999999,IF(ISNUMBER(SEARCH(","&amp;Database!$A40&amp;",",","&amp;SUBSTITUTE(Screener!$D$17," ","")&amp;",")),2000000,IF(IF(OR(Screener!$B$18="All",AND(Screener!$B$18="With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IF(Database!$B41=Screener!$B$5,-999999,IF(ISNUMBER(SEARCH(","&amp;Database!$A41&amp;",",","&amp;SUBSTITUTE(Screener!$D$17," ","")&amp;",")),2000000,IF(IF(OR(Screener!$B$18="All",AND(Screener!$B$18="With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IF(Database!$B42=Screener!$B$5,-999999,IF(ISNUMBER(SEARCH(","&amp;Database!$A42&amp;",",","&amp;SUBSTITUTE(Screener!$D$17," ","")&amp;",")),2000000,IF(IF(OR(Screener!$B$18="All",AND(Screener!$B$18="With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IF(Database!$B43=Screener!$B$5,-999999,IF(ISNUMBER(SEARCH(","&amp;Database!$A43&amp;",",","&amp;SUBSTITUTE(Screener!$D$17," ","")&amp;",")),2000000,IF(IF(OR(Screener!$B$18="All",AND(Screener!$B$18="With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IF(Database!$B44=Screener!$B$5,-999999,IF(ISNUMBER(SEARCH(","&amp;Database!$A44&amp;",",","&amp;SUBSTITUTE(Screener!$D$17," ","")&amp;",")),2000000,IF(IF(OR(Screener!$B$18="All",AND(Screener!$B$18="With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IF(Database!$B45=Screener!$B$5,-999999,IF(ISNUMBER(SEARCH(","&amp;Database!$A45&amp;",",","&amp;SUBSTITUTE(Screener!$D$17," ","")&amp;",")),2000000,IF(IF(OR(Screener!$B$18="All",AND(Screener!$B$18="With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IF(Database!$B46=Screener!$B$5,-999999,IF(ISNUMBER(SEARCH(","&amp;Database!$A46&amp;",",","&amp;SUBSTITUTE(Screener!$D$17," ","")&amp;",")),2000000,IF(IF(OR(Screener!$B$18="All",AND(Screener!$B$18="With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IF(Database!$B47=Screener!$B$5,-999999,IF(ISNUMBER(SEARCH(","&amp;Database!$A47&amp;",",","&amp;SUBSTITUTE(Screener!$D$17," ","")&amp;",")),2000000,IF(IF(OR(Screener!$B$18="All",AND(Screener!$B$18="With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IF(Database!$B48=Screener!$B$5,-999999,IF(ISNUMBER(SEARCH(","&amp;Database!$A48&amp;",",","&amp;SUBSTITUTE(Screener!$D$17," ","")&amp;",")),2000000,IF(IF(OR(Screener!$B$18="All",AND(Screener!$B$18="With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IF(Database!$B49=Screener!$B$5,-999999,IF(ISNUMBER(SEARCH(","&amp;Database!$A49&amp;",",","&amp;SUBSTITUTE(Screener!$D$17," ","")&amp;",")),2000000,IF(IF(OR(Screener!$B$18="All",AND(Screener!$B$18="With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IF(Database!$B50=Screener!$B$5,-999999,IF(ISNUMBER(SEARCH(","&amp;Database!$A50&amp;",",","&amp;SUBSTITUTE(Screener!$D$17," ","")&amp;",")),2000000,IF(IF(OR(Screener!$B$18="All",AND(Screener!$B$18="With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IF(Database!$B51=Screener!$B$5,-999999,IF(ISNUMBER(SEARCH(","&amp;Database!$A51&amp;",",","&amp;SUBSTITUTE(Screener!$D$17," ","")&amp;",")),2000000,IF(IF(OR(Screener!$B$18="All",AND(Screener!$B$18="With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IF(Database!$B52=Screener!$B$5,-999999,IF(ISNUMBER(SEARCH(","&amp;Database!$A52&amp;",",","&amp;SUBSTITUTE(Screener!$D$17," ","")&amp;",")),2000000,IF(IF(OR(Screener!$B$18="All",AND(Screener!$B$18="With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IF(Database!$B53=Screener!$B$5,-999999,IF(ISNUMBER(SEARCH(","&amp;Database!$A53&amp;",",","&amp;SUBSTITUTE(Screener!$D$17," ","")&amp;",")),2000000,IF(IF(OR(Screener!$B$18="All",AND(Screener!$B$18="With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IF(Database!$B54=Screener!$B$5,-999999,IF(ISNUMBER(SEARCH(","&amp;Database!$A54&amp;",",","&amp;SUBSTITUTE(Screener!$D$17," ","")&amp;",")),2000000,IF(IF(OR(Screener!$B$18="All",AND(Screener!$B$18="With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IF(Database!$B55=Screener!$B$5,-999999,IF(ISNUMBER(SEARCH(","&amp;Database!$A55&amp;",",","&amp;SUBSTITUTE(Screener!$D$17," ","")&amp;",")),2000000,IF(IF(OR(Screener!$B$18="All",AND(Screener!$B$18="With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IF(Database!$B56=Screener!$B$5,-999999,IF(ISNUMBER(SEARCH(","&amp;Database!$A56&amp;",",","&amp;SUBSTITUTE(Screener!$D$17," ","")&amp;",")),2000000,IF(IF(OR(Screener!$B$18="All",AND(Screener!$B$18="With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IF(Database!$B57=Screener!$B$5,-999999,IF(ISNUMBER(SEARCH(","&amp;Database!$A57&amp;",",","&amp;SUBSTITUTE(Screener!$D$17," ","")&amp;",")),2000000,IF(IF(OR(Screener!$B$18="All",AND(Screener!$B$18="With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IF(Database!$B58=Screener!$B$5,-999999,IF(ISNUMBER(SEARCH(","&amp;Database!$A58&amp;",",","&amp;SUBSTITUTE(Screener!$D$17," ","")&amp;",")),2000000,IF(IF(OR(Screener!$B$18="All",AND(Screener!$B$18="With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IF(Database!$B59=Screener!$B$5,-999999,IF(ISNUMBER(SEARCH(","&amp;Database!$A59&amp;",",","&amp;SUBSTITUTE(Screener!$D$17," ","")&amp;",")),2000000,IF(IF(OR(Screener!$B$18="All",AND(Screener!$B$18="With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IF(Database!$B60=Screener!$B$5,-999999,IF(ISNUMBER(SEARCH(","&amp;Database!$A60&amp;",",","&amp;SUBSTITUTE(Screener!$D$17," ","")&amp;",")),2000000,IF(IF(OR(Screener!$B$18="All",AND(Screener!$B$18="With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IF(Database!$B61=Screener!$B$5,-999999,IF(ISNUMBER(SEARCH(","&amp;Database!$A61&amp;",",","&amp;SUBSTITUTE(Screener!$D$17," ","")&amp;",")),2000000,IF(IF(OR(Screener!$B$18="All",AND(Screener!$B$18="With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IF(Database!$B62=Screener!$B$5,-999999,IF(ISNUMBER(SEARCH(","&amp;Database!$A62&amp;",",","&amp;SUBSTITUTE(Screener!$D$17," ","")&amp;",")),2000000,IF(IF(OR(Screener!$B$18="All",AND(Screener!$B$18="With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IF(Database!$B63=Screener!$B$5,-999999,IF(ISNUMBER(SEARCH(","&amp;Database!$A63&amp;",",","&amp;SUBSTITUTE(Screener!$D$17," ","")&amp;",")),2000000,IF(IF(OR(Screener!$B$18="All",AND(Screener!$B$18="With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IF(Database!$B64=Screener!$B$5,-999999,IF(ISNUMBER(SEARCH(","&amp;Database!$A64&amp;",",","&amp;SUBSTITUTE(Screener!$D$17," ","")&amp;",")),2000000,IF(IF(OR(Screener!$B$18="All",AND(Screener!$B$18="With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IF(Database!$B65=Screener!$B$5,-999999,IF(ISNUMBER(SEARCH(","&amp;Database!$A65&amp;",",","&amp;SUBSTITUTE(Screener!$D$17," ","")&amp;",")),2000000,IF(IF(OR(Screener!$B$18="All",AND(Screener!$B$18="With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IF(Database!$B66=Screener!$B$5,-999999,IF(ISNUMBER(SEARCH(","&amp;Database!$A66&amp;",",","&amp;SUBSTITUTE(Screener!$D$17," ","")&amp;",")),2000000,IF(IF(OR(Screener!$B$18="All",AND(Screener!$B$18="With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IF(Database!$B67=Screener!$B$5,-999999,IF(ISNUMBER(SEARCH(","&amp;Database!$A67&amp;",",","&amp;SUBSTITUTE(Screener!$D$17," ","")&amp;",")),2000000,IF(IF(OR(Screener!$B$18="All",AND(Screener!$B$18="With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IF(Database!$B68=Screener!$B$5,-999999,IF(ISNUMBER(SEARCH(","&amp;Database!$A68&amp;",",","&amp;SUBSTITUTE(Screener!$D$17," ","")&amp;",")),2000000,IF(IF(OR(Screener!$B$18="All",AND(Screener!$B$18="With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IF(Database!$B69=Screener!$B$5,-999999,IF(ISNUMBER(SEARCH(","&amp;Database!$A69&amp;",",","&amp;SUBSTITUTE(Screener!$D$17," ","")&amp;",")),2000000,IF(IF(OR(Screener!$B$18="All",AND(Screener!$B$18="With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IF(Database!$B70=Screener!$B$5,-999999,IF(ISNUMBER(SEARCH(","&amp;Database!$A70&amp;",",","&amp;SUBSTITUTE(Screener!$D$17," ","")&amp;",")),2000000,IF(IF(OR(Screener!$B$18="All",AND(Screener!$B$18="With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IF(Database!$B71=Screener!$B$5,-999999,IF(ISNUMBER(SEARCH(","&amp;Database!$A71&amp;",",","&amp;SUBSTITUTE(Screener!$D$17," ","")&amp;",")),2000000,IF(IF(OR(Screener!$B$18="All",AND(Screener!$B$18="With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IF(Database!$B72=Screener!$B$5,-999999,IF(ISNUMBER(SEARCH(","&amp;Database!$A72&amp;",",","&amp;SUBSTITUTE(Screener!$D$17," ","")&amp;",")),2000000,IF(IF(OR(Screener!$B$18="All",AND(Screener!$B$18="With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IF(Database!$B73=Screener!$B$5,-999999,IF(ISNUMBER(SEARCH(","&amp;Database!$A73&amp;",",","&amp;SUBSTITUTE(Screener!$D$17," ","")&amp;",")),2000000,IF(IF(OR(Screener!$B$18="All",AND(Screener!$B$18="With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IF(Database!$B74=Screener!$B$5,-999999,IF(ISNUMBER(SEARCH(","&amp;Database!$A74&amp;",",","&amp;SUBSTITUTE(Screener!$D$17," ","")&amp;",")),2000000,IF(IF(OR(Screener!$B$18="All",AND(Screener!$B$18="With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IF(Database!$B75=Screener!$B$5,-999999,IF(ISNUMBER(SEARCH(","&amp;Database!$A75&amp;",",","&amp;SUBSTITUTE(Screener!$D$17," ","")&amp;",")),2000000,IF(IF(OR(Screener!$B$18="All",AND(Screener!$B$18="With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IF(Database!$B76=Screener!$B$5,-999999,IF(ISNUMBER(SEARCH(","&amp;Database!$A76&amp;",",","&amp;SUBSTITUTE(Screener!$D$17," ","")&amp;",")),2000000,IF(IF(OR(Screener!$B$18="All",AND(Screener!$B$18="With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IF(Database!$B77=Screener!$B$5,-999999,IF(ISNUMBER(SEARCH(","&amp;Database!$A77&amp;",",","&amp;SUBSTITUTE(Screener!$D$17," ","")&amp;",")),2000000,IF(IF(OR(Screener!$B$18="All",AND(Screener!$B$18="With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IF(Database!$B78=Screener!$B$5,-999999,IF(ISNUMBER(SEARCH(","&amp;Database!$A78&amp;",",","&amp;SUBSTITUTE(Screener!$D$17," ","")&amp;",")),2000000,IF(IF(OR(Screener!$B$18="All",AND(Screener!$B$18="With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IF(Database!$B79=Screener!$B$5,-999999,IF(ISNUMBER(SEARCH(","&amp;Database!$A79&amp;",",","&amp;SUBSTITUTE(Screener!$D$17," ","")&amp;",")),2000000,IF(IF(OR(Screener!$B$18="All",AND(Screener!$B$18="With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IF(Database!$B80=Screener!$B$5,-999999,IF(ISNUMBER(SEARCH(","&amp;Database!$A80&amp;",",","&amp;SUBSTITUTE(Screener!$D$17," ","")&amp;",")),2000000,IF(IF(OR(Screener!$B$18="All",AND(Screener!$B$18="With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IF(Database!$B81=Screener!$B$5,-999999,IF(ISNUMBER(SEARCH(","&amp;Database!$A81&amp;",",","&amp;SUBSTITUTE(Screener!$D$17," ","")&amp;",")),2000000,IF(IF(OR(Screener!$B$18="All",AND(Screener!$B$18="With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IF(Database!$B82=Screener!$B$5,-999999,IF(ISNUMBER(SEARCH(","&amp;Database!$A82&amp;",",","&amp;SUBSTITUTE(Screener!$D$17," ","")&amp;",")),2000000,IF(IF(OR(Screener!$B$18="All",AND(Screener!$B$18="With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IF(Database!$B83=Screener!$B$5,-999999,IF(ISNUMBER(SEARCH(","&amp;Database!$A83&amp;",",","&amp;SUBSTITUTE(Screener!$D$17," ","")&amp;",")),2000000,IF(IF(OR(Screener!$B$18="All",AND(Screener!$B$18="With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IF(Database!$B84=Screener!$B$5,-999999,IF(ISNUMBER(SEARCH(","&amp;Database!$A84&amp;",",","&amp;SUBSTITUTE(Screener!$D$17," ","")&amp;",")),2000000,IF(IF(OR(Screener!$B$18="All",AND(Screener!$B$18="With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IF(Database!$B85=Screener!$B$5,-999999,IF(ISNUMBER(SEARCH(","&amp;Database!$A85&amp;",",","&amp;SUBSTITUTE(Screener!$D$17," ","")&amp;",")),2000000,IF(IF(OR(Screener!$B$18="All",AND(Screener!$B$18="With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IF(Database!$B86=Screener!$B$5,-999999,IF(ISNUMBER(SEARCH(","&amp;Database!$A86&amp;",",","&amp;SUBSTITUTE(Screener!$D$17," ","")&amp;",")),2000000,IF(IF(OR(Screener!$B$18="All",AND(Screener!$B$18="With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IF(Database!$B87=Screener!$B$5,-999999,IF(ISNUMBER(SEARCH(","&amp;Database!$A87&amp;",",","&amp;SUBSTITUTE(Screener!$D$17," ","")&amp;",")),2000000,IF(IF(OR(Screener!$B$18="All",AND(Screener!$B$18="With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IF(Database!$B88=Screener!$B$5,-999999,IF(ISNUMBER(SEARCH(","&amp;Database!$A88&amp;",",","&amp;SUBSTITUTE(Screener!$D$17," ","")&amp;",")),2000000,IF(IF(OR(Screener!$B$18="All",AND(Screener!$B$18="With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IF(Database!$B89=Screener!$B$5,-999999,IF(ISNUMBER(SEARCH(","&amp;Database!$A89&amp;",",","&amp;SUBSTITUTE(Screener!$D$17," ","")&amp;",")),2000000,IF(IF(OR(Screener!$B$18="All",AND(Screener!$B$18="With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IF(Database!$B90=Screener!$B$5,-999999,IF(ISNUMBER(SEARCH(","&amp;Database!$A90&amp;",",","&amp;SUBSTITUTE(Screener!$D$17," ","")&amp;",")),2000000,IF(IF(OR(Screener!$B$18="All",AND(Screener!$B$18="With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IF(Database!$B91=Screener!$B$5,-999999,IF(ISNUMBER(SEARCH(","&amp;Database!$A91&amp;",",","&amp;SUBSTITUTE(Screener!$D$17," ","")&amp;",")),2000000,IF(IF(OR(Screener!$B$18="All",AND(Screener!$B$18="With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IF(Database!$B92=Screener!$B$5,-999999,IF(ISNUMBER(SEARCH(","&amp;Database!$A92&amp;",",","&amp;SUBSTITUTE(Screener!$D$17," ","")&amp;",")),2000000,IF(IF(OR(Screener!$B$18="All",AND(Screener!$B$18="With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IF(Database!$B93=Screener!$B$5,-999999,IF(ISNUMBER(SEARCH(","&amp;Database!$A93&amp;",",","&amp;SUBSTITUTE(Screener!$D$17," ","")&amp;",")),2000000,IF(IF(OR(Screener!$B$18="All",AND(Screener!$B$18="With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IF(Database!$B94=Screener!$B$5,-999999,IF(ISNUMBER(SEARCH(","&amp;Database!$A94&amp;",",","&amp;SUBSTITUTE(Screener!$D$17," ","")&amp;",")),2000000,IF(IF(OR(Screener!$B$18="All",AND(Screener!$B$18="With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IF(Database!$B95=Screener!$B$5,-999999,IF(ISNUMBER(SEARCH(","&amp;Database!$A95&amp;",",","&amp;SUBSTITUTE(Screener!$D$17," ","")&amp;",")),2000000,IF(IF(OR(Screener!$B$18="All",AND(Screener!$B$18="With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IF(Database!$B96=Screener!$B$5,-999999,IF(ISNUMBER(SEARCH(","&amp;Database!$A96&amp;",",","&amp;SUBSTITUTE(Screener!$D$17," ","")&amp;",")),2000000,IF(IF(OR(Screener!$B$18="All",AND(Screener!$B$18="With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IF(Database!$B97=Screener!$B$5,-999999,IF(ISNUMBER(SEARCH(","&amp;Database!$A97&amp;",",","&amp;SUBSTITUTE(Screener!$D$17," ","")&amp;",")),2000000,IF(IF(OR(Screener!$B$18="All",AND(Screener!$B$18="With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IF(Database!$B98=Screener!$B$5,-999999,IF(ISNUMBER(SEARCH(","&amp;Database!$A98&amp;",",","&amp;SUBSTITUTE(Screener!$D$17," ","")&amp;",")),2000000,IF(IF(OR(Screener!$B$18="All",AND(Screener!$B$18="With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IF(Database!$B99=Screener!$B$5,-999999,IF(ISNUMBER(SEARCH(","&amp;Database!$A99&amp;",",","&amp;SUBSTITUTE(Screener!$D$17," ","")&amp;",")),2000000,IF(IF(OR(Screener!$B$18="All",AND(Screener!$B$18="With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IF(Database!$B100=Screener!$B$5,-999999,IF(ISNUMBER(SEARCH(","&amp;Database!$A100&amp;",",","&amp;SUBSTITUTE(Screener!$D$17," ","")&amp;",")),2000000,IF(IF(OR(Screener!$B$18="All",AND(Screener!$B$18="With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IF(Database!$B101=Screener!$B$5,-999999,IF(ISNUMBER(SEARCH(","&amp;Database!$A101&amp;",",","&amp;SUBSTITUTE(Screener!$D$17," ","")&amp;",")),2000000,IF(IF(OR(Screener!$B$18="All",AND(Screener!$B$18="With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IF(Database!$B102=Screener!$B$5,-999999,IF(ISNUMBER(SEARCH(","&amp;Database!$A102&amp;",",","&amp;SUBSTITUTE(Screener!$D$17," ","")&amp;",")),2000000,IF(IF(OR(Screener!$B$18="All",AND(Screener!$B$18="With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IF(Database!$B103=Screener!$B$5,-999999,IF(ISNUMBER(SEARCH(","&amp;Database!$A103&amp;",",","&amp;SUBSTITUTE(Screener!$D$17," ","")&amp;",")),2000000,IF(IF(OR(Screener!$B$18="All",AND(Screener!$B$18="With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IF(Database!$B104=Screener!$B$5,-999999,IF(ISNUMBER(SEARCH(","&amp;Database!$A104&amp;",",","&amp;SUBSTITUTE(Screener!$D$17," ","")&amp;",")),2000000,IF(IF(OR(Screener!$B$18="All",AND(Screener!$B$18="With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IF(Database!$B105=Screener!$B$5,-999999,IF(ISNUMBER(SEARCH(","&amp;Database!$A105&amp;",",","&amp;SUBSTITUTE(Screener!$D$17," ","")&amp;",")),2000000,IF(IF(OR(Screener!$B$18="All",AND(Screener!$B$18="With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IF(Database!$B106=Screener!$B$5,-999999,IF(ISNUMBER(SEARCH(","&amp;Database!$A106&amp;",",","&amp;SUBSTITUTE(Screener!$D$17," ","")&amp;",")),2000000,IF(IF(OR(Screener!$B$18="All",AND(Screener!$B$18="With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IF(Database!$B107=Screener!$B$5,-999999,IF(ISNUMBER(SEARCH(","&amp;Database!$A107&amp;",",","&amp;SUBSTITUTE(Screener!$D$17," ","")&amp;",")),2000000,IF(IF(OR(Screener!$B$18="All",AND(Screener!$B$18="With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IF(Database!$B108=Screener!$B$5,-999999,IF(ISNUMBER(SEARCH(","&amp;Database!$A108&amp;",",","&amp;SUBSTITUTE(Screener!$D$17," ","")&amp;",")),2000000,IF(IF(OR(Screener!$B$18="All",AND(Screener!$B$18="With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IF(Database!$B109=Screener!$B$5,-999999,IF(ISNUMBER(SEARCH(","&amp;Database!$A109&amp;",",","&amp;SUBSTITUTE(Screener!$D$17," ","")&amp;",")),2000000,IF(IF(OR(Screener!$B$18="All",AND(Screener!$B$18="With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IF(Database!$B110=Screener!$B$5,-999999,IF(ISNUMBER(SEARCH(","&amp;Database!$A110&amp;",",","&amp;SUBSTITUTE(Screener!$D$17," ","")&amp;",")),2000000,IF(IF(OR(Screener!$B$18="All",AND(Screener!$B$18="With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IF(Database!$B111=Screener!$B$5,-999999,IF(ISNUMBER(SEARCH(","&amp;Database!$A111&amp;",",","&amp;SUBSTITUTE(Screener!$D$17," ","")&amp;",")),2000000,IF(IF(OR(Screener!$B$18="All",AND(Screener!$B$18="With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IF(Database!$B112=Screener!$B$5,-999999,IF(ISNUMBER(SEARCH(","&amp;Database!$A112&amp;",",","&amp;SUBSTITUTE(Screener!$D$17," ","")&amp;",")),2000000,IF(IF(OR(Screener!$B$18="All",AND(Screener!$B$18="With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IF(Database!$B113=Screener!$B$5,-999999,IF(ISNUMBER(SEARCH(","&amp;Database!$A113&amp;",",","&amp;SUBSTITUTE(Screener!$D$17," ","")&amp;",")),2000000,IF(IF(OR(Screener!$B$18="All",AND(Screener!$B$18="With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IF(Database!$B114=Screener!$B$5,-999999,IF(ISNUMBER(SEARCH(","&amp;Database!$A114&amp;",",","&amp;SUBSTITUTE(Screener!$D$17," ","")&amp;",")),2000000,IF(IF(OR(Screener!$B$18="All",AND(Screener!$B$18="With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IF(Database!$B115=Screener!$B$5,-999999,IF(ISNUMBER(SEARCH(","&amp;Database!$A115&amp;",",","&amp;SUBSTITUTE(Screener!$D$17," ","")&amp;",")),2000000,IF(IF(OR(Screener!$B$18="All",AND(Screener!$B$18="With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IF(Database!$B116=Screener!$B$5,-999999,IF(ISNUMBER(SEARCH(","&amp;Database!$A116&amp;",",","&amp;SUBSTITUTE(Screener!$D$17," ","")&amp;",")),2000000,IF(IF(OR(Screener!$B$18="All",AND(Screener!$B$18="With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IF(Database!$B117=Screener!$B$5,-999999,IF(ISNUMBER(SEARCH(","&amp;Database!$A117&amp;",",","&amp;SUBSTITUTE(Screener!$D$17," ","")&amp;",")),2000000,IF(IF(OR(Screener!$B$18="All",AND(Screener!$B$18="With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IF(Database!$B118=Screener!$B$5,-999999,IF(ISNUMBER(SEARCH(","&amp;Database!$A118&amp;",",","&amp;SUBSTITUTE(Screener!$D$17," ","")&amp;",")),2000000,IF(IF(OR(Screener!$B$18="All",AND(Screener!$B$18="With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IF(Database!$B119=Screener!$B$5,-999999,IF(ISNUMBER(SEARCH(","&amp;Database!$A119&amp;",",","&amp;SUBSTITUTE(Screener!$D$17," ","")&amp;",")),2000000,IF(IF(OR(Screener!$B$18="All",AND(Screener!$B$18="With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IF(Database!$B120=Screener!$B$5,-999999,IF(ISNUMBER(SEARCH(","&amp;Database!$A120&amp;",",","&amp;SUBSTITUTE(Screener!$D$17," ","")&amp;",")),2000000,IF(IF(OR(Screener!$B$18="All",AND(Screener!$B$18="With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IF(Database!$B121=Screener!$B$5,-999999,IF(ISNUMBER(SEARCH(","&amp;Database!$A121&amp;",",","&amp;SUBSTITUTE(Screener!$D$17," ","")&amp;",")),2000000,IF(IF(OR(Screener!$B$18="All",AND(Screener!$B$18="With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IF(Database!$B122=Screener!$B$5,-999999,IF(ISNUMBER(SEARCH(","&amp;Database!$A122&amp;",",","&amp;SUBSTITUTE(Screener!$D$17," ","")&amp;",")),2000000,IF(IF(OR(Screener!$B$18="All",AND(Screener!$B$18="With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IF(Database!$B123=Screener!$B$5,-999999,IF(ISNUMBER(SEARCH(","&amp;Database!$A123&amp;",",","&amp;SUBSTITUTE(Screener!$D$17," ","")&amp;",")),2000000,IF(IF(OR(Screener!$B$18="All",AND(Screener!$B$18="With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IF(Database!$B124=Screener!$B$5,-999999,IF(ISNUMBER(SEARCH(","&amp;Database!$A124&amp;",",","&amp;SUBSTITUTE(Screener!$D$17," ","")&amp;",")),2000000,IF(IF(OR(Screener!$B$18="All",AND(Screener!$B$18="With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IF(Database!$B125=Screener!$B$5,-999999,IF(ISNUMBER(SEARCH(","&amp;Database!$A125&amp;",",","&amp;SUBSTITUTE(Screener!$D$17," ","")&amp;",")),2000000,IF(IF(OR(Screener!$B$18="All",AND(Screener!$B$18="With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IF(Database!$B126=Screener!$B$5,-999999,IF(ISNUMBER(SEARCH(","&amp;Database!$A126&amp;",",","&amp;SUBSTITUTE(Screener!$D$17," ","")&amp;",")),2000000,IF(IF(OR(Screener!$B$18="All",AND(Screener!$B$18="With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IF(Database!$B127=Screener!$B$5,-999999,IF(ISNUMBER(SEARCH(","&amp;Database!$A127&amp;",",","&amp;SUBSTITUTE(Screener!$D$17," ","")&amp;",")),2000000,IF(IF(OR(Screener!$B$18="All",AND(Screener!$B$18="With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IF(Database!$B128=Screener!$B$5,-999999,IF(ISNUMBER(SEARCH(","&amp;Database!$A128&amp;",",","&amp;SUBSTITUTE(Screener!$D$17," ","")&amp;",")),2000000,IF(IF(OR(Screener!$B$18="All",AND(Screener!$B$18="With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IF(Database!$B129=Screener!$B$5,-999999,IF(ISNUMBER(SEARCH(","&amp;Database!$A129&amp;",",","&amp;SUBSTITUTE(Screener!$D$17," ","")&amp;",")),2000000,IF(IF(OR(Screener!$B$18="All",AND(Screener!$B$18="With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IF(Database!$B130=Screener!$B$5,-999999,IF(ISNUMBER(SEARCH(","&amp;Database!$A130&amp;",",","&amp;SUBSTITUTE(Screener!$D$17," ","")&amp;",")),2000000,IF(IF(OR(Screener!$B$18="All",AND(Screener!$B$18="With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IF(Database!$B131=Screener!$B$5,-999999,IF(ISNUMBER(SEARCH(","&amp;Database!$A131&amp;",",","&amp;SUBSTITUTE(Screener!$D$17," ","")&amp;",")),2000000,IF(IF(OR(Screener!$B$18="All",AND(Screener!$B$18="With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IF(Database!$B132=Screener!$B$5,-999999,IF(ISNUMBER(SEARCH(","&amp;Database!$A132&amp;",",","&amp;SUBSTITUTE(Screener!$D$17," ","")&amp;",")),2000000,IF(IF(OR(Screener!$B$18="All",AND(Screener!$B$18="With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IF(Database!$B133=Screener!$B$5,-999999,IF(ISNUMBER(SEARCH(","&amp;Database!$A133&amp;",",","&amp;SUBSTITUTE(Screener!$D$17," ","")&amp;",")),2000000,IF(IF(OR(Screener!$B$18="All",AND(Screener!$B$18="With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IF(Database!$B134=Screener!$B$5,-999999,IF(ISNUMBER(SEARCH(","&amp;Database!$A134&amp;",",","&amp;SUBSTITUTE(Screener!$D$17," ","")&amp;",")),2000000,IF(IF(OR(Screener!$B$18="All",AND(Screener!$B$18="With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IF(Database!$B135=Screener!$B$5,-999999,IF(ISNUMBER(SEARCH(","&amp;Database!$A135&amp;",",","&amp;SUBSTITUTE(Screener!$D$17," ","")&amp;",")),2000000,IF(IF(OR(Screener!$B$18="All",AND(Screener!$B$18="With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IF(Database!$B136=Screener!$B$5,-999999,IF(ISNUMBER(SEARCH(","&amp;Database!$A136&amp;",",","&amp;SUBSTITUTE(Screener!$D$17," ","")&amp;",")),2000000,IF(IF(OR(Screener!$B$18="All",AND(Screener!$B$18="With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IF(Database!$B137=Screener!$B$5,-999999,IF(ISNUMBER(SEARCH(","&amp;Database!$A137&amp;",",","&amp;SUBSTITUTE(Screener!$D$17," ","")&amp;",")),2000000,IF(IF(OR(Screener!$B$18="All",AND(Screener!$B$18="With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IF(Database!$B138=Screener!$B$5,-999999,IF(ISNUMBER(SEARCH(","&amp;Database!$A138&amp;",",","&amp;SUBSTITUTE(Screener!$D$17," ","")&amp;",")),2000000,IF(IF(OR(Screener!$B$18="All",AND(Screener!$B$18="With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IF(Database!$B139=Screener!$B$5,-999999,IF(ISNUMBER(SEARCH(","&amp;Database!$A139&amp;",",","&amp;SUBSTITUTE(Screener!$D$17," ","")&amp;",")),2000000,IF(IF(OR(Screener!$B$18="All",AND(Screener!$B$18="With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IF(Database!$B140=Screener!$B$5,-999999,IF(ISNUMBER(SEARCH(","&amp;Database!$A140&amp;",",","&amp;SUBSTITUTE(Screener!$D$17," ","")&amp;",")),2000000,IF(IF(OR(Screener!$B$18="All",AND(Screener!$B$18="With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IF(Database!$B141=Screener!$B$5,-999999,IF(ISNUMBER(SEARCH(","&amp;Database!$A141&amp;",",","&amp;SUBSTITUTE(Screener!$D$17," ","")&amp;",")),2000000,IF(IF(OR(Screener!$B$18="All",AND(Screener!$B$18="With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IF(Database!$B142=Screener!$B$5,-999999,IF(ISNUMBER(SEARCH(","&amp;Database!$A142&amp;",",","&amp;SUBSTITUTE(Screener!$D$17," ","")&amp;",")),2000000,IF(IF(OR(Screener!$B$18="All",AND(Screener!$B$18="With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IF(Database!$B143=Screener!$B$5,-999999,IF(ISNUMBER(SEARCH(","&amp;Database!$A143&amp;",",","&amp;SUBSTITUTE(Screener!$D$17," ","")&amp;",")),2000000,IF(IF(OR(Screener!$B$18="All",AND(Screener!$B$18="With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IF(Database!$B144=Screener!$B$5,-999999,IF(ISNUMBER(SEARCH(","&amp;Database!$A144&amp;",",","&amp;SUBSTITUTE(Screener!$D$17," ","")&amp;",")),2000000,IF(IF(OR(Screener!$B$18="All",AND(Screener!$B$18="With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IF(Database!$B145=Screener!$B$5,-999999,IF(ISNUMBER(SEARCH(","&amp;Database!$A145&amp;",",","&amp;SUBSTITUTE(Screener!$D$17," ","")&amp;",")),2000000,IF(IF(OR(Screener!$B$18="All",AND(Screener!$B$18="With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IF(Database!$B146=Screener!$B$5,-999999,IF(ISNUMBER(SEARCH(","&amp;Database!$A146&amp;",",","&amp;SUBSTITUTE(Screener!$D$17," ","")&amp;",")),2000000,IF(IF(OR(Screener!$B$18="All",AND(Screener!$B$18="With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IF(Database!$B147=Screener!$B$5,-999999,IF(ISNUMBER(SEARCH(","&amp;Database!$A147&amp;",",","&amp;SUBSTITUTE(Screener!$D$17," ","")&amp;",")),2000000,IF(IF(OR(Screener!$B$18="All",AND(Screener!$B$18="With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IF(Database!$B148=Screener!$B$5,-999999,IF(ISNUMBER(SEARCH(","&amp;Database!$A148&amp;",",","&amp;SUBSTITUTE(Screener!$D$17," ","")&amp;",")),2000000,IF(IF(OR(Screener!$B$18="All",AND(Screener!$B$18="With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IF(Database!$B149=Screener!$B$5,-999999,IF(ISNUMBER(SEARCH(","&amp;Database!$A149&amp;",",","&amp;SUBSTITUTE(Screener!$D$17," ","")&amp;",")),2000000,IF(IF(OR(Screener!$B$18="All",AND(Screener!$B$18="With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IF(Database!$B150=Screener!$B$5,-999999,IF(ISNUMBER(SEARCH(","&amp;Database!$A150&amp;",",","&amp;SUBSTITUTE(Screener!$D$17," ","")&amp;",")),2000000,IF(IF(OR(Screener!$B$18="All",AND(Screener!$B$18="With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IF(Database!$B151=Screener!$B$5,-999999,IF(ISNUMBER(SEARCH(","&amp;Database!$A151&amp;",",","&amp;SUBSTITUTE(Screener!$D$17," ","")&amp;",")),2000000,IF(IF(OR(Screener!$B$18="All",AND(Screener!$B$18="With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IF(Database!$B152=Screener!$B$5,-999999,IF(ISNUMBER(SEARCH(","&amp;Database!$A152&amp;",",","&amp;SUBSTITUTE(Screener!$D$17," ","")&amp;",")),2000000,IF(IF(OR(Screener!$B$18="All",AND(Screener!$B$18="With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IF(Database!$B153=Screener!$B$5,-999999,IF(ISNUMBER(SEARCH(","&amp;Database!$A153&amp;",",","&amp;SUBSTITUTE(Screener!$D$17," ","")&amp;",")),2000000,IF(IF(OR(Screener!$B$18="All",AND(Screener!$B$18="With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IF(Database!$B154=Screener!$B$5,-999999,IF(ISNUMBER(SEARCH(","&amp;Database!$A154&amp;",",","&amp;SUBSTITUTE(Screener!$D$17," ","")&amp;",")),2000000,IF(IF(OR(Screener!$B$18="All",AND(Screener!$B$18="With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IF(Database!$B155=Screener!$B$5,-999999,IF(ISNUMBER(SEARCH(","&amp;Database!$A155&amp;",",","&amp;SUBSTITUTE(Screener!$D$17," ","")&amp;",")),2000000,IF(IF(OR(Screener!$B$18="All",AND(Screener!$B$18="With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IF(Database!$B156=Screener!$B$5,-999999,IF(ISNUMBER(SEARCH(","&amp;Database!$A156&amp;",",","&amp;SUBSTITUTE(Screener!$D$17," ","")&amp;",")),2000000,IF(IF(OR(Screener!$B$18="All",AND(Screener!$B$18="With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IF(Database!$B157=Screener!$B$5,-999999,IF(ISNUMBER(SEARCH(","&amp;Database!$A157&amp;",",","&amp;SUBSTITUTE(Screener!$D$17," ","")&amp;",")),2000000,IF(IF(OR(Screener!$B$18="All",AND(Screener!$B$18="With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IF(Database!$B158=Screener!$B$5,-999999,IF(ISNUMBER(SEARCH(","&amp;Database!$A158&amp;",",","&amp;SUBSTITUTE(Screener!$D$17," ","")&amp;",")),2000000,IF(IF(OR(Screener!$B$18="All",AND(Screener!$B$18="With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IF(Database!$B159=Screener!$B$5,-999999,IF(ISNUMBER(SEARCH(","&amp;Database!$A159&amp;",",","&amp;SUBSTITUTE(Screener!$D$17," ","")&amp;",")),2000000,IF(IF(OR(Screener!$B$18="All",AND(Screener!$B$18="With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IF(Database!$B160=Screener!$B$5,-999999,IF(ISNUMBER(SEARCH(","&amp;Database!$A160&amp;",",","&amp;SUBSTITUTE(Screener!$D$17," ","")&amp;",")),2000000,IF(IF(OR(Screener!$B$18="All",AND(Screener!$B$18="With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IF(Database!$B161=Screener!$B$5,-999999,IF(ISNUMBER(SEARCH(","&amp;Database!$A161&amp;",",","&amp;SUBSTITUTE(Screener!$D$17," ","")&amp;",")),2000000,IF(IF(OR(Screener!$B$18="All",AND(Screener!$B$18="With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IF(Database!$B162=Screener!$B$5,-999999,IF(ISNUMBER(SEARCH(","&amp;Database!$A162&amp;",",","&amp;SUBSTITUTE(Screener!$D$17," ","")&amp;",")),2000000,IF(IF(OR(Screener!$B$18="All",AND(Screener!$B$18="With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IF(Database!$B163=Screener!$B$5,-999999,IF(ISNUMBER(SEARCH(","&amp;Database!$A163&amp;",",","&amp;SUBSTITUTE(Screener!$D$17," ","")&amp;",")),2000000,IF(IF(OR(Screener!$B$18="All",AND(Screener!$B$18="With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IF(Database!$B164=Screener!$B$5,-999999,IF(ISNUMBER(SEARCH(","&amp;Database!$A164&amp;",",","&amp;SUBSTITUTE(Screener!$D$17," ","")&amp;",")),2000000,IF(IF(OR(Screener!$B$18="All",AND(Screener!$B$18="With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IF(Database!$B165=Screener!$B$5,-999999,IF(ISNUMBER(SEARCH(","&amp;Database!$A165&amp;",",","&amp;SUBSTITUTE(Screener!$D$17," ","")&amp;",")),2000000,IF(IF(OR(Screener!$B$18="All",AND(Screener!$B$18="With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IF(Database!$B166=Screener!$B$5,-999999,IF(ISNUMBER(SEARCH(","&amp;Database!$A166&amp;",",","&amp;SUBSTITUTE(Screener!$D$17," ","")&amp;",")),2000000,IF(IF(OR(Screener!$B$18="All",AND(Screener!$B$18="With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IF(Database!$B167=Screener!$B$5,-999999,IF(ISNUMBER(SEARCH(","&amp;Database!$A167&amp;",",","&amp;SUBSTITUTE(Screener!$D$17," ","")&amp;",")),2000000,IF(IF(OR(Screener!$B$18="All",AND(Screener!$B$18="With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IF(Database!$B168=Screener!$B$5,-999999,IF(ISNUMBER(SEARCH(","&amp;Database!$A168&amp;",",","&amp;SUBSTITUTE(Screener!$D$17," ","")&amp;",")),2000000,IF(IF(OR(Screener!$B$18="All",AND(Screener!$B$18="With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IF(Database!$B169=Screener!$B$5,-999999,IF(ISNUMBER(SEARCH(","&amp;Database!$A169&amp;",",","&amp;SUBSTITUTE(Screener!$D$17," ","")&amp;",")),2000000,IF(IF(OR(Screener!$B$18="All",AND(Screener!$B$18="With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IF(Database!$B170=Screener!$B$5,-999999,IF(ISNUMBER(SEARCH(","&amp;Database!$A170&amp;",",","&amp;SUBSTITUTE(Screener!$D$17," ","")&amp;",")),2000000,IF(IF(OR(Screener!$B$18="All",AND(Screener!$B$18="With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IF(Database!$B171=Screener!$B$5,-999999,IF(ISNUMBER(SEARCH(","&amp;Database!$A171&amp;",",","&amp;SUBSTITUTE(Screener!$D$17," ","")&amp;",")),2000000,IF(IF(OR(Screener!$B$18="All",AND(Screener!$B$18="With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IF(Database!$B172=Screener!$B$5,-999999,IF(ISNUMBER(SEARCH(","&amp;Database!$A172&amp;",",","&amp;SUBSTITUTE(Screener!$D$17," ","")&amp;",")),2000000,IF(IF(OR(Screener!$B$18="All",AND(Screener!$B$18="With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IF(Database!$B173=Screener!$B$5,-999999,IF(ISNUMBER(SEARCH(","&amp;Database!$A173&amp;",",","&amp;SUBSTITUTE(Screener!$D$17," ","")&amp;",")),2000000,IF(IF(OR(Screener!$B$18="All",AND(Screener!$B$18="With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IF(Database!$B174=Screener!$B$5,-999999,IF(ISNUMBER(SEARCH(","&amp;Database!$A174&amp;",",","&amp;SUBSTITUTE(Screener!$D$17," ","")&amp;",")),2000000,IF(IF(OR(Screener!$B$18="All",AND(Screener!$B$18="With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IF(Database!$B175=Screener!$B$5,-999999,IF(ISNUMBER(SEARCH(","&amp;Database!$A175&amp;",",","&amp;SUBSTITUTE(Screener!$D$17," ","")&amp;",")),2000000,IF(IF(OR(Screener!$B$18="All",AND(Screener!$B$18="With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IF(Database!$B176=Screener!$B$5,-999999,IF(ISNUMBER(SEARCH(","&amp;Database!$A176&amp;",",","&amp;SUBSTITUTE(Screener!$D$17," ","")&amp;",")),2000000,IF(IF(OR(Screener!$B$18="All",AND(Screener!$B$18="With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IF(Database!$B177=Screener!$B$5,-999999,IF(ISNUMBER(SEARCH(","&amp;Database!$A177&amp;",",","&amp;SUBSTITUTE(Screener!$D$17," ","")&amp;",")),2000000,IF(IF(OR(Screener!$B$18="All",AND(Screener!$B$18="With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IF(Database!$B178=Screener!$B$5,-999999,IF(ISNUMBER(SEARCH(","&amp;Database!$A178&amp;",",","&amp;SUBSTITUTE(Screener!$D$17," ","")&amp;",")),2000000,IF(IF(OR(Screener!$B$18="All",AND(Screener!$B$18="With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IF(Database!$B179=Screener!$B$5,-999999,IF(ISNUMBER(SEARCH(","&amp;Database!$A179&amp;",",","&amp;SUBSTITUTE(Screener!$D$17," ","")&amp;",")),2000000,IF(IF(OR(Screener!$B$18="All",AND(Screener!$B$18="With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IF(Database!$B180=Screener!$B$5,-999999,IF(ISNUMBER(SEARCH(","&amp;Database!$A180&amp;",",","&amp;SUBSTITUTE(Screener!$D$17," ","")&amp;",")),2000000,IF(IF(OR(Screener!$B$18="All",AND(Screener!$B$18="With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IF(Database!$B181=Screener!$B$5,-999999,IF(ISNUMBER(SEARCH(","&amp;Database!$A181&amp;",",","&amp;SUBSTITUTE(Screener!$D$17," ","")&amp;",")),2000000,IF(IF(OR(Screener!$B$18="All",AND(Screener!$B$18="With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IF(Database!$B182=Screener!$B$5,-999999,IF(ISNUMBER(SEARCH(","&amp;Database!$A182&amp;",",","&amp;SUBSTITUTE(Screener!$D$17," ","")&amp;",")),2000000,IF(IF(OR(Screener!$B$18="All",AND(Screener!$B$18="With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IF(Database!$B183=Screener!$B$5,-999999,IF(ISNUMBER(SEARCH(","&amp;Database!$A183&amp;",",","&amp;SUBSTITUTE(Screener!$D$17," ","")&amp;",")),2000000,IF(IF(OR(Screener!$B$18="All",AND(Screener!$B$18="With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IF(Database!$B184=Screener!$B$5,-999999,IF(ISNUMBER(SEARCH(","&amp;Database!$A184&amp;",",","&amp;SUBSTITUTE(Screener!$D$17," ","")&amp;",")),2000000,IF(IF(OR(Screener!$B$18="All",AND(Screener!$B$18="With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IF(Database!$B185=Screener!$B$5,-999999,IF(ISNUMBER(SEARCH(","&amp;Database!$A185&amp;",",","&amp;SUBSTITUTE(Screener!$D$17," ","")&amp;",")),2000000,IF(IF(OR(Screener!$B$18="All",AND(Screener!$B$18="With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IF(Database!$B186=Screener!$B$5,-999999,IF(ISNUMBER(SEARCH(","&amp;Database!$A186&amp;",",","&amp;SUBSTITUTE(Screener!$D$17," ","")&amp;",")),2000000,IF(IF(OR(Screener!$B$18="All",AND(Screener!$B$18="With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IF(Database!$B187=Screener!$B$5,-999999,IF(ISNUMBER(SEARCH(","&amp;Database!$A187&amp;",",","&amp;SUBSTITUTE(Screener!$D$17," ","")&amp;",")),2000000,IF(IF(OR(Screener!$B$18="All",AND(Screener!$B$18="With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IF(Database!$B188=Screener!$B$5,-999999,IF(ISNUMBER(SEARCH(","&amp;Database!$A188&amp;",",","&amp;SUBSTITUTE(Screener!$D$17," ","")&amp;",")),2000000,IF(IF(OR(Screener!$B$18="All",AND(Screener!$B$18="With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IF(Database!$B189=Screener!$B$5,-999999,IF(ISNUMBER(SEARCH(","&amp;Database!$A189&amp;",",","&amp;SUBSTITUTE(Screener!$D$17," ","")&amp;",")),2000000,IF(IF(OR(Screener!$B$18="All",AND(Screener!$B$18="With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IF(Database!$B190=Screener!$B$5,-999999,IF(ISNUMBER(SEARCH(","&amp;Database!$A190&amp;",",","&amp;SUBSTITUTE(Screener!$D$17," ","")&amp;",")),2000000,IF(IF(OR(Screener!$B$18="All",AND(Screener!$B$18="With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IF(Database!$B191=Screener!$B$5,-999999,IF(ISNUMBER(SEARCH(","&amp;Database!$A191&amp;",",","&amp;SUBSTITUTE(Screener!$D$17," ","")&amp;",")),2000000,IF(IF(OR(Screener!$B$18="All",AND(Screener!$B$18="With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IF(Database!$B192=Screener!$B$5,-999999,IF(ISNUMBER(SEARCH(","&amp;Database!$A192&amp;",",","&amp;SUBSTITUTE(Screener!$D$17," ","")&amp;",")),2000000,IF(IF(OR(Screener!$B$18="All",AND(Screener!$B$18="With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IF(Database!$B193=Screener!$B$5,-999999,IF(ISNUMBER(SEARCH(","&amp;Database!$A193&amp;",",","&amp;SUBSTITUTE(Screener!$D$17," ","")&amp;",")),2000000,IF(IF(OR(Screener!$B$18="All",AND(Screener!$B$18="With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IF(Database!$B194=Screener!$B$5,-999999,IF(ISNUMBER(SEARCH(","&amp;Database!$A194&amp;",",","&amp;SUBSTITUTE(Screener!$D$17," ","")&amp;",")),2000000,IF(IF(OR(Screener!$B$18="All",AND(Screener!$B$18="With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IF(Database!$B195=Screener!$B$5,-999999,IF(ISNUMBER(SEARCH(","&amp;Database!$A195&amp;",",","&amp;SUBSTITUTE(Screener!$D$17," ","")&amp;",")),2000000,IF(IF(OR(Screener!$B$18="All",AND(Screener!$B$18="With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IF(Database!$B196=Screener!$B$5,-999999,IF(ISNUMBER(SEARCH(","&amp;Database!$A196&amp;",",","&amp;SUBSTITUTE(Screener!$D$17," ","")&amp;",")),2000000,IF(IF(OR(Screener!$B$18="All",AND(Screener!$B$18="With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IF(Database!$B197=Screener!$B$5,-999999,IF(ISNUMBER(SEARCH(","&amp;Database!$A197&amp;",",","&amp;SUBSTITUTE(Screener!$D$17," ","")&amp;",")),2000000,IF(IF(OR(Screener!$B$18="All",AND(Screener!$B$18="With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IF(Database!$B198=Screener!$B$5,-999999,IF(ISNUMBER(SEARCH(","&amp;Database!$A198&amp;",",","&amp;SUBSTITUTE(Screener!$D$17," ","")&amp;",")),2000000,IF(IF(OR(Screener!$B$18="All",AND(Screener!$B$18="With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IF(Database!$B199=Screener!$B$5,-999999,IF(ISNUMBER(SEARCH(","&amp;Database!$A199&amp;",",","&amp;SUBSTITUTE(Screener!$D$17," ","")&amp;",")),2000000,IF(IF(OR(Screener!$B$18="All",AND(Screener!$B$18="With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IF(Database!$B200=Screener!$B$5,-999999,IF(ISNUMBER(SEARCH(","&amp;Database!$A200&amp;",",","&amp;SUBSTITUTE(Screener!$D$17," ","")&amp;",")),2000000,IF(IF(OR(Screener!$B$18="All",AND(Screener!$B$18="With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IF(Database!$B201=Screener!$B$5,-999999,IF(ISNUMBER(SEARCH(","&amp;Database!$A201&amp;",",","&amp;SUBSTITUTE(Screener!$D$17," ","")&amp;",")),2000000,IF(IF(OR(Screener!$B$18="All",AND(Screener!$B$18="With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IF(Database!$B202=Screener!$B$5,-999999,IF(ISNUMBER(SEARCH(","&amp;Database!$A202&amp;",",","&amp;SUBSTITUTE(Screener!$D$17," ","")&amp;",")),2000000,IF(IF(OR(Screener!$B$18="All",AND(Screener!$B$18="With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IF(Database!$B203=Screener!$B$5,-999999,IF(ISNUMBER(SEARCH(","&amp;Database!$A203&amp;",",","&amp;SUBSTITUTE(Screener!$D$17," ","")&amp;",")),2000000,IF(IF(OR(Screener!$B$18="All",AND(Screener!$B$18="With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IF(Database!$B204=Screener!$B$5,-999999,IF(ISNUMBER(SEARCH(","&amp;Database!$A204&amp;",",","&amp;SUBSTITUTE(Screener!$D$17," ","")&amp;",")),2000000,IF(IF(OR(Screener!$B$18="All",AND(Screener!$B$18="With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IF(Database!$B205=Screener!$B$5,-999999,IF(ISNUMBER(SEARCH(","&amp;Database!$A205&amp;",",","&amp;SUBSTITUTE(Screener!$D$17," ","")&amp;",")),2000000,IF(IF(OR(Screener!$B$18="All",AND(Screener!$B$18="With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IF(Database!$B206=Screener!$B$5,-999999,IF(ISNUMBER(SEARCH(","&amp;Database!$A206&amp;",",","&amp;SUBSTITUTE(Screener!$D$17," ","")&amp;",")),2000000,IF(IF(OR(Screener!$B$18="All",AND(Screener!$B$18="With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IF(Database!$B207=Screener!$B$5,-999999,IF(ISNUMBER(SEARCH(","&amp;Database!$A207&amp;",",","&amp;SUBSTITUTE(Screener!$D$17," ","")&amp;",")),2000000,IF(IF(OR(Screener!$B$18="All",AND(Screener!$B$18="With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IF(Database!$B208=Screener!$B$5,-999999,IF(ISNUMBER(SEARCH(","&amp;Database!$A208&amp;",",","&amp;SUBSTITUTE(Screener!$D$17," ","")&amp;",")),2000000,IF(IF(OR(Screener!$B$18="All",AND(Screener!$B$18="With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IF(Database!$B209=Screener!$B$5,-999999,IF(ISNUMBER(SEARCH(","&amp;Database!$A209&amp;",",","&amp;SUBSTITUTE(Screener!$D$17," ","")&amp;",")),2000000,IF(IF(OR(Screener!$B$18="All",AND(Screener!$B$18="With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IF(Database!$B210=Screener!$B$5,-999999,IF(ISNUMBER(SEARCH(","&amp;Database!$A210&amp;",",","&amp;SUBSTITUTE(Screener!$D$17," ","")&amp;",")),2000000,IF(IF(OR(Screener!$B$18="All",AND(Screener!$B$18="With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IF(Database!$B211=Screener!$B$5,-999999,IF(ISNUMBER(SEARCH(","&amp;Database!$A211&amp;",",","&amp;SUBSTITUTE(Screener!$D$17," ","")&amp;",")),2000000,IF(IF(OR(Screener!$B$18="All",AND(Screener!$B$18="With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IF(Database!$B212=Screener!$B$5,-999999,IF(ISNUMBER(SEARCH(","&amp;Database!$A212&amp;",",","&amp;SUBSTITUTE(Screener!$D$17," ","")&amp;",")),2000000,IF(IF(OR(Screener!$B$18="All",AND(Screener!$B$18="With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IF(Database!$B213=Screener!$B$5,-999999,IF(ISNUMBER(SEARCH(","&amp;Database!$A213&amp;",",","&amp;SUBSTITUTE(Screener!$D$17," ","")&amp;",")),2000000,IF(IF(OR(Screener!$B$18="All",AND(Screener!$B$18="With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IF(Database!$B214=Screener!$B$5,-999999,IF(ISNUMBER(SEARCH(","&amp;Database!$A214&amp;",",","&amp;SUBSTITUTE(Screener!$D$17," ","")&amp;",")),2000000,IF(IF(OR(Screener!$B$18="All",AND(Screener!$B$18="With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IF(Database!$B215=Screener!$B$5,-999999,IF(ISNUMBER(SEARCH(","&amp;Database!$A215&amp;",",","&amp;SUBSTITUTE(Screener!$D$17," ","")&amp;",")),2000000,IF(IF(OR(Screener!$B$18="All",AND(Screener!$B$18="With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IF(Database!$B216=Screener!$B$5,-999999,IF(ISNUMBER(SEARCH(","&amp;Database!$A216&amp;",",","&amp;SUBSTITUTE(Screener!$D$17," ","")&amp;",")),2000000,IF(IF(OR(Screener!$B$18="All",AND(Screener!$B$18="With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IF(Database!$B217=Screener!$B$5,-999999,IF(ISNUMBER(SEARCH(","&amp;Database!$A217&amp;",",","&amp;SUBSTITUTE(Screener!$D$17," ","")&amp;",")),2000000,IF(IF(OR(Screener!$B$18="All",AND(Screener!$B$18="With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IF(Database!$B218=Screener!$B$5,-999999,IF(ISNUMBER(SEARCH(","&amp;Database!$A218&amp;",",","&amp;SUBSTITUTE(Screener!$D$17," ","")&amp;",")),2000000,IF(IF(OR(Screener!$B$18="All",AND(Screener!$B$18="With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IF(Database!$B219=Screener!$B$5,-999999,IF(ISNUMBER(SEARCH(","&amp;Database!$A219&amp;",",","&amp;SUBSTITUTE(Screener!$D$17," ","")&amp;",")),2000000,IF(IF(OR(Screener!$B$18="All",AND(Screener!$B$18="With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IF(Database!$B220=Screener!$B$5,-999999,IF(ISNUMBER(SEARCH(","&amp;Database!$A220&amp;",",","&amp;SUBSTITUTE(Screener!$D$17," ","")&amp;",")),2000000,IF(IF(OR(Screener!$B$18="All",AND(Screener!$B$18="With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IF(Database!$B221=Screener!$B$5,-999999,IF(ISNUMBER(SEARCH(","&amp;Database!$A221&amp;",",","&amp;SUBSTITUTE(Screener!$D$17," ","")&amp;",")),2000000,IF(IF(OR(Screener!$B$18="All",AND(Screener!$B$18="With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IF(Database!$B222=Screener!$B$5,-999999,IF(ISNUMBER(SEARCH(","&amp;Database!$A222&amp;",",","&amp;SUBSTITUTE(Screener!$D$17," ","")&amp;",")),2000000,IF(IF(OR(Screener!$B$18="All",AND(Screener!$B$18="With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IF(Database!$B223=Screener!$B$5,-999999,IF(ISNUMBER(SEARCH(","&amp;Database!$A223&amp;",",","&amp;SUBSTITUTE(Screener!$D$17," ","")&amp;",")),2000000,IF(IF(OR(Screener!$B$18="All",AND(Screener!$B$18="With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IF(Database!$B224=Screener!$B$5,-999999,IF(ISNUMBER(SEARCH(","&amp;Database!$A224&amp;",",","&amp;SUBSTITUTE(Screener!$D$17," ","")&amp;",")),2000000,IF(IF(OR(Screener!$B$18="All",AND(Screener!$B$18="With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IF(Database!$B225=Screener!$B$5,-999999,IF(ISNUMBER(SEARCH(","&amp;Database!$A225&amp;",",","&amp;SUBSTITUTE(Screener!$D$17," ","")&amp;",")),2000000,IF(IF(OR(Screener!$B$18="All",AND(Screener!$B$18="With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IF(Database!$B226=Screener!$B$5,-999999,IF(ISNUMBER(SEARCH(","&amp;Database!$A226&amp;",",","&amp;SUBSTITUTE(Screener!$D$17," ","")&amp;",")),2000000,IF(IF(OR(Screener!$B$18="All",AND(Screener!$B$18="With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IF(Database!$B227=Screener!$B$5,-999999,IF(ISNUMBER(SEARCH(","&amp;Database!$A227&amp;",",","&amp;SUBSTITUTE(Screener!$D$17," ","")&amp;",")),2000000,IF(IF(OR(Screener!$B$18="All",AND(Screener!$B$18="With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IF(Database!$B228=Screener!$B$5,-999999,IF(ISNUMBER(SEARCH(","&amp;Database!$A228&amp;",",","&amp;SUBSTITUTE(Screener!$D$17," ","")&amp;",")),2000000,IF(IF(OR(Screener!$B$18="All",AND(Screener!$B$18="With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IF(Database!$B229=Screener!$B$5,-999999,IF(ISNUMBER(SEARCH(","&amp;Database!$A229&amp;",",","&amp;SUBSTITUTE(Screener!$D$17," ","")&amp;",")),2000000,IF(IF(OR(Screener!$B$18="All",AND(Screener!$B$18="With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IF(Database!$B230=Screener!$B$5,-999999,IF(ISNUMBER(SEARCH(","&amp;Database!$A230&amp;",",","&amp;SUBSTITUTE(Screener!$D$17," ","")&amp;",")),2000000,IF(IF(OR(Screener!$B$18="All",AND(Screener!$B$18="With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IF(Database!$B231=Screener!$B$5,-999999,IF(ISNUMBER(SEARCH(","&amp;Database!$A231&amp;",",","&amp;SUBSTITUTE(Screener!$D$17," ","")&amp;",")),2000000,IF(IF(OR(Screener!$B$18="All",AND(Screener!$B$18="With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IF(Database!$B232=Screener!$B$5,-999999,IF(ISNUMBER(SEARCH(","&amp;Database!$A232&amp;",",","&amp;SUBSTITUTE(Screener!$D$17," ","")&amp;",")),2000000,IF(IF(OR(Screener!$B$18="All",AND(Screener!$B$18="With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IF(Database!$B233=Screener!$B$5,-999999,IF(ISNUMBER(SEARCH(","&amp;Database!$A233&amp;",",","&amp;SUBSTITUTE(Screener!$D$17," ","")&amp;",")),2000000,IF(IF(OR(Screener!$B$18="All",AND(Screener!$B$18="With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IF(Database!$B234=Screener!$B$5,-999999,IF(ISNUMBER(SEARCH(","&amp;Database!$A234&amp;",",","&amp;SUBSTITUTE(Screener!$D$17," ","")&amp;",")),2000000,IF(IF(OR(Screener!$B$18="All",AND(Screener!$B$18="With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IF(Database!$B235=Screener!$B$5,-999999,IF(ISNUMBER(SEARCH(","&amp;Database!$A235&amp;",",","&amp;SUBSTITUTE(Screener!$D$17," ","")&amp;",")),2000000,IF(IF(OR(Screener!$B$18="All",AND(Screener!$B$18="With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IF(Database!$B236=Screener!$B$5,-999999,IF(ISNUMBER(SEARCH(","&amp;Database!$A236&amp;",",","&amp;SUBSTITUTE(Screener!$D$17," ","")&amp;",")),2000000,IF(IF(OR(Screener!$B$18="All",AND(Screener!$B$18="With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IF(Database!$B237=Screener!$B$5,-999999,IF(ISNUMBER(SEARCH(","&amp;Database!$A237&amp;",",","&amp;SUBSTITUTE(Screener!$D$17," ","")&amp;",")),2000000,IF(IF(OR(Screener!$B$18="All",AND(Screener!$B$18="With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IF(Database!$B238=Screener!$B$5,-999999,IF(ISNUMBER(SEARCH(","&amp;Database!$A238&amp;",",","&amp;SUBSTITUTE(Screener!$D$17," ","")&amp;",")),2000000,IF(IF(OR(Screener!$B$18="All",AND(Screener!$B$18="With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IF(Database!$B239=Screener!$B$5,-999999,IF(ISNUMBER(SEARCH(","&amp;Database!$A239&amp;",",","&amp;SUBSTITUTE(Screener!$D$17," ","")&amp;",")),2000000,IF(IF(OR(Screener!$B$18="All",AND(Screener!$B$18="With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IF(Database!$B240=Screener!$B$5,-999999,IF(ISNUMBER(SEARCH(","&amp;Database!$A240&amp;",",","&amp;SUBSTITUTE(Screener!$D$17," ","")&amp;",")),2000000,IF(IF(OR(Screener!$B$18="All",AND(Screener!$B$18="With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IF(Database!$B241=Screener!$B$5,-999999,IF(ISNUMBER(SEARCH(","&amp;Database!$A241&amp;",",","&amp;SUBSTITUTE(Screener!$D$17," ","")&amp;",")),2000000,IF(IF(OR(Screener!$B$18="All",AND(Screener!$B$18="With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IF(Database!$B242=Screener!$B$5,-999999,IF(ISNUMBER(SEARCH(","&amp;Database!$A242&amp;",",","&amp;SUBSTITUTE(Screener!$D$17," ","")&amp;",")),2000000,IF(IF(OR(Screener!$B$18="All",AND(Screener!$B$18="With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IF(Database!$B243=Screener!$B$5,-999999,IF(ISNUMBER(SEARCH(","&amp;Database!$A243&amp;",",","&amp;SUBSTITUTE(Screener!$D$17," ","")&amp;",")),2000000,IF(IF(OR(Screener!$B$18="All",AND(Screener!$B$18="With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IF(Database!$B244=Screener!$B$5,-999999,IF(ISNUMBER(SEARCH(","&amp;Database!$A244&amp;",",","&amp;SUBSTITUTE(Screener!$D$17," ","")&amp;",")),2000000,IF(IF(OR(Screener!$B$18="All",AND(Screener!$B$18="With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IF(Database!$B245=Screener!$B$5,-999999,IF(ISNUMBER(SEARCH(","&amp;Database!$A245&amp;",",","&amp;SUBSTITUTE(Screener!$D$17," ","")&amp;",")),2000000,IF(IF(OR(Screener!$B$18="All",AND(Screener!$B$18="With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IF(Database!$B246=Screener!$B$5,-999999,IF(ISNUMBER(SEARCH(","&amp;Database!$A246&amp;",",","&amp;SUBSTITUTE(Screener!$D$17," ","")&amp;",")),2000000,IF(IF(OR(Screener!$B$18="All",AND(Screener!$B$18="With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IF(Database!$B247=Screener!$B$5,-999999,IF(ISNUMBER(SEARCH(","&amp;Database!$A247&amp;",",","&amp;SUBSTITUTE(Screener!$D$17," ","")&amp;",")),2000000,IF(IF(OR(Screener!$B$18="All",AND(Screener!$B$18="With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IF(Database!$B248=Screener!$B$5,-999999,IF(ISNUMBER(SEARCH(","&amp;Database!$A248&amp;",",","&amp;SUBSTITUTE(Screener!$D$17," ","")&amp;",")),2000000,IF(IF(OR(Screener!$B$18="All",AND(Screener!$B$18="With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IF(Database!$B249=Screener!$B$5,-999999,IF(ISNUMBER(SEARCH(","&amp;Database!$A249&amp;",",","&amp;SUBSTITUTE(Screener!$D$17," ","")&amp;",")),2000000,IF(IF(OR(Screener!$B$18="All",AND(Screener!$B$18="With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IF(Database!$B250=Screener!$B$5,-999999,IF(ISNUMBER(SEARCH(","&amp;Database!$A250&amp;",",","&amp;SUBSTITUTE(Screener!$D$17," ","")&amp;",")),2000000,IF(IF(OR(Screener!$B$18="All",AND(Screener!$B$18="With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IF(Database!$B251=Screener!$B$5,-999999,IF(ISNUMBER(SEARCH(","&amp;Database!$A251&amp;",",","&amp;SUBSTITUTE(Screener!$D$17," ","")&amp;",")),2000000,IF(IF(OR(Screener!$B$18="All",AND(Screener!$B$18="With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IF(Database!$B252=Screener!$B$5,-999999,IF(ISNUMBER(SEARCH(","&amp;Database!$A252&amp;",",","&amp;SUBSTITUTE(Screener!$D$17," ","")&amp;",")),2000000,IF(IF(OR(Screener!$B$18="All",AND(Screener!$B$18="With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IF(Database!$B253=Screener!$B$5,-999999,IF(ISNUMBER(SEARCH(","&amp;Database!$A253&amp;",",","&amp;SUBSTITUTE(Screener!$D$17," ","")&amp;",")),2000000,IF(IF(OR(Screener!$B$18="All",AND(Screener!$B$18="With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IF(Database!$B254=Screener!$B$5,-999999,IF(ISNUMBER(SEARCH(","&amp;Database!$A254&amp;",",","&amp;SUBSTITUTE(Screener!$D$17," ","")&amp;",")),2000000,IF(IF(OR(Screener!$B$18="All",AND(Screener!$B$18="With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IF(Database!$B255=Screener!$B$5,-999999,IF(ISNUMBER(SEARCH(","&amp;Database!$A255&amp;",",","&amp;SUBSTITUTE(Screener!$D$17," ","")&amp;",")),2000000,IF(IF(OR(Screener!$B$18="All",AND(Screener!$B$18="With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IF(Database!$B256=Screener!$B$5,-999999,IF(ISNUMBER(SEARCH(","&amp;Database!$A256&amp;",",","&amp;SUBSTITUTE(Screener!$D$17," ","")&amp;",")),2000000,IF(IF(OR(Screener!$B$18="All",AND(Screener!$B$18="With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IF(Database!$B257=Screener!$B$5,-999999,IF(ISNUMBER(SEARCH(","&amp;Database!$A257&amp;",",","&amp;SUBSTITUTE(Screener!$D$17," ","")&amp;",")),2000000,IF(IF(OR(Screener!$B$18="All",AND(Screener!$B$18="With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IF(Database!$B258=Screener!$B$5,-999999,IF(ISNUMBER(SEARCH(","&amp;Database!$A258&amp;",",","&amp;SUBSTITUTE(Screener!$D$17," ","")&amp;",")),2000000,IF(IF(OR(Screener!$B$18="All",AND(Screener!$B$18="With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IF(Database!$B259=Screener!$B$5,-999999,IF(ISNUMBER(SEARCH(","&amp;Database!$A259&amp;",",","&amp;SUBSTITUTE(Screener!$D$17," ","")&amp;",")),2000000,IF(IF(OR(Screener!$B$18="All",AND(Screener!$B$18="With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IF(Database!$B260=Screener!$B$5,-999999,IF(ISNUMBER(SEARCH(","&amp;Database!$A260&amp;",",","&amp;SUBSTITUTE(Screener!$D$17," ","")&amp;",")),2000000,IF(IF(OR(Screener!$B$18="All",AND(Screener!$B$18="With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IF(Database!$B261=Screener!$B$5,-999999,IF(ISNUMBER(SEARCH(","&amp;Database!$A261&amp;",",","&amp;SUBSTITUTE(Screener!$D$17," ","")&amp;",")),2000000,IF(IF(OR(Screener!$B$18="All",AND(Screener!$B$18="With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IF(Database!$B262=Screener!$B$5,-999999,IF(ISNUMBER(SEARCH(","&amp;Database!$A262&amp;",",","&amp;SUBSTITUTE(Screener!$D$17," ","")&amp;",")),2000000,IF(IF(OR(Screener!$B$18="All",AND(Screener!$B$18="With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IF(Database!$B263=Screener!$B$5,-999999,IF(ISNUMBER(SEARCH(","&amp;Database!$A263&amp;",",","&amp;SUBSTITUTE(Screener!$D$17," ","")&amp;",")),2000000,IF(IF(OR(Screener!$B$18="All",AND(Screener!$B$18="With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IF(Database!$B264=Screener!$B$5,-999999,IF(ISNUMBER(SEARCH(","&amp;Database!$A264&amp;",",","&amp;SUBSTITUTE(Screener!$D$17," ","")&amp;",")),2000000,IF(IF(OR(Screener!$B$18="All",AND(Screener!$B$18="With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IF(Database!$B265=Screener!$B$5,-999999,IF(ISNUMBER(SEARCH(","&amp;Database!$A265&amp;",",","&amp;SUBSTITUTE(Screener!$D$17," ","")&amp;",")),2000000,IF(IF(OR(Screener!$B$18="All",AND(Screener!$B$18="With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IF(Database!$B266=Screener!$B$5,-999999,IF(ISNUMBER(SEARCH(","&amp;Database!$A266&amp;",",","&amp;SUBSTITUTE(Screener!$D$17," ","")&amp;",")),2000000,IF(IF(OR(Screener!$B$18="All",AND(Screener!$B$18="With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IF(Database!$B267=Screener!$B$5,-999999,IF(ISNUMBER(SEARCH(","&amp;Database!$A267&amp;",",","&amp;SUBSTITUTE(Screener!$D$17," ","")&amp;",")),2000000,IF(IF(OR(Screener!$B$18="All",AND(Screener!$B$18="With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IF(Database!$B268=Screener!$B$5,-999999,IF(ISNUMBER(SEARCH(","&amp;Database!$A268&amp;",",","&amp;SUBSTITUTE(Screener!$D$17," ","")&amp;",")),2000000,IF(IF(OR(Screener!$B$18="All",AND(Screener!$B$18="With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IF(Database!$B269=Screener!$B$5,-999999,IF(ISNUMBER(SEARCH(","&amp;Database!$A269&amp;",",","&amp;SUBSTITUTE(Screener!$D$17," ","")&amp;",")),2000000,IF(IF(OR(Screener!$B$18="All",AND(Screener!$B$18="With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IF(Database!$B270=Screener!$B$5,-999999,IF(ISNUMBER(SEARCH(","&amp;Database!$A270&amp;",",","&amp;SUBSTITUTE(Screener!$D$17," ","")&amp;",")),2000000,IF(IF(OR(Screener!$B$18="All",AND(Screener!$B$18="With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IF(Database!$B271=Screener!$B$5,-999999,IF(ISNUMBER(SEARCH(","&amp;Database!$A271&amp;",",","&amp;SUBSTITUTE(Screener!$D$17," ","")&amp;",")),2000000,IF(IF(OR(Screener!$B$18="All",AND(Screener!$B$18="With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IF(Database!$B272=Screener!$B$5,-999999,IF(ISNUMBER(SEARCH(","&amp;Database!$A272&amp;",",","&amp;SUBSTITUTE(Screener!$D$17," ","")&amp;",")),2000000,IF(IF(OR(Screener!$B$18="All",AND(Screener!$B$18="With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IF(Database!$B273=Screener!$B$5,-999999,IF(ISNUMBER(SEARCH(","&amp;Database!$A273&amp;",",","&amp;SUBSTITUTE(Screener!$D$17," ","")&amp;",")),2000000,IF(IF(OR(Screener!$B$18="All",AND(Screener!$B$18="With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IF(Database!$B274=Screener!$B$5,-999999,IF(ISNUMBER(SEARCH(","&amp;Database!$A274&amp;",",","&amp;SUBSTITUTE(Screener!$D$17," ","")&amp;",")),2000000,IF(IF(OR(Screener!$B$18="All",AND(Screener!$B$18="With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IF(Database!$B275=Screener!$B$5,-999999,IF(ISNUMBER(SEARCH(","&amp;Database!$A275&amp;",",","&amp;SUBSTITUTE(Screener!$D$17," ","")&amp;",")),2000000,IF(IF(OR(Screener!$B$18="All",AND(Screener!$B$18="With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IF(Database!$B276=Screener!$B$5,-999999,IF(ISNUMBER(SEARCH(","&amp;Database!$A276&amp;",",","&amp;SUBSTITUTE(Screener!$D$17," ","")&amp;",")),2000000,IF(IF(OR(Screener!$B$18="All",AND(Screener!$B$18="With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IF(Database!$B277=Screener!$B$5,-999999,IF(ISNUMBER(SEARCH(","&amp;Database!$A277&amp;",",","&amp;SUBSTITUTE(Screener!$D$17," ","")&amp;",")),2000000,IF(IF(OR(Screener!$B$18="All",AND(Screener!$B$18="With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IF(Database!$B278=Screener!$B$5,-999999,IF(ISNUMBER(SEARCH(","&amp;Database!$A278&amp;",",","&amp;SUBSTITUTE(Screener!$D$17," ","")&amp;",")),2000000,IF(IF(OR(Screener!$B$18="All",AND(Screener!$B$18="With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IF(Database!$B279=Screener!$B$5,-999999,IF(ISNUMBER(SEARCH(","&amp;Database!$A279&amp;",",","&amp;SUBSTITUTE(Screener!$D$17," ","")&amp;",")),2000000,IF(IF(OR(Screener!$B$18="All",AND(Screener!$B$18="With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IF(Database!$B280=Screener!$B$5,-999999,IF(ISNUMBER(SEARCH(","&amp;Database!$A280&amp;",",","&amp;SUBSTITUTE(Screener!$D$17," ","")&amp;",")),2000000,IF(IF(OR(Screener!$B$18="All",AND(Screener!$B$18="With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IF(Database!$B281=Screener!$B$5,-999999,IF(ISNUMBER(SEARCH(","&amp;Database!$A281&amp;",",","&amp;SUBSTITUTE(Screener!$D$17," ","")&amp;",")),2000000,IF(IF(OR(Screener!$B$18="All",AND(Screener!$B$18="With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IF(Database!$B282=Screener!$B$5,-999999,IF(ISNUMBER(SEARCH(","&amp;Database!$A282&amp;",",","&amp;SUBSTITUTE(Screener!$D$17," ","")&amp;",")),2000000,IF(IF(OR(Screener!$B$18="All",AND(Screener!$B$18="With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IF(Database!$B283=Screener!$B$5,-999999,IF(ISNUMBER(SEARCH(","&amp;Database!$A283&amp;",",","&amp;SUBSTITUTE(Screener!$D$17," ","")&amp;",")),2000000,IF(IF(OR(Screener!$B$18="All",AND(Screener!$B$18="With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IF(Database!$B284=Screener!$B$5,-999999,IF(ISNUMBER(SEARCH(","&amp;Database!$A284&amp;",",","&amp;SUBSTITUTE(Screener!$D$17," ","")&amp;",")),2000000,IF(IF(OR(Screener!$B$18="All",AND(Screener!$B$18="With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IF(Database!$B285=Screener!$B$5,-999999,IF(ISNUMBER(SEARCH(","&amp;Database!$A285&amp;",",","&amp;SUBSTITUTE(Screener!$D$17," ","")&amp;",")),2000000,IF(IF(OR(Screener!$B$18="All",AND(Screener!$B$18="With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IF(Database!$B286=Screener!$B$5,-999999,IF(ISNUMBER(SEARCH(","&amp;Database!$A286&amp;",",","&amp;SUBSTITUTE(Screener!$D$17," ","")&amp;",")),2000000,IF(IF(OR(Screener!$B$18="All",AND(Screener!$B$18="With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IF(Database!$B287=Screener!$B$5,-999999,IF(ISNUMBER(SEARCH(","&amp;Database!$A287&amp;",",","&amp;SUBSTITUTE(Screener!$D$17," ","")&amp;",")),2000000,IF(IF(OR(Screener!$B$18="All",AND(Screener!$B$18="With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IF(Database!$B288=Screener!$B$5,-999999,IF(ISNUMBER(SEARCH(","&amp;Database!$A288&amp;",",","&amp;SUBSTITUTE(Screener!$D$17," ","")&amp;",")),2000000,IF(IF(OR(Screener!$B$18="All",AND(Screener!$B$18="With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IF(Database!$B289=Screener!$B$5,-999999,IF(ISNUMBER(SEARCH(","&amp;Database!$A289&amp;",",","&amp;SUBSTITUTE(Screener!$D$17," ","")&amp;",")),2000000,IF(IF(OR(Screener!$B$18="All",AND(Screener!$B$18="With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IF(Database!$B290=Screener!$B$5,-999999,IF(ISNUMBER(SEARCH(","&amp;Database!$A290&amp;",",","&amp;SUBSTITUTE(Screener!$D$17," ","")&amp;",")),2000000,IF(IF(OR(Screener!$B$18="All",AND(Screener!$B$18="With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IF(Database!$B291=Screener!$B$5,-999999,IF(ISNUMBER(SEARCH(","&amp;Database!$A291&amp;",",","&amp;SUBSTITUTE(Screener!$D$17," ","")&amp;",")),2000000,IF(IF(OR(Screener!$B$18="All",AND(Screener!$B$18="With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IF(Database!$B292=Screener!$B$5,-999999,IF(ISNUMBER(SEARCH(","&amp;Database!$A292&amp;",",","&amp;SUBSTITUTE(Screener!$D$17," ","")&amp;",")),2000000,IF(IF(OR(Screener!$B$18="All",AND(Screener!$B$18="With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IF(Database!$B293=Screener!$B$5,-999999,IF(ISNUMBER(SEARCH(","&amp;Database!$A293&amp;",",","&amp;SUBSTITUTE(Screener!$D$17," ","")&amp;",")),2000000,IF(IF(OR(Screener!$B$18="All",AND(Screener!$B$18="With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IF(Database!$B294=Screener!$B$5,-999999,IF(ISNUMBER(SEARCH(","&amp;Database!$A294&amp;",",","&amp;SUBSTITUTE(Screener!$D$17," ","")&amp;",")),2000000,IF(IF(OR(Screener!$B$18="All",AND(Screener!$B$18="With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IF(Database!$B295=Screener!$B$5,-999999,IF(ISNUMBER(SEARCH(","&amp;Database!$A295&amp;",",","&amp;SUBSTITUTE(Screener!$D$17," ","")&amp;",")),2000000,IF(IF(OR(Screener!$B$18="All",AND(Screener!$B$18="With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IF(Database!$B296=Screener!$B$5,-999999,IF(ISNUMBER(SEARCH(","&amp;Database!$A296&amp;",",","&amp;SUBSTITUTE(Screener!$D$17," ","")&amp;",")),2000000,IF(IF(OR(Screener!$B$18="All",AND(Screener!$B$18="With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IF(Database!$B297=Screener!$B$5,-999999,IF(ISNUMBER(SEARCH(","&amp;Database!$A297&amp;",",","&amp;SUBSTITUTE(Screener!$D$17," ","")&amp;",")),2000000,IF(IF(OR(Screener!$B$18="All",AND(Screener!$B$18="With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IF(Database!$B298=Screener!$B$5,-999999,IF(ISNUMBER(SEARCH(","&amp;Database!$A298&amp;",",","&amp;SUBSTITUTE(Screener!$D$17," ","")&amp;",")),2000000,IF(IF(OR(Screener!$B$18="All",AND(Screener!$B$18="With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IF(Database!$B299=Screener!$B$5,-999999,IF(ISNUMBER(SEARCH(","&amp;Database!$A299&amp;",",","&amp;SUBSTITUTE(Screener!$D$17," ","")&amp;",")),2000000,IF(IF(OR(Screener!$B$18="All",AND(Screener!$B$18="With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IF(Database!$B300=Screener!$B$5,-999999,IF(ISNUMBER(SEARCH(","&amp;Database!$A300&amp;",",","&amp;SUBSTITUTE(Screener!$D$17," ","")&amp;",")),2000000,IF(IF(OR(Screener!$B$18="All",AND(Screener!$B$18="With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IF(Database!$B301=Screener!$B$5,-999999,IF(ISNUMBER(SEARCH(","&amp;Database!$A301&amp;",",","&amp;SUBSTITUTE(Screener!$D$17," ","")&amp;",")),2000000,IF(IF(OR(Screener!$B$18="All",AND(Screener!$B$18="With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IF(Database!$B302=Screener!$B$5,-999999,IF(ISNUMBER(SEARCH(","&amp;Database!$A302&amp;",",","&amp;SUBSTITUTE(Screener!$D$17," ","")&amp;",")),2000000,IF(IF(OR(Screener!$B$18="All",AND(Screener!$B$18="With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IF(Database!$B303=Screener!$B$5,-999999,IF(ISNUMBER(SEARCH(","&amp;Database!$A303&amp;",",","&amp;SUBSTITUTE(Screener!$D$17," ","")&amp;",")),2000000,IF(IF(OR(Screener!$B$18="All",AND(Screener!$B$18="With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IF(Database!$B304=Screener!$B$5,-999999,IF(ISNUMBER(SEARCH(","&amp;Database!$A304&amp;",",","&amp;SUBSTITUTE(Screener!$D$17," ","")&amp;",")),2000000,IF(IF(OR(Screener!$B$18="All",AND(Screener!$B$18="With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IF(Database!$B305=Screener!$B$5,-999999,IF(ISNUMBER(SEARCH(","&amp;Database!$A305&amp;",",","&amp;SUBSTITUTE(Screener!$D$17," ","")&amp;",")),2000000,IF(IF(OR(Screener!$B$18="All",AND(Screener!$B$18="With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IF(Database!$B306=Screener!$B$5,-999999,IF(ISNUMBER(SEARCH(","&amp;Database!$A306&amp;",",","&amp;SUBSTITUTE(Screener!$D$17," ","")&amp;",")),2000000,IF(IF(OR(Screener!$B$18="All",AND(Screener!$B$18="With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IF(Database!$B307=Screener!$B$5,-999999,IF(ISNUMBER(SEARCH(","&amp;Database!$A307&amp;",",","&amp;SUBSTITUTE(Screener!$D$17," ","")&amp;",")),2000000,IF(IF(OR(Screener!$B$18="All",AND(Screener!$B$18="With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IF(Database!$B308=Screener!$B$5,-999999,IF(ISNUMBER(SEARCH(","&amp;Database!$A308&amp;",",","&amp;SUBSTITUTE(Screener!$D$17," ","")&amp;",")),2000000,IF(IF(OR(Screener!$B$18="All",AND(Screener!$B$18="With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IF(Database!$B309=Screener!$B$5,-999999,IF(ISNUMBER(SEARCH(","&amp;Database!$A309&amp;",",","&amp;SUBSTITUTE(Screener!$D$17," ","")&amp;",")),2000000,IF(IF(OR(Screener!$B$18="All",AND(Screener!$B$18="With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IF(Database!$B310=Screener!$B$5,-999999,IF(ISNUMBER(SEARCH(","&amp;Database!$A310&amp;",",","&amp;SUBSTITUTE(Screener!$D$17," ","")&amp;",")),2000000,IF(IF(OR(Screener!$B$18="All",AND(Screener!$B$18="With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IF(Database!$B311=Screener!$B$5,-999999,IF(ISNUMBER(SEARCH(","&amp;Database!$A311&amp;",",","&amp;SUBSTITUTE(Screener!$D$17," ","")&amp;",")),2000000,IF(IF(OR(Screener!$B$18="All",AND(Screener!$B$18="With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IF(Database!$B312=Screener!$B$5,-999999,IF(ISNUMBER(SEARCH(","&amp;Database!$A312&amp;",",","&amp;SUBSTITUTE(Screener!$D$17," ","")&amp;",")),2000000,IF(IF(OR(Screener!$B$18="All",AND(Screener!$B$18="With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IF(Database!$B313=Screener!$B$5,-999999,IF(ISNUMBER(SEARCH(","&amp;Database!$A313&amp;",",","&amp;SUBSTITUTE(Screener!$D$17," ","")&amp;",")),2000000,IF(IF(OR(Screener!$B$18="All",AND(Screener!$B$18="With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IF(Database!$B314=Screener!$B$5,-999999,IF(ISNUMBER(SEARCH(","&amp;Database!$A314&amp;",",","&amp;SUBSTITUTE(Screener!$D$17," ","")&amp;",")),2000000,IF(IF(OR(Screener!$B$18="All",AND(Screener!$B$18="With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IF(Database!$B315=Screener!$B$5,-999999,IF(ISNUMBER(SEARCH(","&amp;Database!$A315&amp;",",","&amp;SUBSTITUTE(Screener!$D$17," ","")&amp;",")),2000000,IF(IF(OR(Screener!$B$18="All",AND(Screener!$B$18="With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IF(Database!$B316=Screener!$B$5,-999999,IF(ISNUMBER(SEARCH(","&amp;Database!$A316&amp;",",","&amp;SUBSTITUTE(Screener!$D$17," ","")&amp;",")),2000000,IF(IF(OR(Screener!$B$18="All",AND(Screener!$B$18="With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IF(Database!$B317=Screener!$B$5,-999999,IF(ISNUMBER(SEARCH(","&amp;Database!$A317&amp;",",","&amp;SUBSTITUTE(Screener!$D$17," ","")&amp;",")),2000000,IF(IF(OR(Screener!$B$18="All",AND(Screener!$B$18="With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IF(Database!$B318=Screener!$B$5,-999999,IF(ISNUMBER(SEARCH(","&amp;Database!$A318&amp;",",","&amp;SUBSTITUTE(Screener!$D$17," ","")&amp;",")),2000000,IF(IF(OR(Screener!$B$18="All",AND(Screener!$B$18="With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IF(Database!$B319=Screener!$B$5,-999999,IF(ISNUMBER(SEARCH(","&amp;Database!$A319&amp;",",","&amp;SUBSTITUTE(Screener!$D$17," ","")&amp;",")),2000000,IF(IF(OR(Screener!$B$18="All",AND(Screener!$B$18="With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IF(Database!$B320=Screener!$B$5,-999999,IF(ISNUMBER(SEARCH(","&amp;Database!$A320&amp;",",","&amp;SUBSTITUTE(Screener!$D$17," ","")&amp;",")),2000000,IF(IF(OR(Screener!$B$18="All",AND(Screener!$B$18="With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IF(Database!$B321=Screener!$B$5,-999999,IF(ISNUMBER(SEARCH(","&amp;Database!$A321&amp;",",","&amp;SUBSTITUTE(Screener!$D$17," ","")&amp;",")),2000000,IF(IF(OR(Screener!$B$18="All",AND(Screener!$B$18="With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IF(Database!$B322=Screener!$B$5,-999999,IF(ISNUMBER(SEARCH(","&amp;Database!$A322&amp;",",","&amp;SUBSTITUTE(Screener!$D$17," ","")&amp;",")),2000000,IF(IF(OR(Screener!$B$18="All",AND(Screener!$B$18="With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IF(Database!$B323=Screener!$B$5,-999999,IF(ISNUMBER(SEARCH(","&amp;Database!$A323&amp;",",","&amp;SUBSTITUTE(Screener!$D$17," ","")&amp;",")),2000000,IF(IF(OR(Screener!$B$18="All",AND(Screener!$B$18="With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IF(Database!$B324=Screener!$B$5,-999999,IF(ISNUMBER(SEARCH(","&amp;Database!$A324&amp;",",","&amp;SUBSTITUTE(Screener!$D$17," ","")&amp;",")),2000000,IF(IF(OR(Screener!$B$18="All",AND(Screener!$B$18="With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IF(Database!$B325=Screener!$B$5,-999999,IF(ISNUMBER(SEARCH(","&amp;Database!$A325&amp;",",","&amp;SUBSTITUTE(Screener!$D$17," ","")&amp;",")),2000000,IF(IF(OR(Screener!$B$18="All",AND(Screener!$B$18="With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IF(Database!$B326=Screener!$B$5,-999999,IF(ISNUMBER(SEARCH(","&amp;Database!$A326&amp;",",","&amp;SUBSTITUTE(Screener!$D$17," ","")&amp;",")),2000000,IF(IF(OR(Screener!$B$18="All",AND(Screener!$B$18="With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IF(Database!$B327=Screener!$B$5,-999999,IF(ISNUMBER(SEARCH(","&amp;Database!$A327&amp;",",","&amp;SUBSTITUTE(Screener!$D$17," ","")&amp;",")),2000000,IF(IF(OR(Screener!$B$18="All",AND(Screener!$B$18="With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IF(Database!$B328=Screener!$B$5,-999999,IF(ISNUMBER(SEARCH(","&amp;Database!$A328&amp;",",","&amp;SUBSTITUTE(Screener!$D$17," ","")&amp;",")),2000000,IF(IF(OR(Screener!$B$18="All",AND(Screener!$B$18="With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IF(Database!$B329=Screener!$B$5,-999999,IF(ISNUMBER(SEARCH(","&amp;Database!$A329&amp;",",","&amp;SUBSTITUTE(Screener!$D$17," ","")&amp;",")),2000000,IF(IF(OR(Screener!$B$18="All",AND(Screener!$B$18="With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IF(Database!$B330=Screener!$B$5,-999999,IF(ISNUMBER(SEARCH(","&amp;Database!$A330&amp;",",","&amp;SUBSTITUTE(Screener!$D$17," ","")&amp;",")),2000000,IF(IF(OR(Screener!$B$18="All",AND(Screener!$B$18="With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IF(Database!$B331=Screener!$B$5,-999999,IF(ISNUMBER(SEARCH(","&amp;Database!$A331&amp;",",","&amp;SUBSTITUTE(Screener!$D$17," ","")&amp;",")),2000000,IF(IF(OR(Screener!$B$18="All",AND(Screener!$B$18="With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IF(Database!$B332=Screener!$B$5,-999999,IF(ISNUMBER(SEARCH(","&amp;Database!$A332&amp;",",","&amp;SUBSTITUTE(Screener!$D$17," ","")&amp;",")),2000000,IF(IF(OR(Screener!$B$18="All",AND(Screener!$B$18="With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IF(Database!$B333=Screener!$B$5,-999999,IF(ISNUMBER(SEARCH(","&amp;Database!$A333&amp;",",","&amp;SUBSTITUTE(Screener!$D$17," ","")&amp;",")),2000000,IF(IF(OR(Screener!$B$18="All",AND(Screener!$B$18="With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IF(Database!$B334=Screener!$B$5,-999999,IF(ISNUMBER(SEARCH(","&amp;Database!$A334&amp;",",","&amp;SUBSTITUTE(Screener!$D$17," ","")&amp;",")),2000000,IF(IF(OR(Screener!$B$18="All",AND(Screener!$B$18="With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IF(Database!$B335=Screener!$B$5,-999999,IF(ISNUMBER(SEARCH(","&amp;Database!$A335&amp;",",","&amp;SUBSTITUTE(Screener!$D$17," ","")&amp;",")),2000000,IF(IF(OR(Screener!$B$18="All",AND(Screener!$B$18="With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IF(Database!$B336=Screener!$B$5,-999999,IF(ISNUMBER(SEARCH(","&amp;Database!$A336&amp;",",","&amp;SUBSTITUTE(Screener!$D$17," ","")&amp;",")),2000000,IF(IF(OR(Screener!$B$18="All",AND(Screener!$B$18="With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IF(Database!$B337=Screener!$B$5,-999999,IF(ISNUMBER(SEARCH(","&amp;Database!$A337&amp;",",","&amp;SUBSTITUTE(Screener!$D$17," ","")&amp;",")),2000000,IF(IF(OR(Screener!$B$18="All",AND(Screener!$B$18="With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IF(Database!$B338=Screener!$B$5,-999999,IF(ISNUMBER(SEARCH(","&amp;Database!$A338&amp;",",","&amp;SUBSTITUTE(Screener!$D$17," ","")&amp;",")),2000000,IF(IF(OR(Screener!$B$18="All",AND(Screener!$B$18="With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IF(Database!$B339=Screener!$B$5,-999999,IF(ISNUMBER(SEARCH(","&amp;Database!$A339&amp;",",","&amp;SUBSTITUTE(Screener!$D$17," ","")&amp;",")),2000000,IF(IF(OR(Screener!$B$18="All",AND(Screener!$B$18="With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IF(Database!$B340=Screener!$B$5,-999999,IF(ISNUMBER(SEARCH(","&amp;Database!$A340&amp;",",","&amp;SUBSTITUTE(Screener!$D$17," ","")&amp;",")),2000000,IF(IF(OR(Screener!$B$18="All",AND(Screener!$B$18="With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IF(Database!$B341=Screener!$B$5,-999999,IF(ISNUMBER(SEARCH(","&amp;Database!$A341&amp;",",","&amp;SUBSTITUTE(Screener!$D$17," ","")&amp;",")),2000000,IF(IF(OR(Screener!$B$18="All",AND(Screener!$B$18="With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IF(Database!$B342=Screener!$B$5,-999999,IF(ISNUMBER(SEARCH(","&amp;Database!$A342&amp;",",","&amp;SUBSTITUTE(Screener!$D$17," ","")&amp;",")),2000000,IF(IF(OR(Screener!$B$18="All",AND(Screener!$B$18="With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IF(Database!$B343=Screener!$B$5,-999999,IF(ISNUMBER(SEARCH(","&amp;Database!$A343&amp;",",","&amp;SUBSTITUTE(Screener!$D$17," ","")&amp;",")),2000000,IF(IF(OR(Screener!$B$18="All",AND(Screener!$B$18="With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IF(Database!$B344=Screener!$B$5,-999999,IF(ISNUMBER(SEARCH(","&amp;Database!$A344&amp;",",","&amp;SUBSTITUTE(Screener!$D$17," ","")&amp;",")),2000000,IF(IF(OR(Screener!$B$18="All",AND(Screener!$B$18="With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IF(Database!$B345=Screener!$B$5,-999999,IF(ISNUMBER(SEARCH(","&amp;Database!$A345&amp;",",","&amp;SUBSTITUTE(Screener!$D$17," ","")&amp;",")),2000000,IF(IF(OR(Screener!$B$18="All",AND(Screener!$B$18="With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IF(Database!$B346=Screener!$B$5,-999999,IF(ISNUMBER(SEARCH(","&amp;Database!$A346&amp;",",","&amp;SUBSTITUTE(Screener!$D$17," ","")&amp;",")),2000000,IF(IF(OR(Screener!$B$18="All",AND(Screener!$B$18="With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IF(Database!$B347=Screener!$B$5,-999999,IF(ISNUMBER(SEARCH(","&amp;Database!$A347&amp;",",","&amp;SUBSTITUTE(Screener!$D$17," ","")&amp;",")),2000000,IF(IF(OR(Screener!$B$18="All",AND(Screener!$B$18="With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IF(Database!$B348=Screener!$B$5,-999999,IF(ISNUMBER(SEARCH(","&amp;Database!$A348&amp;",",","&amp;SUBSTITUTE(Screener!$D$17," ","")&amp;",")),2000000,IF(IF(OR(Screener!$B$18="All",AND(Screener!$B$18="With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IF(Database!$B349=Screener!$B$5,-999999,IF(ISNUMBER(SEARCH(","&amp;Database!$A349&amp;",",","&amp;SUBSTITUTE(Screener!$D$17," ","")&amp;",")),2000000,IF(IF(OR(Screener!$B$18="All",AND(Screener!$B$18="With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IF(Database!$B350=Screener!$B$5,-999999,IF(ISNUMBER(SEARCH(","&amp;Database!$A350&amp;",",","&amp;SUBSTITUTE(Screener!$D$17," ","")&amp;",")),2000000,IF(IF(OR(Screener!$B$18="All",AND(Screener!$B$18="With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IF(Database!$B351=Screener!$B$5,-999999,IF(ISNUMBER(SEARCH(","&amp;Database!$A351&amp;",",","&amp;SUBSTITUTE(Screener!$D$17," ","")&amp;",")),2000000,IF(IF(OR(Screener!$B$18="All",AND(Screener!$B$18="With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IF(Database!$B352=Screener!$B$5,-999999,IF(ISNUMBER(SEARCH(","&amp;Database!$A352&amp;",",","&amp;SUBSTITUTE(Screener!$D$17," ","")&amp;",")),2000000,IF(IF(OR(Screener!$B$18="All",AND(Screener!$B$18="With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IF(Database!$B353=Screener!$B$5,-999999,IF(ISNUMBER(SEARCH(","&amp;Database!$A353&amp;",",","&amp;SUBSTITUTE(Screener!$D$17," ","")&amp;",")),2000000,IF(IF(OR(Screener!$B$18="All",AND(Screener!$B$18="With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IF(Database!$B354=Screener!$B$5,-999999,IF(ISNUMBER(SEARCH(","&amp;Database!$A354&amp;",",","&amp;SUBSTITUTE(Screener!$D$17," ","")&amp;",")),2000000,IF(IF(OR(Screener!$B$18="All",AND(Screener!$B$18="With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IF(Database!$B355=Screener!$B$5,-999999,IF(ISNUMBER(SEARCH(","&amp;Database!$A355&amp;",",","&amp;SUBSTITUTE(Screener!$D$17," ","")&amp;",")),2000000,IF(IF(OR(Screener!$B$18="All",AND(Screener!$B$18="With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IF(Database!$B356=Screener!$B$5,-999999,IF(ISNUMBER(SEARCH(","&amp;Database!$A356&amp;",",","&amp;SUBSTITUTE(Screener!$D$17," ","")&amp;",")),2000000,IF(IF(OR(Screener!$B$18="All",AND(Screener!$B$18="With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IF(Database!$B357=Screener!$B$5,-999999,IF(ISNUMBER(SEARCH(","&amp;Database!$A357&amp;",",","&amp;SUBSTITUTE(Screener!$D$17," ","")&amp;",")),2000000,IF(IF(OR(Screener!$B$18="All",AND(Screener!$B$18="With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IF(Database!$B358=Screener!$B$5,-999999,IF(ISNUMBER(SEARCH(","&amp;Database!$A358&amp;",",","&amp;SUBSTITUTE(Screener!$D$17," ","")&amp;",")),2000000,IF(IF(OR(Screener!$B$18="All",AND(Screener!$B$18="With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IF(Database!$B359=Screener!$B$5,-999999,IF(ISNUMBER(SEARCH(","&amp;Database!$A359&amp;",",","&amp;SUBSTITUTE(Screener!$D$17," ","")&amp;",")),2000000,IF(IF(OR(Screener!$B$18="All",AND(Screener!$B$18="With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IF(Database!$B360=Screener!$B$5,-999999,IF(ISNUMBER(SEARCH(","&amp;Database!$A360&amp;",",","&amp;SUBSTITUTE(Screener!$D$17," ","")&amp;",")),2000000,IF(IF(OR(Screener!$B$18="All",AND(Screener!$B$18="With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IF(Database!$B361=Screener!$B$5,-999999,IF(ISNUMBER(SEARCH(","&amp;Database!$A361&amp;",",","&amp;SUBSTITUTE(Screener!$D$17," ","")&amp;",")),2000000,IF(IF(OR(Screener!$B$18="All",AND(Screener!$B$18="With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IF(Database!$B362=Screener!$B$5,-999999,IF(ISNUMBER(SEARCH(","&amp;Database!$A362&amp;",",","&amp;SUBSTITUTE(Screener!$D$17," ","")&amp;",")),2000000,IF(IF(OR(Screener!$B$18="All",AND(Screener!$B$18="With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IF(Database!$B363=Screener!$B$5,-999999,IF(ISNUMBER(SEARCH(","&amp;Database!$A363&amp;",",","&amp;SUBSTITUTE(Screener!$D$17," ","")&amp;",")),2000000,IF(IF(OR(Screener!$B$18="All",AND(Screener!$B$18="With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IF(Database!$B364=Screener!$B$5,-999999,IF(ISNUMBER(SEARCH(","&amp;Database!$A364&amp;",",","&amp;SUBSTITUTE(Screener!$D$17," ","")&amp;",")),2000000,IF(IF(OR(Screener!$B$18="All",AND(Screener!$B$18="With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IF(Database!$B365=Screener!$B$5,-999999,IF(ISNUMBER(SEARCH(","&amp;Database!$A365&amp;",",","&amp;SUBSTITUTE(Screener!$D$17," ","")&amp;",")),2000000,IF(IF(OR(Screener!$B$18="All",AND(Screener!$B$18="With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IF(Database!$B366=Screener!$B$5,-999999,IF(ISNUMBER(SEARCH(","&amp;Database!$A366&amp;",",","&amp;SUBSTITUTE(Screener!$D$17," ","")&amp;",")),2000000,IF(IF(OR(Screener!$B$18="All",AND(Screener!$B$18="With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IF(Database!$B367=Screener!$B$5,-999999,IF(ISNUMBER(SEARCH(","&amp;Database!$A367&amp;",",","&amp;SUBSTITUTE(Screener!$D$17," ","")&amp;",")),2000000,IF(IF(OR(Screener!$B$18="All",AND(Screener!$B$18="With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IF(Database!$B368=Screener!$B$5,-999999,IF(ISNUMBER(SEARCH(","&amp;Database!$A368&amp;",",","&amp;SUBSTITUTE(Screener!$D$17," ","")&amp;",")),2000000,IF(IF(OR(Screener!$B$18="All",AND(Screener!$B$18="With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IF(Database!$B369=Screener!$B$5,-999999,IF(ISNUMBER(SEARCH(","&amp;Database!$A369&amp;",",","&amp;SUBSTITUTE(Screener!$D$17," ","")&amp;",")),2000000,IF(IF(OR(Screener!$B$18="All",AND(Screener!$B$18="With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IF(Database!$B370=Screener!$B$5,-999999,IF(ISNUMBER(SEARCH(","&amp;Database!$A370&amp;",",","&amp;SUBSTITUTE(Screener!$D$17," ","")&amp;",")),2000000,IF(IF(OR(Screener!$B$18="All",AND(Screener!$B$18="With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IF(Database!$B371=Screener!$B$5,-999999,IF(ISNUMBER(SEARCH(","&amp;Database!$A371&amp;",",","&amp;SUBSTITUTE(Screener!$D$17," ","")&amp;",")),2000000,IF(IF(OR(Screener!$B$18="All",AND(Screener!$B$18="With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IF(Database!$B372=Screener!$B$5,-999999,IF(ISNUMBER(SEARCH(","&amp;Database!$A372&amp;",",","&amp;SUBSTITUTE(Screener!$D$17," ","")&amp;",")),2000000,IF(IF(OR(Screener!$B$18="All",AND(Screener!$B$18="With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IF(Database!$B373=Screener!$B$5,-999999,IF(ISNUMBER(SEARCH(","&amp;Database!$A373&amp;",",","&amp;SUBSTITUTE(Screener!$D$17," ","")&amp;",")),2000000,IF(IF(OR(Screener!$B$18="All",AND(Screener!$B$18="With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IF(Database!$B374=Screener!$B$5,-999999,IF(ISNUMBER(SEARCH(","&amp;Database!$A374&amp;",",","&amp;SUBSTITUTE(Screener!$D$17," ","")&amp;",")),2000000,IF(IF(OR(Screener!$B$18="All",AND(Screener!$B$18="With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IF(Database!$B375=Screener!$B$5,-999999,IF(ISNUMBER(SEARCH(","&amp;Database!$A375&amp;",",","&amp;SUBSTITUTE(Screener!$D$17," ","")&amp;",")),2000000,IF(IF(OR(Screener!$B$18="All",AND(Screener!$B$18="With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IF(Database!$B376=Screener!$B$5,-999999,IF(ISNUMBER(SEARCH(","&amp;Database!$A376&amp;",",","&amp;SUBSTITUTE(Screener!$D$17," ","")&amp;",")),2000000,IF(IF(OR(Screener!$B$18="All",AND(Screener!$B$18="With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IF(Database!$B377=Screener!$B$5,-999999,IF(ISNUMBER(SEARCH(","&amp;Database!$A377&amp;",",","&amp;SUBSTITUTE(Screener!$D$17," ","")&amp;",")),2000000,IF(IF(OR(Screener!$B$18="All",AND(Screener!$B$18="With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IF(Database!$B378=Screener!$B$5,-999999,IF(ISNUMBER(SEARCH(","&amp;Database!$A378&amp;",",","&amp;SUBSTITUTE(Screener!$D$17," ","")&amp;",")),2000000,IF(IF(OR(Screener!$B$18="All",AND(Screener!$B$18="With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IF(Database!$B379=Screener!$B$5,-999999,IF(ISNUMBER(SEARCH(","&amp;Database!$A379&amp;",",","&amp;SUBSTITUTE(Screener!$D$17," ","")&amp;",")),2000000,IF(IF(OR(Screener!$B$18="All",AND(Screener!$B$18="With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IF(Database!$B380=Screener!$B$5,-999999,IF(ISNUMBER(SEARCH(","&amp;Database!$A380&amp;",",","&amp;SUBSTITUTE(Screener!$D$17," ","")&amp;",")),2000000,IF(IF(OR(Screener!$B$18="All",AND(Screener!$B$18="With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IF(Database!$B381=Screener!$B$5,-999999,IF(ISNUMBER(SEARCH(","&amp;Database!$A381&amp;",",","&amp;SUBSTITUTE(Screener!$D$17," ","")&amp;",")),2000000,IF(IF(OR(Screener!$B$18="All",AND(Screener!$B$18="With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IF(Database!$B382=Screener!$B$5,-999999,IF(ISNUMBER(SEARCH(","&amp;Database!$A382&amp;",",","&amp;SUBSTITUTE(Screener!$D$17," ","")&amp;",")),2000000,IF(IF(OR(Screener!$B$18="All",AND(Screener!$B$18="With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IF(Database!$B383=Screener!$B$5,-999999,IF(ISNUMBER(SEARCH(","&amp;Database!$A383&amp;",",","&amp;SUBSTITUTE(Screener!$D$17," ","")&amp;",")),2000000,IF(IF(OR(Screener!$B$18="All",AND(Screener!$B$18="With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IF(Database!$B384=Screener!$B$5,-999999,IF(ISNUMBER(SEARCH(","&amp;Database!$A384&amp;",",","&amp;SUBSTITUTE(Screener!$D$17," ","")&amp;",")),2000000,IF(IF(OR(Screener!$B$18="All",AND(Screener!$B$18="With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IF(Database!$B385=Screener!$B$5,-999999,IF(ISNUMBER(SEARCH(","&amp;Database!$A385&amp;",",","&amp;SUBSTITUTE(Screener!$D$17," ","")&amp;",")),2000000,IF(IF(OR(Screener!$B$18="All",AND(Screener!$B$18="With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IF(Database!$B386=Screener!$B$5,-999999,IF(ISNUMBER(SEARCH(","&amp;Database!$A386&amp;",",","&amp;SUBSTITUTE(Screener!$D$17," ","")&amp;",")),2000000,IF(IF(OR(Screener!$B$18="All",AND(Screener!$B$18="With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IF(Database!$B387=Screener!$B$5,-999999,IF(ISNUMBER(SEARCH(","&amp;Database!$A387&amp;",",","&amp;SUBSTITUTE(Screener!$D$17," ","")&amp;",")),2000000,IF(IF(OR(Screener!$B$18="All",AND(Screener!$B$18="With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IF(Database!$B388=Screener!$B$5,-999999,IF(ISNUMBER(SEARCH(","&amp;Database!$A388&amp;",",","&amp;SUBSTITUTE(Screener!$D$17," ","")&amp;",")),2000000,IF(IF(OR(Screener!$B$18="All",AND(Screener!$B$18="With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IF(Database!$B389=Screener!$B$5,-999999,IF(ISNUMBER(SEARCH(","&amp;Database!$A389&amp;",",","&amp;SUBSTITUTE(Screener!$D$17," ","")&amp;",")),2000000,IF(IF(OR(Screener!$B$18="All",AND(Screener!$B$18="With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IF(Database!$B390=Screener!$B$5,-999999,IF(ISNUMBER(SEARCH(","&amp;Database!$A390&amp;",",","&amp;SUBSTITUTE(Screener!$D$17," ","")&amp;",")),2000000,IF(IF(OR(Screener!$B$18="All",AND(Screener!$B$18="With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IF(Database!$B391=Screener!$B$5,-999999,IF(ISNUMBER(SEARCH(","&amp;Database!$A391&amp;",",","&amp;SUBSTITUTE(Screener!$D$17," ","")&amp;",")),2000000,IF(IF(OR(Screener!$B$18="All",AND(Screener!$B$18="With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IF(Database!$B392=Screener!$B$5,-999999,IF(ISNUMBER(SEARCH(","&amp;Database!$A392&amp;",",","&amp;SUBSTITUTE(Screener!$D$17," ","")&amp;",")),2000000,IF(IF(OR(Screener!$B$18="All",AND(Screener!$B$18="With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IF(Database!$B393=Screener!$B$5,-999999,IF(ISNUMBER(SEARCH(","&amp;Database!$A393&amp;",",","&amp;SUBSTITUTE(Screener!$D$17," ","")&amp;",")),2000000,IF(IF(OR(Screener!$B$18="All",AND(Screener!$B$18="With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IF(Database!$B394=Screener!$B$5,-999999,IF(ISNUMBER(SEARCH(","&amp;Database!$A394&amp;",",","&amp;SUBSTITUTE(Screener!$D$17," ","")&amp;",")),2000000,IF(IF(OR(Screener!$B$18="All",AND(Screener!$B$18="With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IF(Database!$B395=Screener!$B$5,-999999,IF(ISNUMBER(SEARCH(","&amp;Database!$A395&amp;",",","&amp;SUBSTITUTE(Screener!$D$17," ","")&amp;",")),2000000,IF(IF(OR(Screener!$B$18="All",AND(Screener!$B$18="With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IF(Database!$B396=Screener!$B$5,-999999,IF(ISNUMBER(SEARCH(","&amp;Database!$A396&amp;",",","&amp;SUBSTITUTE(Screener!$D$17," ","")&amp;",")),2000000,IF(IF(OR(Screener!$B$18="All",AND(Screener!$B$18="With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IF(Database!$B397=Screener!$B$5,-999999,IF(ISNUMBER(SEARCH(","&amp;Database!$A397&amp;",",","&amp;SUBSTITUTE(Screener!$D$17," ","")&amp;",")),2000000,IF(IF(OR(Screener!$B$18="All",AND(Screener!$B$18="With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IF(Database!$B398=Screener!$B$5,-999999,IF(ISNUMBER(SEARCH(","&amp;Database!$A398&amp;",",","&amp;SUBSTITUTE(Screener!$D$17," ","")&amp;",")),2000000,IF(IF(OR(Screener!$B$18="All",AND(Screener!$B$18="With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IF(Database!$B399=Screener!$B$5,-999999,IF(ISNUMBER(SEARCH(","&amp;Database!$A399&amp;",",","&amp;SUBSTITUTE(Screener!$D$17," ","")&amp;",")),2000000,IF(IF(OR(Screener!$B$18="All",AND(Screener!$B$18="With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IF(Database!$B400=Screener!$B$5,-999999,IF(ISNUMBER(SEARCH(","&amp;Database!$A400&amp;",",","&amp;SUBSTITUTE(Screener!$D$17," ","")&amp;",")),2000000,IF(IF(OR(Screener!$B$18="All",AND(Screener!$B$18="With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IF(Database!$B401=Screener!$B$5,-999999,IF(ISNUMBER(SEARCH(","&amp;Database!$A401&amp;",",","&amp;SUBSTITUTE(Screener!$D$17," ","")&amp;",")),2000000,IF(IF(OR(Screener!$B$18="All",AND(Screener!$B$18="With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IF(Database!$B402=Screener!$B$5,-999999,IF(ISNUMBER(SEARCH(","&amp;Database!$A402&amp;",",","&amp;SUBSTITUTE(Screener!$D$17," ","")&amp;",")),2000000,IF(IF(OR(Screener!$B$18="All",AND(Screener!$B$18="With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IF(Database!$B403=Screener!$B$5,-999999,IF(ISNUMBER(SEARCH(","&amp;Database!$A403&amp;",",","&amp;SUBSTITUTE(Screener!$D$17," ","")&amp;",")),2000000,IF(IF(OR(Screener!$B$18="All",AND(Screener!$B$18="With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IF(Database!$B404=Screener!$B$5,-999999,IF(ISNUMBER(SEARCH(","&amp;Database!$A404&amp;",",","&amp;SUBSTITUTE(Screener!$D$17," ","")&amp;",")),2000000,IF(IF(OR(Screener!$B$18="All",AND(Screener!$B$18="With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IF(Database!$B405=Screener!$B$5,-999999,IF(ISNUMBER(SEARCH(","&amp;Database!$A405&amp;",",","&amp;SUBSTITUTE(Screener!$D$17," ","")&amp;",")),2000000,IF(IF(OR(Screener!$B$18="All",AND(Screener!$B$18="With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IF(Database!$B406=Screener!$B$5,-999999,IF(ISNUMBER(SEARCH(","&amp;Database!$A406&amp;",",","&amp;SUBSTITUTE(Screener!$D$17," ","")&amp;",")),2000000,IF(IF(OR(Screener!$B$18="All",AND(Screener!$B$18="With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IF(Database!$B407=Screener!$B$5,-999999,IF(ISNUMBER(SEARCH(","&amp;Database!$A407&amp;",",","&amp;SUBSTITUTE(Screener!$D$17," ","")&amp;",")),2000000,IF(IF(OR(Screener!$B$18="All",AND(Screener!$B$18="With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IF(Database!$B408=Screener!$B$5,-999999,IF(ISNUMBER(SEARCH(","&amp;Database!$A408&amp;",",","&amp;SUBSTITUTE(Screener!$D$17," ","")&amp;",")),2000000,IF(IF(OR(Screener!$B$18="All",AND(Screener!$B$18="With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IF(Database!$B409=Screener!$B$5,-999999,IF(ISNUMBER(SEARCH(","&amp;Database!$A409&amp;",",","&amp;SUBSTITUTE(Screener!$D$17," ","")&amp;",")),2000000,IF(IF(OR(Screener!$B$18="All",AND(Screener!$B$18="With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IF(Database!$B410=Screener!$B$5,-999999,IF(ISNUMBER(SEARCH(","&amp;Database!$A410&amp;",",","&amp;SUBSTITUTE(Screener!$D$17," ","")&amp;",")),2000000,IF(IF(OR(Screener!$B$18="All",AND(Screener!$B$18="With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IF(Database!$B411=Screener!$B$5,-999999,IF(ISNUMBER(SEARCH(","&amp;Database!$A411&amp;",",","&amp;SUBSTITUTE(Screener!$D$17," ","")&amp;",")),2000000,IF(IF(OR(Screener!$B$18="All",AND(Screener!$B$18="With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IF(Database!$B412=Screener!$B$5,-999999,IF(ISNUMBER(SEARCH(","&amp;Database!$A412&amp;",",","&amp;SUBSTITUTE(Screener!$D$17," ","")&amp;",")),2000000,IF(IF(OR(Screener!$B$18="All",AND(Screener!$B$18="With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IF(Database!$B413=Screener!$B$5,-999999,IF(ISNUMBER(SEARCH(","&amp;Database!$A413&amp;",",","&amp;SUBSTITUTE(Screener!$D$17," ","")&amp;",")),2000000,IF(IF(OR(Screener!$B$18="All",AND(Screener!$B$18="With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IF(Database!$B414=Screener!$B$5,-999999,IF(ISNUMBER(SEARCH(","&amp;Database!$A414&amp;",",","&amp;SUBSTITUTE(Screener!$D$17," ","")&amp;",")),2000000,IF(IF(OR(Screener!$B$18="All",AND(Screener!$B$18="With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IF(Database!$B415=Screener!$B$5,-999999,IF(ISNUMBER(SEARCH(","&amp;Database!$A415&amp;",",","&amp;SUBSTITUTE(Screener!$D$17," ","")&amp;",")),2000000,IF(IF(OR(Screener!$B$18="All",AND(Screener!$B$18="With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IF(Database!$B416=Screener!$B$5,-999999,IF(ISNUMBER(SEARCH(","&amp;Database!$A416&amp;",",","&amp;SUBSTITUTE(Screener!$D$17," ","")&amp;",")),2000000,IF(IF(OR(Screener!$B$18="All",AND(Screener!$B$18="With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IF(Database!$B417=Screener!$B$5,-999999,IF(ISNUMBER(SEARCH(","&amp;Database!$A417&amp;",",","&amp;SUBSTITUTE(Screener!$D$17," ","")&amp;",")),2000000,IF(IF(OR(Screener!$B$18="All",AND(Screener!$B$18="With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IF(Database!$B418=Screener!$B$5,-999999,IF(ISNUMBER(SEARCH(","&amp;Database!$A418&amp;",",","&amp;SUBSTITUTE(Screener!$D$17," ","")&amp;",")),2000000,IF(IF(OR(Screener!$B$18="All",AND(Screener!$B$18="With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IF(Database!$B419=Screener!$B$5,-999999,IF(ISNUMBER(SEARCH(","&amp;Database!$A419&amp;",",","&amp;SUBSTITUTE(Screener!$D$17," ","")&amp;",")),2000000,IF(IF(OR(Screener!$B$18="All",AND(Screener!$B$18="With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IF(Database!$B420=Screener!$B$5,-999999,IF(ISNUMBER(SEARCH(","&amp;Database!$A420&amp;",",","&amp;SUBSTITUTE(Screener!$D$17," ","")&amp;",")),2000000,IF(IF(OR(Screener!$B$18="All",AND(Screener!$B$18="With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IF(Database!$B421=Screener!$B$5,-999999,IF(ISNUMBER(SEARCH(","&amp;Database!$A421&amp;",",","&amp;SUBSTITUTE(Screener!$D$17," ","")&amp;",")),2000000,IF(IF(OR(Screener!$B$18="All",AND(Screener!$B$18="With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IF(Database!$B422=Screener!$B$5,-999999,IF(ISNUMBER(SEARCH(","&amp;Database!$A422&amp;",",","&amp;SUBSTITUTE(Screener!$D$17," ","")&amp;",")),2000000,IF(IF(OR(Screener!$B$18="All",AND(Screener!$B$18="With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IF(Database!$B423=Screener!$B$5,-999999,IF(ISNUMBER(SEARCH(","&amp;Database!$A423&amp;",",","&amp;SUBSTITUTE(Screener!$D$17," ","")&amp;",")),2000000,IF(IF(OR(Screener!$B$18="All",AND(Screener!$B$18="With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IF(Database!$B424=Screener!$B$5,-999999,IF(ISNUMBER(SEARCH(","&amp;Database!$A424&amp;",",","&amp;SUBSTITUTE(Screener!$D$17," ","")&amp;",")),2000000,IF(IF(OR(Screener!$B$18="All",AND(Screener!$B$18="With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IF(Database!$B425=Screener!$B$5,-999999,IF(ISNUMBER(SEARCH(","&amp;Database!$A425&amp;",",","&amp;SUBSTITUTE(Screener!$D$17," ","")&amp;",")),2000000,IF(IF(OR(Screener!$B$18="All",AND(Screener!$B$18="With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IF(Database!$B426=Screener!$B$5,-999999,IF(ISNUMBER(SEARCH(","&amp;Database!$A426&amp;",",","&amp;SUBSTITUTE(Screener!$D$17," ","")&amp;",")),2000000,IF(IF(OR(Screener!$B$18="All",AND(Screener!$B$18="With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IF(Database!$B427=Screener!$B$5,-999999,IF(ISNUMBER(SEARCH(","&amp;Database!$A427&amp;",",","&amp;SUBSTITUTE(Screener!$D$17," ","")&amp;",")),2000000,IF(IF(OR(Screener!$B$18="All",AND(Screener!$B$18="With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IF(Database!$B428=Screener!$B$5,-999999,IF(ISNUMBER(SEARCH(","&amp;Database!$A428&amp;",",","&amp;SUBSTITUTE(Screener!$D$17," ","")&amp;",")),2000000,IF(IF(OR(Screener!$B$18="All",AND(Screener!$B$18="With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IF(Database!$B429=Screener!$B$5,-999999,IF(ISNUMBER(SEARCH(","&amp;Database!$A429&amp;",",","&amp;SUBSTITUTE(Screener!$D$17," ","")&amp;",")),2000000,IF(IF(OR(Screener!$B$18="All",AND(Screener!$B$18="With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IF(Database!$B430=Screener!$B$5,-999999,IF(ISNUMBER(SEARCH(","&amp;Database!$A430&amp;",",","&amp;SUBSTITUTE(Screener!$D$17," ","")&amp;",")),2000000,IF(IF(OR(Screener!$B$18="All",AND(Screener!$B$18="With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IF(Database!$B431=Screener!$B$5,-999999,IF(ISNUMBER(SEARCH(","&amp;Database!$A431&amp;",",","&amp;SUBSTITUTE(Screener!$D$17," ","")&amp;",")),2000000,IF(IF(OR(Screener!$B$18="All",AND(Screener!$B$18="With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IF(Database!$B432=Screener!$B$5,-999999,IF(ISNUMBER(SEARCH(","&amp;Database!$A432&amp;",",","&amp;SUBSTITUTE(Screener!$D$17," ","")&amp;",")),2000000,IF(IF(OR(Screener!$B$18="All",AND(Screener!$B$18="With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IF(Database!$B433=Screener!$B$5,-999999,IF(ISNUMBER(SEARCH(","&amp;Database!$A433&amp;",",","&amp;SUBSTITUTE(Screener!$D$17," ","")&amp;",")),2000000,IF(IF(OR(Screener!$B$18="All",AND(Screener!$B$18="With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IF(Database!$B434=Screener!$B$5,-999999,IF(ISNUMBER(SEARCH(","&amp;Database!$A434&amp;",",","&amp;SUBSTITUTE(Screener!$D$17," ","")&amp;",")),2000000,IF(IF(OR(Screener!$B$18="All",AND(Screener!$B$18="With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IF(Database!$B435=Screener!$B$5,-999999,IF(ISNUMBER(SEARCH(","&amp;Database!$A435&amp;",",","&amp;SUBSTITUTE(Screener!$D$17," ","")&amp;",")),2000000,IF(IF(OR(Screener!$B$18="All",AND(Screener!$B$18="With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IF(Database!$B436=Screener!$B$5,-999999,IF(ISNUMBER(SEARCH(","&amp;Database!$A436&amp;",",","&amp;SUBSTITUTE(Screener!$D$17," ","")&amp;",")),2000000,IF(IF(OR(Screener!$B$18="All",AND(Screener!$B$18="With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IF(Database!$B437=Screener!$B$5,-999999,IF(ISNUMBER(SEARCH(","&amp;Database!$A437&amp;",",","&amp;SUBSTITUTE(Screener!$D$17," ","")&amp;",")),2000000,IF(IF(OR(Screener!$B$18="All",AND(Screener!$B$18="With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IF(Database!$B438=Screener!$B$5,-999999,IF(ISNUMBER(SEARCH(","&amp;Database!$A438&amp;",",","&amp;SUBSTITUTE(Screener!$D$17," ","")&amp;",")),2000000,IF(IF(OR(Screener!$B$18="All",AND(Screener!$B$18="With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IF(Database!$B439=Screener!$B$5,-999999,IF(ISNUMBER(SEARCH(","&amp;Database!$A439&amp;",",","&amp;SUBSTITUTE(Screener!$D$17," ","")&amp;",")),2000000,IF(IF(OR(Screener!$B$18="All",AND(Screener!$B$18="With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IF(Database!$B440=Screener!$B$5,-999999,IF(ISNUMBER(SEARCH(","&amp;Database!$A440&amp;",",","&amp;SUBSTITUTE(Screener!$D$17," ","")&amp;",")),2000000,IF(IF(OR(Screener!$B$18="All",AND(Screener!$B$18="With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IF(Database!$B441=Screener!$B$5,-999999,IF(ISNUMBER(SEARCH(","&amp;Database!$A441&amp;",",","&amp;SUBSTITUTE(Screener!$D$17," ","")&amp;",")),2000000,IF(IF(OR(Screener!$B$18="All",AND(Screener!$B$18="With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IF(Database!$B442=Screener!$B$5,-999999,IF(ISNUMBER(SEARCH(","&amp;Database!$A442&amp;",",","&amp;SUBSTITUTE(Screener!$D$17," ","")&amp;",")),2000000,IF(IF(OR(Screener!$B$18="All",AND(Screener!$B$18="With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IF(Database!$B443=Screener!$B$5,-999999,IF(ISNUMBER(SEARCH(","&amp;Database!$A443&amp;",",","&amp;SUBSTITUTE(Screener!$D$17," ","")&amp;",")),2000000,IF(IF(OR(Screener!$B$18="All",AND(Screener!$B$18="With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IF(Database!$B444=Screener!$B$5,-999999,IF(ISNUMBER(SEARCH(","&amp;Database!$A444&amp;",",","&amp;SUBSTITUTE(Screener!$D$17," ","")&amp;",")),2000000,IF(IF(OR(Screener!$B$18="All",AND(Screener!$B$18="With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IF(Database!$B445=Screener!$B$5,-999999,IF(ISNUMBER(SEARCH(","&amp;Database!$A445&amp;",",","&amp;SUBSTITUTE(Screener!$D$17," ","")&amp;",")),2000000,IF(IF(OR(Screener!$B$18="All",AND(Screener!$B$18="With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IF(Database!$B446=Screener!$B$5,-999999,IF(ISNUMBER(SEARCH(","&amp;Database!$A446&amp;",",","&amp;SUBSTITUTE(Screener!$D$17," ","")&amp;",")),2000000,IF(IF(OR(Screener!$B$18="All",AND(Screener!$B$18="With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IF(Database!$B447=Screener!$B$5,-999999,IF(ISNUMBER(SEARCH(","&amp;Database!$A447&amp;",",","&amp;SUBSTITUTE(Screener!$D$17," ","")&amp;",")),2000000,IF(IF(OR(Screener!$B$18="All",AND(Screener!$B$18="With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IF(Database!$B448=Screener!$B$5,-999999,IF(ISNUMBER(SEARCH(","&amp;Database!$A448&amp;",",","&amp;SUBSTITUTE(Screener!$D$17," ","")&amp;",")),2000000,IF(IF(OR(Screener!$B$18="All",AND(Screener!$B$18="With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IF(Database!$B449=Screener!$B$5,-999999,IF(ISNUMBER(SEARCH(","&amp;Database!$A449&amp;",",","&amp;SUBSTITUTE(Screener!$D$17," ","")&amp;",")),2000000,IF(IF(OR(Screener!$B$18="All",AND(Screener!$B$18="With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IF(Database!$B450=Screener!$B$5,-999999,IF(ISNUMBER(SEARCH(","&amp;Database!$A450&amp;",",","&amp;SUBSTITUTE(Screener!$D$17," ","")&amp;",")),2000000,IF(IF(OR(Screener!$B$18="All",AND(Screener!$B$18="With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IF(Database!$B451=Screener!$B$5,-999999,IF(ISNUMBER(SEARCH(","&amp;Database!$A451&amp;",",","&amp;SUBSTITUTE(Screener!$D$17," ","")&amp;",")),2000000,IF(IF(OR(Screener!$B$18="All",AND(Screener!$B$18="With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IF(Database!$B452=Screener!$B$5,-999999,IF(ISNUMBER(SEARCH(","&amp;Database!$A452&amp;",",","&amp;SUBSTITUTE(Screener!$D$17," ","")&amp;",")),2000000,IF(IF(OR(Screener!$B$18="All",AND(Screener!$B$18="With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IF(Database!$B453=Screener!$B$5,-999999,IF(ISNUMBER(SEARCH(","&amp;Database!$A453&amp;",",","&amp;SUBSTITUTE(Screener!$D$17," ","")&amp;",")),2000000,IF(IF(OR(Screener!$B$18="All",AND(Screener!$B$18="With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IF(Database!$B454=Screener!$B$5,-999999,IF(ISNUMBER(SEARCH(","&amp;Database!$A454&amp;",",","&amp;SUBSTITUTE(Screener!$D$17," ","")&amp;",")),2000000,IF(IF(OR(Screener!$B$18="All",AND(Screener!$B$18="With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IF(Database!$B455=Screener!$B$5,-999999,IF(ISNUMBER(SEARCH(","&amp;Database!$A455&amp;",",","&amp;SUBSTITUTE(Screener!$D$17," ","")&amp;",")),2000000,IF(IF(OR(Screener!$B$18="All",AND(Screener!$B$18="With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IF(Database!$B456=Screener!$B$5,-999999,IF(ISNUMBER(SEARCH(","&amp;Database!$A456&amp;",",","&amp;SUBSTITUTE(Screener!$D$17," ","")&amp;",")),2000000,IF(IF(OR(Screener!$B$18="All",AND(Screener!$B$18="With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IF(Database!$B457=Screener!$B$5,-999999,IF(ISNUMBER(SEARCH(","&amp;Database!$A457&amp;",",","&amp;SUBSTITUTE(Screener!$D$17," ","")&amp;",")),2000000,IF(IF(OR(Screener!$B$18="All",AND(Screener!$B$18="With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IF(Database!$B458=Screener!$B$5,-999999,IF(ISNUMBER(SEARCH(","&amp;Database!$A458&amp;",",","&amp;SUBSTITUTE(Screener!$D$17," ","")&amp;",")),2000000,IF(IF(OR(Screener!$B$18="All",AND(Screener!$B$18="With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IF(Database!$B459=Screener!$B$5,-999999,IF(ISNUMBER(SEARCH(","&amp;Database!$A459&amp;",",","&amp;SUBSTITUTE(Screener!$D$17," ","")&amp;",")),2000000,IF(IF(OR(Screener!$B$18="All",AND(Screener!$B$18="With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IF(Database!$B460=Screener!$B$5,-999999,IF(ISNUMBER(SEARCH(","&amp;Database!$A460&amp;",",","&amp;SUBSTITUTE(Screener!$D$17," ","")&amp;",")),2000000,IF(IF(OR(Screener!$B$18="All",AND(Screener!$B$18="With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IF(Database!$B461=Screener!$B$5,-999999,IF(ISNUMBER(SEARCH(","&amp;Database!$A461&amp;",",","&amp;SUBSTITUTE(Screener!$D$17," ","")&amp;",")),2000000,IF(IF(OR(Screener!$B$18="All",AND(Screener!$B$18="With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IF(Database!$B462=Screener!$B$5,-999999,IF(ISNUMBER(SEARCH(","&amp;Database!$A462&amp;",",","&amp;SUBSTITUTE(Screener!$D$17," ","")&amp;",")),2000000,IF(IF(OR(Screener!$B$18="All",AND(Screener!$B$18="With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IF(Database!$B463=Screener!$B$5,-999999,IF(ISNUMBER(SEARCH(","&amp;Database!$A463&amp;",",","&amp;SUBSTITUTE(Screener!$D$17," ","")&amp;",")),2000000,IF(IF(OR(Screener!$B$18="All",AND(Screener!$B$18="With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IF(Database!$B464=Screener!$B$5,-999999,IF(ISNUMBER(SEARCH(","&amp;Database!$A464&amp;",",","&amp;SUBSTITUTE(Screener!$D$17," ","")&amp;",")),2000000,IF(IF(OR(Screener!$B$18="All",AND(Screener!$B$18="With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IF(Database!$B465=Screener!$B$5,-999999,IF(ISNUMBER(SEARCH(","&amp;Database!$A465&amp;",",","&amp;SUBSTITUTE(Screener!$D$17," ","")&amp;",")),2000000,IF(IF(OR(Screener!$B$18="All",AND(Screener!$B$18="With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IF(Database!$B466=Screener!$B$5,-999999,IF(ISNUMBER(SEARCH(","&amp;Database!$A466&amp;",",","&amp;SUBSTITUTE(Screener!$D$17," ","")&amp;",")),2000000,IF(IF(OR(Screener!$B$18="All",AND(Screener!$B$18="With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IF(Database!$B467=Screener!$B$5,-999999,IF(ISNUMBER(SEARCH(","&amp;Database!$A467&amp;",",","&amp;SUBSTITUTE(Screener!$D$17," ","")&amp;",")),2000000,IF(IF(OR(Screener!$B$18="All",AND(Screener!$B$18="With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IF(Database!$B468=Screener!$B$5,-999999,IF(ISNUMBER(SEARCH(","&amp;Database!$A468&amp;",",","&amp;SUBSTITUTE(Screener!$D$17," ","")&amp;",")),2000000,IF(IF(OR(Screener!$B$18="All",AND(Screener!$B$18="With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IF(Database!$B469=Screener!$B$5,-999999,IF(ISNUMBER(SEARCH(","&amp;Database!$A469&amp;",",","&amp;SUBSTITUTE(Screener!$D$17," ","")&amp;",")),2000000,IF(IF(OR(Screener!$B$18="All",AND(Screener!$B$18="With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IF(Database!$B470=Screener!$B$5,-999999,IF(ISNUMBER(SEARCH(","&amp;Database!$A470&amp;",",","&amp;SUBSTITUTE(Screener!$D$17," ","")&amp;",")),2000000,IF(IF(OR(Screener!$B$18="All",AND(Screener!$B$18="With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IF(Database!$B471=Screener!$B$5,-999999,IF(ISNUMBER(SEARCH(","&amp;Database!$A471&amp;",",","&amp;SUBSTITUTE(Screener!$D$17," ","")&amp;",")),2000000,IF(IF(OR(Screener!$B$18="All",AND(Screener!$B$18="With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IF(Database!$B472=Screener!$B$5,-999999,IF(ISNUMBER(SEARCH(","&amp;Database!$A472&amp;",",","&amp;SUBSTITUTE(Screener!$D$17," ","")&amp;",")),2000000,IF(IF(OR(Screener!$B$18="All",AND(Screener!$B$18="With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IF(Database!$B473=Screener!$B$5,-999999,IF(ISNUMBER(SEARCH(","&amp;Database!$A473&amp;",",","&amp;SUBSTITUTE(Screener!$D$17," ","")&amp;",")),2000000,IF(IF(OR(Screener!$B$18="All",AND(Screener!$B$18="With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IF(Database!$B474=Screener!$B$5,-999999,IF(ISNUMBER(SEARCH(","&amp;Database!$A474&amp;",",","&amp;SUBSTITUTE(Screener!$D$17," ","")&amp;",")),2000000,IF(IF(OR(Screener!$B$18="All",AND(Screener!$B$18="With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IF(Database!$B475=Screener!$B$5,-999999,IF(ISNUMBER(SEARCH(","&amp;Database!$A475&amp;",",","&amp;SUBSTITUTE(Screener!$D$17," ","")&amp;",")),2000000,IF(IF(OR(Screener!$B$18="All",AND(Screener!$B$18="With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IF(Database!$B476=Screener!$B$5,-999999,IF(ISNUMBER(SEARCH(","&amp;Database!$A476&amp;",",","&amp;SUBSTITUTE(Screener!$D$17," ","")&amp;",")),2000000,IF(IF(OR(Screener!$B$18="All",AND(Screener!$B$18="With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IF(Database!$B477=Screener!$B$5,-999999,IF(ISNUMBER(SEARCH(","&amp;Database!$A477&amp;",",","&amp;SUBSTITUTE(Screener!$D$17," ","")&amp;",")),2000000,IF(IF(OR(Screener!$B$18="All",AND(Screener!$B$18="With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IF(Database!$B478=Screener!$B$5,-999999,IF(ISNUMBER(SEARCH(","&amp;Database!$A478&amp;",",","&amp;SUBSTITUTE(Screener!$D$17," ","")&amp;",")),2000000,IF(IF(OR(Screener!$B$18="All",AND(Screener!$B$18="With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IF(Database!$B479=Screener!$B$5,-999999,IF(ISNUMBER(SEARCH(","&amp;Database!$A479&amp;",",","&amp;SUBSTITUTE(Screener!$D$17," ","")&amp;",")),2000000,IF(IF(OR(Screener!$B$18="All",AND(Screener!$B$18="With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IF(Database!$B480=Screener!$B$5,-999999,IF(ISNUMBER(SEARCH(","&amp;Database!$A480&amp;",",","&amp;SUBSTITUTE(Screener!$D$17," ","")&amp;",")),2000000,IF(IF(OR(Screener!$B$18="All",AND(Screener!$B$18="With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IF(Database!$B481=Screener!$B$5,-999999,IF(ISNUMBER(SEARCH(","&amp;Database!$A481&amp;",",","&amp;SUBSTITUTE(Screener!$D$17," ","")&amp;",")),2000000,IF(IF(OR(Screener!$B$18="All",AND(Screener!$B$18="With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IF(Database!$B482=Screener!$B$5,-999999,IF(ISNUMBER(SEARCH(","&amp;Database!$A482&amp;",",","&amp;SUBSTITUTE(Screener!$D$17," ","")&amp;",")),2000000,IF(IF(OR(Screener!$B$18="All",AND(Screener!$B$18="With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IF(Database!$B483=Screener!$B$5,-999999,IF(ISNUMBER(SEARCH(","&amp;Database!$A483&amp;",",","&amp;SUBSTITUTE(Screener!$D$17," ","")&amp;",")),2000000,IF(IF(OR(Screener!$B$18="All",AND(Screener!$B$18="With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IF(Database!$B484=Screener!$B$5,-999999,IF(ISNUMBER(SEARCH(","&amp;Database!$A484&amp;",",","&amp;SUBSTITUTE(Screener!$D$17," ","")&amp;",")),2000000,IF(IF(OR(Screener!$B$18="All",AND(Screener!$B$18="With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IF(Database!$B485=Screener!$B$5,-999999,IF(ISNUMBER(SEARCH(","&amp;Database!$A485&amp;",",","&amp;SUBSTITUTE(Screener!$D$17," ","")&amp;",")),2000000,IF(IF(OR(Screener!$B$18="All",AND(Screener!$B$18="With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IF(Database!$B486=Screener!$B$5,-999999,IF(ISNUMBER(SEARCH(","&amp;Database!$A486&amp;",",","&amp;SUBSTITUTE(Screener!$D$17," ","")&amp;",")),2000000,IF(IF(OR(Screener!$B$18="All",AND(Screener!$B$18="With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IF(Database!$B487=Screener!$B$5,-999999,IF(ISNUMBER(SEARCH(","&amp;Database!$A487&amp;",",","&amp;SUBSTITUTE(Screener!$D$17," ","")&amp;",")),2000000,IF(IF(OR(Screener!$B$18="All",AND(Screener!$B$18="With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IF(Database!$B488=Screener!$B$5,-999999,IF(ISNUMBER(SEARCH(","&amp;Database!$A488&amp;",",","&amp;SUBSTITUTE(Screener!$D$17," ","")&amp;",")),2000000,IF(IF(OR(Screener!$B$18="All",AND(Screener!$B$18="With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IF(Database!$B489=Screener!$B$5,-999999,IF(ISNUMBER(SEARCH(","&amp;Database!$A489&amp;",",","&amp;SUBSTITUTE(Screener!$D$17," ","")&amp;",")),2000000,IF(IF(OR(Screener!$B$18="All",AND(Screener!$B$18="With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IF(Database!$B490=Screener!$B$5,-999999,IF(ISNUMBER(SEARCH(","&amp;Database!$A490&amp;",",","&amp;SUBSTITUTE(Screener!$D$17," ","")&amp;",")),2000000,IF(IF(OR(Screener!$B$18="All",AND(Screener!$B$18="With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IF(Database!$B491=Screener!$B$5,-999999,IF(ISNUMBER(SEARCH(","&amp;Database!$A491&amp;",",","&amp;SUBSTITUTE(Screener!$D$17," ","")&amp;",")),2000000,IF(IF(OR(Screener!$B$18="All",AND(Screener!$B$18="With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IF(Database!$B492=Screener!$B$5,-999999,IF(ISNUMBER(SEARCH(","&amp;Database!$A492&amp;",",","&amp;SUBSTITUTE(Screener!$D$17," ","")&amp;",")),2000000,IF(IF(OR(Screener!$B$18="All",AND(Screener!$B$18="With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IF(Database!$B493=Screener!$B$5,-999999,IF(ISNUMBER(SEARCH(","&amp;Database!$A493&amp;",",","&amp;SUBSTITUTE(Screener!$D$17," ","")&amp;",")),2000000,IF(IF(OR(Screener!$B$18="All",AND(Screener!$B$18="With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IF(Database!$B494=Screener!$B$5,-999999,IF(ISNUMBER(SEARCH(","&amp;Database!$A494&amp;",",","&amp;SUBSTITUTE(Screener!$D$17," ","")&amp;",")),2000000,IF(IF(OR(Screener!$B$18="All",AND(Screener!$B$18="With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IF(Database!$B495=Screener!$B$5,-999999,IF(ISNUMBER(SEARCH(","&amp;Database!$A495&amp;",",","&amp;SUBSTITUTE(Screener!$D$17," ","")&amp;",")),2000000,IF(IF(OR(Screener!$B$18="All",AND(Screener!$B$18="With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IF(Database!$B496=Screener!$B$5,-999999,IF(ISNUMBER(SEARCH(","&amp;Database!$A496&amp;",",","&amp;SUBSTITUTE(Screener!$D$17," ","")&amp;",")),2000000,IF(IF(OR(Screener!$B$18="All",AND(Screener!$B$18="With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IF(Database!$B497=Screener!$B$5,-999999,IF(ISNUMBER(SEARCH(","&amp;Database!$A497&amp;",",","&amp;SUBSTITUTE(Screener!$D$17," ","")&amp;",")),2000000,IF(IF(OR(Screener!$B$18="All",AND(Screener!$B$18="With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IF(Database!$B498=Screener!$B$5,-999999,IF(ISNUMBER(SEARCH(","&amp;Database!$A498&amp;",",","&amp;SUBSTITUTE(Screener!$D$17," ","")&amp;",")),2000000,IF(IF(OR(Screener!$B$18="All",AND(Screener!$B$18="With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IF(Database!$B499=Screener!$B$5,-999999,IF(ISNUMBER(SEARCH(","&amp;Database!$A499&amp;",",","&amp;SUBSTITUTE(Screener!$D$17," ","")&amp;",")),2000000,IF(IF(OR(Screener!$B$18="All",AND(Screener!$B$18="With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IF(Database!$B500=Screener!$B$5,-999999,IF(ISNUMBER(SEARCH(","&amp;Database!$A500&amp;",",","&amp;SUBSTITUTE(Screener!$D$17," ","")&amp;",")),2000000,IF(IF(OR(Screener!$B$18="All",AND(Screener!$B$18="With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IF(Database!$B501=Screener!$B$5,-999999,IF(ISNUMBER(SEARCH(","&amp;Database!$A501&amp;",",","&amp;SUBSTITUTE(Screener!$D$17," ","")&amp;",")),2000000,IF(IF(OR(Screener!$B$18="All",AND(Screener!$B$18="With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IF(Database!$B502=Screener!$B$5,-999999,IF(ISNUMBER(SEARCH(","&amp;Database!$A502&amp;",",","&amp;SUBSTITUTE(Screener!$D$17," ","")&amp;",")),2000000,IF(IF(OR(Screener!$B$18="All",AND(Screener!$B$18="With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IF(Database!$B503=Screener!$B$5,-999999,IF(ISNUMBER(SEARCH(","&amp;Database!$A503&amp;",",","&amp;SUBSTITUTE(Screener!$D$17," ","")&amp;",")),2000000,IF(IF(OR(Screener!$B$18="All",AND(Screener!$B$18="With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IF(Database!$B504=Screener!$B$5,-999999,IF(ISNUMBER(SEARCH(","&amp;Database!$A504&amp;",",","&amp;SUBSTITUTE(Screener!$D$17," ","")&amp;",")),2000000,IF(IF(OR(Screener!$B$18="All",AND(Screener!$B$18="With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IF(Database!$B505=Screener!$B$5,-999999,IF(ISNUMBER(SEARCH(","&amp;Database!$A505&amp;",",","&amp;SUBSTITUTE(Screener!$D$17," ","")&amp;",")),2000000,IF(IF(OR(Screener!$B$18="All",AND(Screener!$B$18="With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IF(Database!$B506=Screener!$B$5,-999999,IF(ISNUMBER(SEARCH(","&amp;Database!$A506&amp;",",","&amp;SUBSTITUTE(Screener!$D$17," ","")&amp;",")),2000000,IF(IF(OR(Screener!$B$18="All",AND(Screener!$B$18="With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IF(Database!$B507=Screener!$B$5,-999999,IF(ISNUMBER(SEARCH(","&amp;Database!$A507&amp;",",","&amp;SUBSTITUTE(Screener!$D$17," ","")&amp;",")),2000000,IF(IF(OR(Screener!$B$18="All",AND(Screener!$B$18="With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IF(Database!$B508=Screener!$B$5,-999999,IF(ISNUMBER(SEARCH(","&amp;Database!$A508&amp;",",","&amp;SUBSTITUTE(Screener!$D$17," ","")&amp;",")),2000000,IF(IF(OR(Screener!$B$18="All",AND(Screener!$B$18="With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IF(Database!$B509=Screener!$B$5,-999999,IF(ISNUMBER(SEARCH(","&amp;Database!$A509&amp;",",","&amp;SUBSTITUTE(Screener!$D$17," ","")&amp;",")),2000000,IF(IF(OR(Screener!$B$18="All",AND(Screener!$B$18="With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IF(Database!$B510=Screener!$B$5,-999999,IF(ISNUMBER(SEARCH(","&amp;Database!$A510&amp;",",","&amp;SUBSTITUTE(Screener!$D$17," ","")&amp;",")),2000000,IF(IF(OR(Screener!$B$18="All",AND(Screener!$B$18="With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IF(Database!$B511=Screener!$B$5,-999999,IF(ISNUMBER(SEARCH(","&amp;Database!$A511&amp;",",","&amp;SUBSTITUTE(Screener!$D$17," ","")&amp;",")),2000000,IF(IF(OR(Screener!$B$18="All",AND(Screener!$B$18="With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IF(Database!$B512=Screener!$B$5,-999999,IF(ISNUMBER(SEARCH(","&amp;Database!$A512&amp;",",","&amp;SUBSTITUTE(Screener!$D$17," ","")&amp;",")),2000000,IF(IF(OR(Screener!$B$18="All",AND(Screener!$B$18="With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IF(Database!$B513=Screener!$B$5,-999999,IF(ISNUMBER(SEARCH(","&amp;Database!$A513&amp;",",","&amp;SUBSTITUTE(Screener!$D$17," ","")&amp;",")),2000000,IF(IF(OR(Screener!$B$18="All",AND(Screener!$B$18="With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IF(Database!$B514=Screener!$B$5,-999999,IF(ISNUMBER(SEARCH(","&amp;Database!$A514&amp;",",","&amp;SUBSTITUTE(Screener!$D$17," ","")&amp;",")),2000000,IF(IF(OR(Screener!$B$18="All",AND(Screener!$B$18="With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IF(Database!$B515=Screener!$B$5,-999999,IF(ISNUMBER(SEARCH(","&amp;Database!$A515&amp;",",","&amp;SUBSTITUTE(Screener!$D$17," ","")&amp;",")),2000000,IF(IF(OR(Screener!$B$18="All",AND(Screener!$B$18="With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C7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2026-08-26</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Eff. free float</t>
        </is>
      </c>
      <c r="B9" s="63" t="inlineStr">
        <is>
          <t>deal size x (1 - cornerstone %) / market cap - the slice of the company that can actually trade on day 1 (cornerstones are locked 6 months).</t>
        </is>
      </c>
    </row>
    <row r="10">
      <c r="A10" s="14" t="inlineStr">
        <is>
          <t>Analogs</t>
        </is>
      </c>
      <c r="B10" s="63" t="inlineStr">
        <is>
          <t>the raw subscription-bucket history behind the Screener read-out.</t>
        </is>
      </c>
    </row>
    <row r="11">
      <c r="A11" s="14" t="inlineStr">
        <is>
          <t>Green / amber</t>
        </is>
      </c>
      <c r="B11" s="63" t="inlineStr">
        <is>
          <t>cross-checked / single-source or judgment.</t>
        </is>
      </c>
    </row>
    <row r="12">
      <c r="A12" s="14" t="inlineStr">
        <is>
          <t>Money</t>
        </is>
      </c>
      <c r="B12" s="63" t="inlineStr">
        <is>
          <t>HK$ millions. Day-1 + = closed above offer. A premium + = A trades ABOVE H.</t>
        </is>
      </c>
    </row>
    <row r="13">
      <c r="A13" s="14" t="inlineStr">
        <is>
          <t>Subscription</t>
        </is>
      </c>
      <c r="B13" s="63" t="inlineStr">
        <is>
          <t>filing basis: 10x = ten times the shares on offer. Bloomberg CP036/CP037 override the scrape wherever the desk paste carries them.</t>
        </is>
      </c>
    </row>
    <row r="14">
      <c r="A14" s="14" t="inlineStr">
        <is>
          <t>Ex-pop columns</t>
        </is>
      </c>
      <c r="B14"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&amp; P/S basis</t>
        </is>
      </c>
      <c r="B15"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6">
      <c r="A16" s="14" t="inlineStr">
        <is>
          <t>P/E, two readings</t>
        </is>
      </c>
      <c r="B16" s="63"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7">
      <c r="A17" s="14" t="inlineStr">
        <is>
          <t>P/S now (Screener)</t>
        </is>
      </c>
      <c r="B17" s="63" t="inlineStr">
        <is>
          <t>live BDP PX_TO_SALES_RATIO beside P/E now — resolves on the terminal; off-terminal it falls back to the at-IPO P/S.</t>
        </is>
      </c>
    </row>
    <row r="18">
      <c r="A18" s="14" t="inlineStr">
        <is>
          <t>Force-include (D17)</t>
        </is>
      </c>
      <c r="B18" s="63" t="inlineStr">
        <is>
          <t>type codes comma-separated (e.g. 9888, 2015) and those deals pin to the top of the comps, past every filter. Same control exists in the dashboard's Screener.</t>
        </is>
      </c>
    </row>
    <row r="19">
      <c r="A19" s="63" t="inlineStr"/>
      <c r="B19" s="63" t="inlineStr"/>
    </row>
    <row r="20">
      <c r="A20" s="14" t="inlineStr">
        <is>
          <t>Not captured</t>
        </is>
      </c>
      <c r="B20" s="63" t="inlineStr">
        <is>
          <t>underwriting fee splits (never public per deal).</t>
        </is>
      </c>
    </row>
    <row r="21">
      <c r="A21" s="14" t="inlineStr">
        <is>
          <t>Judgment call</t>
        </is>
      </c>
      <c r="B21" s="63" t="inlineStr">
        <is>
          <t>sector and subsector are analyst-assigned, shown amber.</t>
        </is>
      </c>
    </row>
    <row r="22"/>
    <row r="23">
      <c r="A23" s="14" t="inlineStr">
        <is>
          <t>SCREENER WEIGHTS (edit to re-tune)</t>
        </is>
      </c>
    </row>
    <row r="24">
      <c r="A24" s="14" t="inlineStr">
        <is>
          <t>W_SUB</t>
        </is>
      </c>
      <c r="B24" s="7" t="n">
        <v>1000</v>
      </c>
      <c r="C24" s="2" t="inlineStr">
        <is>
          <t>same subsector — dominant by design</t>
        </is>
      </c>
    </row>
    <row r="25">
      <c r="A25" s="14" t="inlineStr">
        <is>
          <t>W_SEC</t>
        </is>
      </c>
      <c r="B25" s="7" t="n">
        <v>300</v>
      </c>
      <c r="C25" s="2" t="inlineStr">
        <is>
          <t>same sector fallback</t>
        </is>
      </c>
    </row>
    <row r="26">
      <c r="A26" s="14" t="inlineStr">
        <is>
          <t>W_SIZE</t>
        </is>
      </c>
      <c r="B26" s="7" t="n">
        <v>200</v>
      </c>
      <c r="C26" s="2" t="inlineStr">
        <is>
          <t>size proximity</t>
        </is>
      </c>
    </row>
    <row r="27">
      <c r="A27" s="14" t="inlineStr">
        <is>
          <t>W_PROF</t>
        </is>
      </c>
      <c r="B27" s="7" t="n">
        <v>80</v>
      </c>
      <c r="C27" s="2" t="inlineStr">
        <is>
          <t>profitability match</t>
        </is>
      </c>
    </row>
    <row r="28">
      <c r="A28" s="14" t="inlineStr">
        <is>
          <t>W_AH</t>
        </is>
      </c>
      <c r="B28" s="7" t="n">
        <v>50</v>
      </c>
      <c r="C28" s="2" t="inlineStr">
        <is>
          <t>H-share match</t>
        </is>
      </c>
    </row>
    <row r="29">
      <c r="A29" s="14" t="inlineStr">
        <is>
          <t>W_REC</t>
        </is>
      </c>
      <c r="B29" s="7" t="n">
        <v>80</v>
      </c>
      <c r="C29" s="2" t="inlineStr">
        <is>
          <t>recency</t>
        </is>
      </c>
    </row>
    <row r="30">
      <c r="A30" s="14" t="inlineStr">
        <is>
          <t>W_CS</t>
        </is>
      </c>
      <c r="B30" s="7" t="n">
        <v>12</v>
      </c>
      <c r="C30" s="2" t="inlineStr">
        <is>
          <t>shares a cornerstone investor with the target</t>
        </is>
      </c>
    </row>
    <row r="31">
      <c r="A31" s="14" t="inlineStr">
        <is>
          <t>W_PE</t>
        </is>
      </c>
      <c r="B31" s="7" t="n">
        <v>150</v>
      </c>
      <c r="C31" s="2" t="inlineStr">
        <is>
          <t>P/E proximity — closer multiples rank higher (beats profitability)</t>
        </is>
      </c>
    </row>
    <row r="32">
      <c r="A32" s="14" t="inlineStr">
        <is>
          <t>W_PEHW</t>
        </is>
      </c>
      <c r="B32" s="7" t="n">
        <v>0.6</v>
      </c>
      <c r="C32" s="2" t="inlineStr">
        <is>
          <t>P/E log half-width</t>
        </is>
      </c>
    </row>
    <row r="33">
      <c r="A33" s="14" t="inlineStr">
        <is>
          <t>W_SIZEHW</t>
        </is>
      </c>
      <c r="B33" s="7" t="n">
        <v>1.5</v>
      </c>
      <c r="C33" s="2" t="inlineStr">
        <is>
          <t>size log half-width</t>
        </is>
      </c>
    </row>
    <row r="34">
      <c r="A34" s="14" t="inlineStr">
        <is>
          <t>W_RECD</t>
        </is>
      </c>
      <c r="B34" s="7" t="n">
        <v>1825</v>
      </c>
      <c r="C34" s="2" t="inlineStr">
        <is>
          <t>recency horizon (days)</t>
        </is>
      </c>
    </row>
    <row r="35"/>
    <row r="36">
      <c r="A36" s="14" t="inlineStr">
        <is>
          <t>WHY THESE WEIGHTS (measured, not assumed)</t>
        </is>
      </c>
    </row>
    <row r="37">
      <c r="A37" s="2" t="inlineStr">
        <is>
          <t>Tested on 24,090 deal pairs: how close were two deals' day-1 returns when they</t>
        </is>
      </c>
    </row>
    <row r="38">
      <c r="A38" s="2" t="inlineStr">
        <is>
          <t>matched on each factor, versus two random deals (median gap 27.5pp)?</t>
        </is>
      </c>
    </row>
    <row r="39">
      <c r="A39" s="2" t="inlineStr">
        <is>
          <t xml:space="preserve">  both A+H .................. 14.2pp  (+49% better than random)</t>
        </is>
      </c>
    </row>
    <row r="40">
      <c r="A40" s="2" t="inlineStr">
        <is>
          <t xml:space="preserve">  subscription within 2x .... 18.6pp  (+32% better)</t>
        </is>
      </c>
    </row>
    <row r="41">
      <c r="A41" s="2" t="inlineStr">
        <is>
          <t xml:space="preserve">  same sector ............... 26.3pp  (+4% better)</t>
        </is>
      </c>
    </row>
    <row r="42">
      <c r="A42" s="2" t="inlineStr">
        <is>
          <t xml:space="preserve">  same subsector ............ 29.2pp  (no better than random)</t>
        </is>
      </c>
    </row>
    <row r="43">
      <c r="A43" s="2" t="inlineStr">
        <is>
          <t xml:space="preserve">  size / P/E / cornerstone .. 29-33pp (no better than random)</t>
        </is>
      </c>
    </row>
    <row r="44">
      <c r="A44" s="2" t="inlineStr">
        <is>
          <t>So subsector-first still decides WHICH companies are comparable (a chip maker is</t>
        </is>
      </c>
    </row>
    <row r="45">
      <c r="A45" s="2" t="inlineStr">
        <is>
          <t>valued against chip makers), but it does NOT predict the debut. When the question</t>
        </is>
      </c>
    </row>
    <row r="46">
      <c r="A46" s="2" t="inlineStr">
        <is>
          <t>is 'how will it trade', switch Rank by -&gt; 'demand-similar first', and read the</t>
        </is>
      </c>
    </row>
    <row r="47">
      <c r="A47" s="2" t="inlineStr">
        <is>
          <t>Analogs tab, where subscription buckets carry the real signal.</t>
        </is>
      </c>
    </row>
    <row r="48"/>
    <row r="49">
      <c r="A49" s="14" t="inlineStr">
        <is>
          <t>WHERE EACH DATABASE COLUMN COMES FROM</t>
        </is>
      </c>
    </row>
    <row r="50">
      <c r="A50" s="12" t="inlineStr">
        <is>
          <t>Column</t>
        </is>
      </c>
      <c r="B50" s="12" t="inlineStr">
        <is>
          <t>Source and method</t>
        </is>
      </c>
    </row>
    <row r="51" ht="26" customHeight="1">
      <c r="A51" s="45" t="inlineStr">
        <is>
          <t>Code / Name / date</t>
        </is>
      </c>
      <c r="B51" s="107" t="inlineStr">
        <is>
          <t>HKEX Allotment Results announcement — every IPO must file one, so the roster is enumerated from the filings themselves, not from a list.</t>
        </is>
      </c>
    </row>
    <row r="52" ht="26" customHeight="1">
      <c r="A52" s="45" t="inlineStr">
        <is>
          <t>Name (CN)</t>
        </is>
      </c>
      <c r="B52" s="107" t="inlineStr">
        <is>
          <t>HKEX bilingual securities feed (activestock/inactivestock _c.json).</t>
        </is>
      </c>
    </row>
    <row r="53" ht="26" customHeight="1">
      <c r="A53" s="45" t="inlineStr">
        <is>
          <t>Sector / Subsector</t>
        </is>
      </c>
      <c r="B53" s="107" t="inlineStr">
        <is>
          <t>Analyst-assigned against data/taxonomy.json. New deals get a provisional keyword label (~49% exact) shown amber until relabelled.</t>
        </is>
      </c>
    </row>
    <row r="54" ht="26" customHeight="1">
      <c r="A54" s="45" t="inlineStr">
        <is>
          <t>Deal size</t>
        </is>
      </c>
      <c r="B54" s="107" t="inlineStr">
        <is>
          <t>Ladder, and the basis is printed beside it: stated gross proceeds &gt; final price x offer shares &gt; net proceeds. From the final-price announcement and the prospectus.</t>
        </is>
      </c>
    </row>
    <row r="55" ht="26" customHeight="1">
      <c r="A55" s="45" t="inlineStr">
        <is>
          <t>Range low / Max-cap</t>
        </is>
      </c>
      <c r="B55" s="107" t="inlineStr">
        <is>
          <t>Prospectus indicative range; the cap is the 'Maximum Offer Price'. A fixed-price offer has no range and is labelled as such.</t>
        </is>
      </c>
    </row>
    <row r="56" ht="26" customHeight="1">
      <c r="A56" s="45" t="inlineStr">
        <is>
          <t>Final px</t>
        </is>
      </c>
      <c r="B56" s="107" t="inlineStr">
        <is>
          <t>Allotment Results announcement (the struck price).</t>
        </is>
      </c>
    </row>
    <row r="57" ht="26" customHeight="1">
      <c r="A57" s="45" t="inlineStr">
        <is>
          <t>% of cap</t>
        </is>
      </c>
      <c r="B57" s="107" t="inlineStr">
        <is>
          <t>final price / cap. Fixed-price offers are 100% by definition.</t>
        </is>
      </c>
    </row>
    <row r="58" ht="26" customHeight="1">
      <c r="A58" s="45" t="inlineStr">
        <is>
          <t>Mkt cap at IPO</t>
        </is>
      </c>
      <c r="B58"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9" ht="26" customHeight="1">
      <c r="A59" s="45" t="inlineStr">
        <is>
          <t>Public / Intl sub</t>
        </is>
      </c>
      <c r="B59" s="107" t="inlineStr">
        <is>
          <t>Allotment Results — the subscription section, read per tranche. Under-subscription (&lt;1x) is captured as data, not dropped.</t>
        </is>
      </c>
    </row>
    <row r="60" ht="26" customHeight="1">
      <c r="A60" s="45" t="inlineStr">
        <is>
          <t>Cornerstone % / investors</t>
        </is>
      </c>
      <c r="B60" s="107" t="inlineStr">
        <is>
          <t>Prospectus cornerstone section (names cleaned of PDF table damage), filled from AAStocks 機構性投資者 where the filing text did not survive extraction.</t>
        </is>
      </c>
    </row>
    <row r="61" ht="26" customHeight="1">
      <c r="A61" s="45" t="inlineStr">
        <is>
          <t>Greenshoe size</t>
        </is>
      </c>
      <c r="B61" s="107" t="inlineStr">
        <is>
          <t>over-allocated shares / offer shares, from the prospectus.</t>
        </is>
      </c>
    </row>
    <row r="62" ht="26" customHeight="1">
      <c r="A62" s="45" t="inlineStr">
        <is>
          <t>Shoe outcome</t>
        </is>
      </c>
      <c r="B62" s="107" t="inlineStr">
        <is>
          <t>The END OF STABILISATION notice filed ~30 days after listing — the allotment-day wording can only ever say 'not yet'.</t>
        </is>
      </c>
    </row>
    <row r="63" ht="26" customHeight="1">
      <c r="A63" s="45" t="inlineStr">
        <is>
          <t>Day-1</t>
        </is>
      </c>
      <c r="B63" s="107" t="inlineStr">
        <is>
          <t>Listing-day close vs the struck offer price (Yahoo). Where Yahoo has no session at the listing date the value comes from AAStocks instead — it is never measured off a later session.</t>
        </is>
      </c>
    </row>
    <row r="64" ht="26" customHeight="1">
      <c r="A64" s="45" t="inlineStr">
        <is>
          <t>1-week / 1-month / 3-month</t>
        </is>
      </c>
      <c r="B64" s="107" t="inlineStr">
        <is>
          <t>Close 5 / 21 / 63 trading bars after the debut, all vs the OFFER price.</t>
        </is>
      </c>
    </row>
    <row r="65" ht="26" customHeight="1">
      <c r="A65" s="45" t="inlineStr">
        <is>
          <t>1m ex-pop</t>
        </is>
      </c>
      <c r="B65" s="107" t="inlineStr">
        <is>
          <t>Same horizon measured from the day-1 CLOSE instead — strips the debut pop and answers whether it held.</t>
        </is>
      </c>
    </row>
    <row r="66" ht="26" customHeight="1">
      <c r="A66" s="45" t="inlineStr">
        <is>
          <t>Alpha / Index</t>
        </is>
      </c>
      <c r="B66" s="107" t="inlineStr">
        <is>
          <t>The deal's own sector index over the identical window, anchored at the index close BEFORE the listing (the moment the subscription money was committed). Index named per row; map on the Taxonomy tab.</t>
        </is>
      </c>
    </row>
    <row r="67" ht="26" customHeight="1">
      <c r="A67" s="45" t="inlineStr">
        <is>
          <t>Since IPO</t>
        </is>
      </c>
      <c r="B67" s="107" t="inlineStr">
        <is>
          <t>Latest close vs the offer price.</t>
        </is>
      </c>
    </row>
    <row r="68" ht="26" customHeight="1">
      <c r="A68" s="45" t="inlineStr">
        <is>
          <t>Revenue / NI</t>
        </is>
      </c>
      <c r="B68" s="107" t="inlineStr">
        <is>
          <t>Prospectus Financial Information section, latest full year, converted to HK$ at a fixed rate stated in the file.</t>
        </is>
      </c>
    </row>
    <row r="69" ht="26" customHeight="1">
      <c r="A69" s="45" t="inlineStr">
        <is>
          <t>P/E at IPO</t>
        </is>
      </c>
      <c r="B69" s="107" t="inlineStr">
        <is>
          <t>market cap / latest FY net income. Loss-makers read n/m — a negative P/E is meaningless — and carry P/S instead.</t>
        </is>
      </c>
    </row>
    <row r="70" ht="26" customHeight="1">
      <c r="A70" s="45" t="inlineStr">
        <is>
          <t>H disc vs A at IPO</t>
        </is>
      </c>
      <c r="B70" s="107" t="inlineStr">
        <is>
          <t>H offer price vs the A-share close on the last session BEFORE the H listing, converted at that day's CNYHKD. Negative = H struck below the A line. Verified by hand on CATL (-6.7%).</t>
        </is>
      </c>
    </row>
    <row r="71" ht="26" customHeight="1">
      <c r="A71" s="45" t="inlineStr">
        <is>
          <t>A/H premium (today)</t>
        </is>
      </c>
      <c r="B71" s="107" t="inlineStr">
        <is>
          <t>Latest A and H closes, same conversion.</t>
        </is>
      </c>
    </row>
    <row r="72" ht="26" customHeight="1">
      <c r="A72" s="45" t="inlineStr">
        <is>
          <t>Sponsors / Bookrunners</t>
        </is>
      </c>
      <c r="B72" s="107" t="inlineStr">
        <is>
          <t>Prospectus cover page. The AAStocks columns beside them are 保薦人 and 包銷商 from the deal's AAStocks page — a second, independent print of the same fact.</t>
        </is>
      </c>
    </row>
    <row r="73" ht="26" customHeight="1">
      <c r="A73" s="45" t="inlineStr">
        <is>
          <t>Prospectus / Allotment / Stabilisation</t>
        </is>
      </c>
      <c r="B73"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2026-08-26T12:28:56Z</dcterms:created>
  <dcterms:modified xmlns:dcterms="http://purl.org/dc/terms/" xmlns:xsi="http://www.w3.org/2001/XMLSchema-instance" xsi:type="dcterms:W3CDTF">2026-08-26T12:28:57Z</dcterms:modified>
</cp:coreProperties>
</file>